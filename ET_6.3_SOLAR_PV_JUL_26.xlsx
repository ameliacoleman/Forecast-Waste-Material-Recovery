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universityofcambridgecloud-my.sharepoint.com/personal/ajec5_cam_ac_uk/Documents/SOLARGATESUK/"/>
    </mc:Choice>
  </mc:AlternateContent>
  <xr:revisionPtr revIDLastSave="0" documentId="8_{DCAB9433-158F-42E9-9F56-7F836D53C38A}" xr6:coauthVersionLast="47" xr6:coauthVersionMax="47" xr10:uidLastSave="{00000000-0000-0000-0000-000000000000}"/>
  <bookViews>
    <workbookView xWindow="-110" yWindow="-110" windowWidth="19420" windowHeight="10300" tabRatio="617" activeTab="4" xr2:uid="{00000000-000D-0000-FFFF-FFFF00000000}"/>
  </bookViews>
  <sheets>
    <sheet name="Cover_sheet" sheetId="1" r:id="rId1"/>
    <sheet name="Contents" sheetId="2" r:id="rId2"/>
    <sheet name="Commentary" sheetId="3" r:id="rId3"/>
    <sheet name="Notes" sheetId="5" r:id="rId4"/>
    <sheet name="Table_1_by_Capacity" sheetId="6" r:id="rId5"/>
    <sheet name="Table_2_by_Accreditation" sheetId="7" r:id="rId6"/>
    <sheet name="Table_3_dom_by_PC" sheetId="37" r:id="rId7"/>
    <sheet name="Table_1_May" sheetId="122" r:id="rId8"/>
    <sheet name="Table_1_Apr" sheetId="119" r:id="rId9"/>
    <sheet name="Table_1_Mar" sheetId="118" r:id="rId10"/>
    <sheet name="Table_2_May" sheetId="124" r:id="rId11"/>
    <sheet name="Table_3_May" sheetId="123" r:id="rId12"/>
  </sheets>
  <definedNames>
    <definedName name="latest_row">#REF!</definedName>
    <definedName name="_xlnm.Print_Titles" localSheetId="8">Table_1_Apr!$A:$B</definedName>
    <definedName name="_xlnm.Print_Titles" localSheetId="4">Table_1_by_Capacity!$A:$B</definedName>
    <definedName name="_xlnm.Print_Titles" localSheetId="9">Table_1_Mar!$A:$B</definedName>
    <definedName name="_xlnm.Print_Titles" localSheetId="7">Table_1_May!$A:$B</definedName>
    <definedName name="_xlnm.Print_Titles" localSheetId="5">Table_2_by_Accreditation!$A:$B</definedName>
    <definedName name="_xlnm.Print_Titles" localSheetId="10">Table_2_May!$A:$B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Q13" i="7" l="1"/>
  <c r="GQ18" i="7"/>
  <c r="GQ26" i="7"/>
  <c r="GQ36" i="7"/>
  <c r="GQ41" i="7"/>
  <c r="GQ49" i="7"/>
  <c r="GQ13" i="6"/>
  <c r="GQ21" i="6"/>
  <c r="GQ30" i="6"/>
  <c r="GQ41" i="6"/>
  <c r="GQ49" i="6"/>
  <c r="GQ57" i="6"/>
  <c r="GP49" i="124"/>
  <c r="GO49" i="124"/>
  <c r="GN49" i="124"/>
  <c r="GM49" i="124"/>
  <c r="GL49" i="124"/>
  <c r="GK49" i="124"/>
  <c r="GJ49" i="124"/>
  <c r="GI49" i="124"/>
  <c r="GH49" i="124"/>
  <c r="GG49" i="124"/>
  <c r="GF49" i="124"/>
  <c r="GE49" i="124"/>
  <c r="GD49" i="124"/>
  <c r="GC49" i="124"/>
  <c r="GB49" i="124"/>
  <c r="GA49" i="124"/>
  <c r="FZ49" i="124"/>
  <c r="FY49" i="124"/>
  <c r="FX49" i="124"/>
  <c r="FW49" i="124"/>
  <c r="FV49" i="124"/>
  <c r="FU49" i="124"/>
  <c r="FT49" i="124"/>
  <c r="FS49" i="124"/>
  <c r="FR49" i="124"/>
  <c r="FQ49" i="124"/>
  <c r="FP49" i="124"/>
  <c r="FO49" i="124"/>
  <c r="FN49" i="124"/>
  <c r="FM49" i="124"/>
  <c r="FL49" i="124"/>
  <c r="FK49" i="124"/>
  <c r="FJ49" i="124"/>
  <c r="FI49" i="124"/>
  <c r="FH49" i="124"/>
  <c r="FG49" i="124"/>
  <c r="FF49" i="124"/>
  <c r="FE49" i="124"/>
  <c r="FD49" i="124"/>
  <c r="FC49" i="124"/>
  <c r="FB49" i="124"/>
  <c r="FA49" i="124"/>
  <c r="EZ49" i="124"/>
  <c r="EY49" i="124"/>
  <c r="EX49" i="124"/>
  <c r="EW49" i="124"/>
  <c r="EV49" i="124"/>
  <c r="EU49" i="124"/>
  <c r="ET49" i="124"/>
  <c r="ES49" i="124"/>
  <c r="ER49" i="124"/>
  <c r="EQ49" i="124"/>
  <c r="EP49" i="124"/>
  <c r="EO49" i="124"/>
  <c r="EN49" i="124"/>
  <c r="EM49" i="124"/>
  <c r="EL49" i="124"/>
  <c r="EK49" i="124"/>
  <c r="EJ49" i="124"/>
  <c r="EI49" i="124"/>
  <c r="EH49" i="124"/>
  <c r="EG49" i="124"/>
  <c r="EF49" i="124"/>
  <c r="EE49" i="124"/>
  <c r="ED49" i="124"/>
  <c r="EC49" i="124"/>
  <c r="EB49" i="124"/>
  <c r="EA49" i="124"/>
  <c r="DZ49" i="124"/>
  <c r="DY49" i="124"/>
  <c r="DX49" i="124"/>
  <c r="DW49" i="124"/>
  <c r="DV49" i="124"/>
  <c r="DU49" i="124"/>
  <c r="DT49" i="124"/>
  <c r="DS49" i="124"/>
  <c r="DR49" i="124"/>
  <c r="DQ49" i="124"/>
  <c r="DP49" i="124"/>
  <c r="DO49" i="124"/>
  <c r="DN49" i="124"/>
  <c r="DM49" i="124"/>
  <c r="DL49" i="124"/>
  <c r="DK49" i="124"/>
  <c r="DJ49" i="124"/>
  <c r="DI49" i="124"/>
  <c r="DH49" i="124"/>
  <c r="DG49" i="124"/>
  <c r="DF49" i="124"/>
  <c r="DE49" i="124"/>
  <c r="DD49" i="124"/>
  <c r="DC49" i="124"/>
  <c r="DB49" i="124"/>
  <c r="DA49" i="124"/>
  <c r="CZ49" i="124"/>
  <c r="CY49" i="124"/>
  <c r="CX49" i="124"/>
  <c r="CW49" i="124"/>
  <c r="CV49" i="124"/>
  <c r="CU49" i="124"/>
  <c r="CT49" i="124"/>
  <c r="CS49" i="124"/>
  <c r="CR49" i="124"/>
  <c r="CQ49" i="124"/>
  <c r="CP49" i="124"/>
  <c r="CO49" i="124"/>
  <c r="CN49" i="124"/>
  <c r="CM49" i="124"/>
  <c r="CL49" i="124"/>
  <c r="CK49" i="124"/>
  <c r="CJ49" i="124"/>
  <c r="CI49" i="124"/>
  <c r="CH49" i="124"/>
  <c r="CG49" i="124"/>
  <c r="CF49" i="124"/>
  <c r="CE49" i="124"/>
  <c r="CD49" i="124"/>
  <c r="CC49" i="124"/>
  <c r="CB49" i="124"/>
  <c r="CA49" i="124"/>
  <c r="BZ49" i="124"/>
  <c r="BY49" i="124"/>
  <c r="BX49" i="124"/>
  <c r="BW49" i="124"/>
  <c r="BV49" i="124"/>
  <c r="BU49" i="124"/>
  <c r="BT49" i="124"/>
  <c r="BS49" i="124"/>
  <c r="BR49" i="124"/>
  <c r="BQ49" i="124"/>
  <c r="BP49" i="124"/>
  <c r="BO49" i="124"/>
  <c r="BN49" i="124"/>
  <c r="BM49" i="124"/>
  <c r="BL49" i="124"/>
  <c r="BK49" i="124"/>
  <c r="BJ49" i="124"/>
  <c r="BI49" i="124"/>
  <c r="BH49" i="124"/>
  <c r="BG49" i="124"/>
  <c r="BF49" i="124"/>
  <c r="BE49" i="124"/>
  <c r="BD49" i="124"/>
  <c r="BC49" i="124"/>
  <c r="BB49" i="124"/>
  <c r="BA49" i="124"/>
  <c r="AZ49" i="124"/>
  <c r="AY49" i="124"/>
  <c r="AX49" i="124"/>
  <c r="AW49" i="124"/>
  <c r="AV49" i="124"/>
  <c r="AU49" i="124"/>
  <c r="AT49" i="124"/>
  <c r="AS49" i="124"/>
  <c r="AR49" i="124"/>
  <c r="AQ49" i="124"/>
  <c r="AP49" i="124"/>
  <c r="AO49" i="124"/>
  <c r="AN49" i="124"/>
  <c r="AM49" i="124"/>
  <c r="AL49" i="124"/>
  <c r="AK49" i="124"/>
  <c r="AJ49" i="124"/>
  <c r="AI49" i="124"/>
  <c r="AH49" i="124"/>
  <c r="AG49" i="124"/>
  <c r="AF49" i="124"/>
  <c r="AE49" i="124"/>
  <c r="AD49" i="124"/>
  <c r="AC49" i="124"/>
  <c r="AB49" i="124"/>
  <c r="AA49" i="124"/>
  <c r="Z49" i="124"/>
  <c r="Y49" i="124"/>
  <c r="X49" i="124"/>
  <c r="W49" i="124"/>
  <c r="V49" i="124"/>
  <c r="U49" i="124"/>
  <c r="T49" i="124"/>
  <c r="S49" i="124"/>
  <c r="R49" i="124"/>
  <c r="Q49" i="124"/>
  <c r="P49" i="124"/>
  <c r="O49" i="124"/>
  <c r="N49" i="124"/>
  <c r="M49" i="124"/>
  <c r="L49" i="124"/>
  <c r="K49" i="124"/>
  <c r="J49" i="124"/>
  <c r="I49" i="124"/>
  <c r="H49" i="124"/>
  <c r="G49" i="124"/>
  <c r="F49" i="124"/>
  <c r="E49" i="124"/>
  <c r="D49" i="124"/>
  <c r="C49" i="124"/>
  <c r="B49" i="124"/>
  <c r="GP41" i="124"/>
  <c r="GO41" i="124"/>
  <c r="GN41" i="124"/>
  <c r="GM41" i="124"/>
  <c r="GL41" i="124"/>
  <c r="GK41" i="124"/>
  <c r="GJ41" i="124"/>
  <c r="GI41" i="124"/>
  <c r="GH41" i="124"/>
  <c r="GG41" i="124"/>
  <c r="GF41" i="124"/>
  <c r="GE41" i="124"/>
  <c r="GD41" i="124"/>
  <c r="GC41" i="124"/>
  <c r="GB41" i="124"/>
  <c r="GA41" i="124"/>
  <c r="FZ41" i="124"/>
  <c r="FY41" i="124"/>
  <c r="FX41" i="124"/>
  <c r="FW41" i="124"/>
  <c r="FV41" i="124"/>
  <c r="FU41" i="124"/>
  <c r="FT41" i="124"/>
  <c r="FS41" i="124"/>
  <c r="FR41" i="124"/>
  <c r="FQ41" i="124"/>
  <c r="FP41" i="124"/>
  <c r="FO41" i="124"/>
  <c r="FN41" i="124"/>
  <c r="FM41" i="124"/>
  <c r="FL41" i="124"/>
  <c r="FK41" i="124"/>
  <c r="FJ41" i="124"/>
  <c r="FI41" i="124"/>
  <c r="FH41" i="124"/>
  <c r="FG41" i="124"/>
  <c r="FF41" i="124"/>
  <c r="FE41" i="124"/>
  <c r="FD41" i="124"/>
  <c r="FC41" i="124"/>
  <c r="FB41" i="124"/>
  <c r="FA41" i="124"/>
  <c r="EZ41" i="124"/>
  <c r="EY41" i="124"/>
  <c r="EX41" i="124"/>
  <c r="EW41" i="124"/>
  <c r="EV41" i="124"/>
  <c r="EU41" i="124"/>
  <c r="ET41" i="124"/>
  <c r="ES41" i="124"/>
  <c r="ER41" i="124"/>
  <c r="EQ41" i="124"/>
  <c r="EP41" i="124"/>
  <c r="EO41" i="124"/>
  <c r="EN41" i="124"/>
  <c r="EM41" i="124"/>
  <c r="EL41" i="124"/>
  <c r="EK41" i="124"/>
  <c r="EJ41" i="124"/>
  <c r="EI41" i="124"/>
  <c r="EH41" i="124"/>
  <c r="EG41" i="124"/>
  <c r="EF41" i="124"/>
  <c r="EE41" i="124"/>
  <c r="ED41" i="124"/>
  <c r="EC41" i="124"/>
  <c r="EB41" i="124"/>
  <c r="EA41" i="124"/>
  <c r="DZ41" i="124"/>
  <c r="DY41" i="124"/>
  <c r="DX41" i="124"/>
  <c r="DW41" i="124"/>
  <c r="DV41" i="124"/>
  <c r="DU41" i="124"/>
  <c r="DT41" i="124"/>
  <c r="DS41" i="124"/>
  <c r="DR41" i="124"/>
  <c r="DQ41" i="124"/>
  <c r="DP41" i="124"/>
  <c r="DO41" i="124"/>
  <c r="DN41" i="124"/>
  <c r="DM41" i="124"/>
  <c r="DL41" i="124"/>
  <c r="DK41" i="124"/>
  <c r="DJ41" i="124"/>
  <c r="DI41" i="124"/>
  <c r="DH41" i="124"/>
  <c r="DG41" i="124"/>
  <c r="DF41" i="124"/>
  <c r="DE41" i="124"/>
  <c r="DD41" i="124"/>
  <c r="DC41" i="124"/>
  <c r="DB41" i="124"/>
  <c r="DA41" i="124"/>
  <c r="CZ41" i="124"/>
  <c r="CY41" i="124"/>
  <c r="CX41" i="124"/>
  <c r="CW41" i="124"/>
  <c r="CV41" i="124"/>
  <c r="CU41" i="124"/>
  <c r="CT41" i="124"/>
  <c r="CS41" i="124"/>
  <c r="CR41" i="124"/>
  <c r="CQ41" i="124"/>
  <c r="CP41" i="124"/>
  <c r="CO41" i="124"/>
  <c r="CN41" i="124"/>
  <c r="CM41" i="124"/>
  <c r="CL41" i="124"/>
  <c r="CK41" i="124"/>
  <c r="CJ41" i="124"/>
  <c r="CI41" i="124"/>
  <c r="CH41" i="124"/>
  <c r="CG41" i="124"/>
  <c r="CF41" i="124"/>
  <c r="CE41" i="124"/>
  <c r="CD41" i="124"/>
  <c r="CC41" i="124"/>
  <c r="CB41" i="124"/>
  <c r="CA41" i="124"/>
  <c r="BZ41" i="124"/>
  <c r="BY41" i="124"/>
  <c r="BX41" i="124"/>
  <c r="BW41" i="124"/>
  <c r="BV41" i="124"/>
  <c r="BU41" i="124"/>
  <c r="BT41" i="124"/>
  <c r="BS41" i="124"/>
  <c r="BR41" i="124"/>
  <c r="BQ41" i="124"/>
  <c r="BP41" i="124"/>
  <c r="BO41" i="124"/>
  <c r="BN41" i="124"/>
  <c r="BM41" i="124"/>
  <c r="BL41" i="124"/>
  <c r="BK41" i="124"/>
  <c r="BJ41" i="124"/>
  <c r="BI41" i="124"/>
  <c r="BH41" i="124"/>
  <c r="BG41" i="124"/>
  <c r="BF41" i="124"/>
  <c r="BE41" i="124"/>
  <c r="BD41" i="124"/>
  <c r="BC41" i="124"/>
  <c r="BB41" i="124"/>
  <c r="BA41" i="124"/>
  <c r="AZ41" i="124"/>
  <c r="AY41" i="124"/>
  <c r="AX41" i="124"/>
  <c r="AW41" i="124"/>
  <c r="AV41" i="124"/>
  <c r="AU41" i="124"/>
  <c r="AT41" i="124"/>
  <c r="AS41" i="124"/>
  <c r="AR41" i="124"/>
  <c r="AQ41" i="124"/>
  <c r="AP41" i="124"/>
  <c r="AO41" i="124"/>
  <c r="AN41" i="124"/>
  <c r="AM41" i="124"/>
  <c r="AL41" i="124"/>
  <c r="AK41" i="124"/>
  <c r="AJ41" i="124"/>
  <c r="AI41" i="124"/>
  <c r="AH41" i="124"/>
  <c r="AG41" i="124"/>
  <c r="AF41" i="124"/>
  <c r="AE41" i="124"/>
  <c r="AD41" i="124"/>
  <c r="AC41" i="124"/>
  <c r="AB41" i="124"/>
  <c r="AA41" i="124"/>
  <c r="Z41" i="124"/>
  <c r="Y41" i="124"/>
  <c r="X41" i="124"/>
  <c r="W41" i="124"/>
  <c r="V41" i="124"/>
  <c r="U41" i="124"/>
  <c r="T41" i="124"/>
  <c r="S41" i="124"/>
  <c r="R41" i="124"/>
  <c r="Q41" i="124"/>
  <c r="P41" i="124"/>
  <c r="O41" i="124"/>
  <c r="N41" i="124"/>
  <c r="M41" i="124"/>
  <c r="L41" i="124"/>
  <c r="K41" i="124"/>
  <c r="J41" i="124"/>
  <c r="I41" i="124"/>
  <c r="H41" i="124"/>
  <c r="G41" i="124"/>
  <c r="F41" i="124"/>
  <c r="E41" i="124"/>
  <c r="D41" i="124"/>
  <c r="C41" i="124"/>
  <c r="B41" i="124"/>
  <c r="GP36" i="124"/>
  <c r="GO36" i="124"/>
  <c r="GN36" i="124"/>
  <c r="GM36" i="124"/>
  <c r="GL36" i="124"/>
  <c r="GK36" i="124"/>
  <c r="GJ36" i="124"/>
  <c r="GI36" i="124"/>
  <c r="GH36" i="124"/>
  <c r="GG36" i="124"/>
  <c r="GF36" i="124"/>
  <c r="GE36" i="124"/>
  <c r="GD36" i="124"/>
  <c r="GC36" i="124"/>
  <c r="GB36" i="124"/>
  <c r="GA36" i="124"/>
  <c r="FZ36" i="124"/>
  <c r="FY36" i="124"/>
  <c r="FX36" i="124"/>
  <c r="FW36" i="124"/>
  <c r="FV36" i="124"/>
  <c r="FU36" i="124"/>
  <c r="FT36" i="124"/>
  <c r="FS36" i="124"/>
  <c r="FR36" i="124"/>
  <c r="FQ36" i="124"/>
  <c r="FP36" i="124"/>
  <c r="FO36" i="124"/>
  <c r="FN36" i="124"/>
  <c r="FM36" i="124"/>
  <c r="FL36" i="124"/>
  <c r="FK36" i="124"/>
  <c r="FJ36" i="124"/>
  <c r="FI36" i="124"/>
  <c r="FH36" i="124"/>
  <c r="FG36" i="124"/>
  <c r="FF36" i="124"/>
  <c r="FE36" i="124"/>
  <c r="FD36" i="124"/>
  <c r="FC36" i="124"/>
  <c r="FB36" i="124"/>
  <c r="FA36" i="124"/>
  <c r="EZ36" i="124"/>
  <c r="EY36" i="124"/>
  <c r="EX36" i="124"/>
  <c r="EW36" i="124"/>
  <c r="EV36" i="124"/>
  <c r="EU36" i="124"/>
  <c r="ET36" i="124"/>
  <c r="ES36" i="124"/>
  <c r="ER36" i="124"/>
  <c r="EQ36" i="124"/>
  <c r="EP36" i="124"/>
  <c r="EO36" i="124"/>
  <c r="EN36" i="124"/>
  <c r="EM36" i="124"/>
  <c r="EL36" i="124"/>
  <c r="EK36" i="124"/>
  <c r="EJ36" i="124"/>
  <c r="EI36" i="124"/>
  <c r="EH36" i="124"/>
  <c r="EG36" i="124"/>
  <c r="EF36" i="124"/>
  <c r="EE36" i="124"/>
  <c r="ED36" i="124"/>
  <c r="EC36" i="124"/>
  <c r="EB36" i="124"/>
  <c r="EA36" i="124"/>
  <c r="DZ36" i="124"/>
  <c r="DY36" i="124"/>
  <c r="DX36" i="124"/>
  <c r="DW36" i="124"/>
  <c r="DV36" i="124"/>
  <c r="DU36" i="124"/>
  <c r="DT36" i="124"/>
  <c r="DS36" i="124"/>
  <c r="DR36" i="124"/>
  <c r="DQ36" i="124"/>
  <c r="DP36" i="124"/>
  <c r="DO36" i="124"/>
  <c r="DN36" i="124"/>
  <c r="DM36" i="124"/>
  <c r="DL36" i="124"/>
  <c r="DK36" i="124"/>
  <c r="DJ36" i="124"/>
  <c r="DI36" i="124"/>
  <c r="DH36" i="124"/>
  <c r="DG36" i="124"/>
  <c r="DF36" i="124"/>
  <c r="DE36" i="124"/>
  <c r="DD36" i="124"/>
  <c r="DC36" i="124"/>
  <c r="DB36" i="124"/>
  <c r="DA36" i="124"/>
  <c r="CZ36" i="124"/>
  <c r="CY36" i="124"/>
  <c r="CX36" i="124"/>
  <c r="CW36" i="124"/>
  <c r="CV36" i="124"/>
  <c r="CU36" i="124"/>
  <c r="CT36" i="124"/>
  <c r="CS36" i="124"/>
  <c r="CR36" i="124"/>
  <c r="CQ36" i="124"/>
  <c r="CP36" i="124"/>
  <c r="CO36" i="124"/>
  <c r="CN36" i="124"/>
  <c r="CM36" i="124"/>
  <c r="CL36" i="124"/>
  <c r="CK36" i="124"/>
  <c r="CJ36" i="124"/>
  <c r="CI36" i="124"/>
  <c r="CH36" i="124"/>
  <c r="CG36" i="124"/>
  <c r="CF36" i="124"/>
  <c r="CE36" i="124"/>
  <c r="CD36" i="124"/>
  <c r="CC36" i="124"/>
  <c r="CB36" i="124"/>
  <c r="CA36" i="124"/>
  <c r="BZ36" i="124"/>
  <c r="BY36" i="124"/>
  <c r="BX36" i="124"/>
  <c r="BW36" i="124"/>
  <c r="BV36" i="124"/>
  <c r="BU36" i="124"/>
  <c r="BT36" i="124"/>
  <c r="BS36" i="124"/>
  <c r="BR36" i="124"/>
  <c r="BQ36" i="124"/>
  <c r="BP36" i="124"/>
  <c r="BO36" i="124"/>
  <c r="BN36" i="124"/>
  <c r="BM36" i="124"/>
  <c r="BL36" i="124"/>
  <c r="BK36" i="124"/>
  <c r="BJ36" i="124"/>
  <c r="BI36" i="124"/>
  <c r="BH36" i="124"/>
  <c r="BG36" i="124"/>
  <c r="BF36" i="124"/>
  <c r="BE36" i="124"/>
  <c r="BD36" i="124"/>
  <c r="BC36" i="124"/>
  <c r="BB36" i="124"/>
  <c r="BA36" i="124"/>
  <c r="AZ36" i="124"/>
  <c r="AY36" i="124"/>
  <c r="AX36" i="124"/>
  <c r="AW36" i="124"/>
  <c r="AV36" i="124"/>
  <c r="AU36" i="124"/>
  <c r="AT36" i="124"/>
  <c r="AS36" i="124"/>
  <c r="AR36" i="124"/>
  <c r="AQ36" i="124"/>
  <c r="AP36" i="124"/>
  <c r="AO36" i="124"/>
  <c r="AN36" i="124"/>
  <c r="AM36" i="124"/>
  <c r="AL36" i="124"/>
  <c r="AK36" i="124"/>
  <c r="AJ36" i="124"/>
  <c r="AI36" i="124"/>
  <c r="AH36" i="124"/>
  <c r="AG36" i="124"/>
  <c r="AF36" i="124"/>
  <c r="AE36" i="124"/>
  <c r="AD36" i="124"/>
  <c r="AC36" i="124"/>
  <c r="AB36" i="124"/>
  <c r="AA36" i="124"/>
  <c r="Z36" i="124"/>
  <c r="Y36" i="124"/>
  <c r="X36" i="124"/>
  <c r="W36" i="124"/>
  <c r="V36" i="124"/>
  <c r="U36" i="124"/>
  <c r="T36" i="124"/>
  <c r="S36" i="124"/>
  <c r="R36" i="124"/>
  <c r="Q36" i="124"/>
  <c r="P36" i="124"/>
  <c r="O36" i="124"/>
  <c r="N36" i="124"/>
  <c r="M36" i="124"/>
  <c r="L36" i="124"/>
  <c r="K36" i="124"/>
  <c r="J36" i="124"/>
  <c r="I36" i="124"/>
  <c r="H36" i="124"/>
  <c r="G36" i="124"/>
  <c r="F36" i="124"/>
  <c r="E36" i="124"/>
  <c r="D36" i="124"/>
  <c r="C36" i="124"/>
  <c r="B36" i="124"/>
  <c r="GP26" i="124"/>
  <c r="GO26" i="124"/>
  <c r="GN26" i="124"/>
  <c r="GM26" i="124"/>
  <c r="GL26" i="124"/>
  <c r="GK26" i="124"/>
  <c r="GJ26" i="124"/>
  <c r="GI26" i="124"/>
  <c r="GH26" i="124"/>
  <c r="GG26" i="124"/>
  <c r="GF26" i="124"/>
  <c r="GE26" i="124"/>
  <c r="GD26" i="124"/>
  <c r="GC26" i="124"/>
  <c r="GB26" i="124"/>
  <c r="GA26" i="124"/>
  <c r="FZ26" i="124"/>
  <c r="FY26" i="124"/>
  <c r="FX26" i="124"/>
  <c r="FW26" i="124"/>
  <c r="FV26" i="124"/>
  <c r="FU26" i="124"/>
  <c r="FT26" i="124"/>
  <c r="FS26" i="124"/>
  <c r="FR26" i="124"/>
  <c r="FQ26" i="124"/>
  <c r="FP26" i="124"/>
  <c r="FO26" i="124"/>
  <c r="FN26" i="124"/>
  <c r="FM26" i="124"/>
  <c r="FL26" i="124"/>
  <c r="FK26" i="124"/>
  <c r="FJ26" i="124"/>
  <c r="FI26" i="124"/>
  <c r="FH26" i="124"/>
  <c r="FG26" i="124"/>
  <c r="FF26" i="124"/>
  <c r="FE26" i="124"/>
  <c r="FD26" i="124"/>
  <c r="FC26" i="124"/>
  <c r="FB26" i="124"/>
  <c r="FA26" i="124"/>
  <c r="EZ26" i="124"/>
  <c r="EY26" i="124"/>
  <c r="EX26" i="124"/>
  <c r="EW26" i="124"/>
  <c r="EV26" i="124"/>
  <c r="EU26" i="124"/>
  <c r="ET26" i="124"/>
  <c r="ES26" i="124"/>
  <c r="ER26" i="124"/>
  <c r="EQ26" i="124"/>
  <c r="EP26" i="124"/>
  <c r="EO26" i="124"/>
  <c r="EN26" i="124"/>
  <c r="EM26" i="124"/>
  <c r="EL26" i="124"/>
  <c r="EK26" i="124"/>
  <c r="EJ26" i="124"/>
  <c r="EI26" i="124"/>
  <c r="EH26" i="124"/>
  <c r="EG26" i="124"/>
  <c r="EF26" i="124"/>
  <c r="EE26" i="124"/>
  <c r="ED26" i="124"/>
  <c r="EC26" i="124"/>
  <c r="EB26" i="124"/>
  <c r="EA26" i="124"/>
  <c r="DZ26" i="124"/>
  <c r="DY26" i="124"/>
  <c r="DX26" i="124"/>
  <c r="DW26" i="124"/>
  <c r="DV26" i="124"/>
  <c r="DU26" i="124"/>
  <c r="DT26" i="124"/>
  <c r="DS26" i="124"/>
  <c r="DR26" i="124"/>
  <c r="DQ26" i="124"/>
  <c r="DP26" i="124"/>
  <c r="DO26" i="124"/>
  <c r="DN26" i="124"/>
  <c r="DM26" i="124"/>
  <c r="DL26" i="124"/>
  <c r="DK26" i="124"/>
  <c r="DJ26" i="124"/>
  <c r="DI26" i="124"/>
  <c r="DH26" i="124"/>
  <c r="DG26" i="124"/>
  <c r="DF26" i="124"/>
  <c r="DE26" i="124"/>
  <c r="DD26" i="124"/>
  <c r="DC26" i="124"/>
  <c r="DB26" i="124"/>
  <c r="DA26" i="124"/>
  <c r="CZ26" i="124"/>
  <c r="CY26" i="124"/>
  <c r="CX26" i="124"/>
  <c r="CW26" i="124"/>
  <c r="CV26" i="124"/>
  <c r="CU26" i="124"/>
  <c r="CT26" i="124"/>
  <c r="CS26" i="124"/>
  <c r="CR26" i="124"/>
  <c r="CQ26" i="124"/>
  <c r="CP26" i="124"/>
  <c r="CO26" i="124"/>
  <c r="CN26" i="124"/>
  <c r="CM26" i="124"/>
  <c r="CL26" i="124"/>
  <c r="CK26" i="124"/>
  <c r="CJ26" i="124"/>
  <c r="CI26" i="124"/>
  <c r="CH26" i="124"/>
  <c r="CG26" i="124"/>
  <c r="CF26" i="124"/>
  <c r="CE26" i="124"/>
  <c r="CD26" i="124"/>
  <c r="CC26" i="124"/>
  <c r="CB26" i="124"/>
  <c r="CA26" i="124"/>
  <c r="BZ26" i="124"/>
  <c r="BY26" i="124"/>
  <c r="BX26" i="124"/>
  <c r="BW26" i="124"/>
  <c r="BV26" i="124"/>
  <c r="BU26" i="124"/>
  <c r="BT26" i="124"/>
  <c r="BS26" i="124"/>
  <c r="BR26" i="124"/>
  <c r="BQ26" i="124"/>
  <c r="BP26" i="124"/>
  <c r="BO26" i="124"/>
  <c r="BN26" i="124"/>
  <c r="BM26" i="124"/>
  <c r="BL26" i="124"/>
  <c r="BK26" i="124"/>
  <c r="BJ26" i="124"/>
  <c r="BI26" i="124"/>
  <c r="BH26" i="124"/>
  <c r="BG26" i="124"/>
  <c r="BF26" i="124"/>
  <c r="BE26" i="124"/>
  <c r="BD26" i="124"/>
  <c r="BC26" i="124"/>
  <c r="BB26" i="124"/>
  <c r="BA26" i="124"/>
  <c r="AZ26" i="124"/>
  <c r="AY26" i="124"/>
  <c r="AX26" i="124"/>
  <c r="AW26" i="124"/>
  <c r="AV26" i="124"/>
  <c r="AU26" i="124"/>
  <c r="AT26" i="124"/>
  <c r="AS26" i="124"/>
  <c r="AR26" i="124"/>
  <c r="AQ26" i="124"/>
  <c r="AP26" i="124"/>
  <c r="AO26" i="124"/>
  <c r="AN26" i="124"/>
  <c r="AM26" i="124"/>
  <c r="AL26" i="124"/>
  <c r="AK26" i="124"/>
  <c r="AJ26" i="124"/>
  <c r="AI26" i="124"/>
  <c r="AH26" i="124"/>
  <c r="AG26" i="124"/>
  <c r="AF26" i="124"/>
  <c r="AE26" i="124"/>
  <c r="AD26" i="124"/>
  <c r="AC26" i="124"/>
  <c r="AB26" i="124"/>
  <c r="AA26" i="124"/>
  <c r="Z26" i="124"/>
  <c r="Y26" i="124"/>
  <c r="X26" i="124"/>
  <c r="W26" i="124"/>
  <c r="V26" i="124"/>
  <c r="U26" i="124"/>
  <c r="T26" i="124"/>
  <c r="S26" i="124"/>
  <c r="R26" i="124"/>
  <c r="Q26" i="124"/>
  <c r="P26" i="124"/>
  <c r="O26" i="124"/>
  <c r="N26" i="124"/>
  <c r="M26" i="124"/>
  <c r="L26" i="124"/>
  <c r="K26" i="124"/>
  <c r="J26" i="124"/>
  <c r="I26" i="124"/>
  <c r="H26" i="124"/>
  <c r="G26" i="124"/>
  <c r="F26" i="124"/>
  <c r="E26" i="124"/>
  <c r="D26" i="124"/>
  <c r="C26" i="124"/>
  <c r="B26" i="124"/>
  <c r="GP18" i="124"/>
  <c r="GO18" i="124"/>
  <c r="GN18" i="124"/>
  <c r="GM18" i="124"/>
  <c r="GL18" i="124"/>
  <c r="GK18" i="124"/>
  <c r="GJ18" i="124"/>
  <c r="GI18" i="124"/>
  <c r="GH18" i="124"/>
  <c r="GG18" i="124"/>
  <c r="GF18" i="124"/>
  <c r="GE18" i="124"/>
  <c r="GD18" i="124"/>
  <c r="GC18" i="124"/>
  <c r="GB18" i="124"/>
  <c r="GA18" i="124"/>
  <c r="FZ18" i="124"/>
  <c r="FY18" i="124"/>
  <c r="FX18" i="124"/>
  <c r="FW18" i="124"/>
  <c r="FV18" i="124"/>
  <c r="FU18" i="124"/>
  <c r="FT18" i="124"/>
  <c r="FS18" i="124"/>
  <c r="FR18" i="124"/>
  <c r="FQ18" i="124"/>
  <c r="FP18" i="124"/>
  <c r="FO18" i="124"/>
  <c r="FN18" i="124"/>
  <c r="FM18" i="124"/>
  <c r="FL18" i="124"/>
  <c r="FK18" i="124"/>
  <c r="FJ18" i="124"/>
  <c r="FI18" i="124"/>
  <c r="FH18" i="124"/>
  <c r="FG18" i="124"/>
  <c r="FF18" i="124"/>
  <c r="FE18" i="124"/>
  <c r="FD18" i="124"/>
  <c r="FC18" i="124"/>
  <c r="FB18" i="124"/>
  <c r="FA18" i="124"/>
  <c r="EZ18" i="124"/>
  <c r="EY18" i="124"/>
  <c r="EX18" i="124"/>
  <c r="EW18" i="124"/>
  <c r="EV18" i="124"/>
  <c r="EU18" i="124"/>
  <c r="ET18" i="124"/>
  <c r="ES18" i="124"/>
  <c r="ER18" i="124"/>
  <c r="EQ18" i="124"/>
  <c r="EP18" i="124"/>
  <c r="EO18" i="124"/>
  <c r="EN18" i="124"/>
  <c r="EM18" i="124"/>
  <c r="EL18" i="124"/>
  <c r="EK18" i="124"/>
  <c r="EJ18" i="124"/>
  <c r="EI18" i="124"/>
  <c r="EH18" i="124"/>
  <c r="EG18" i="124"/>
  <c r="EF18" i="124"/>
  <c r="EE18" i="124"/>
  <c r="ED18" i="124"/>
  <c r="EC18" i="124"/>
  <c r="EB18" i="124"/>
  <c r="EA18" i="124"/>
  <c r="DZ18" i="124"/>
  <c r="DY18" i="124"/>
  <c r="DX18" i="124"/>
  <c r="DW18" i="124"/>
  <c r="DV18" i="124"/>
  <c r="DU18" i="124"/>
  <c r="DT18" i="124"/>
  <c r="DS18" i="124"/>
  <c r="DR18" i="124"/>
  <c r="DQ18" i="124"/>
  <c r="DP18" i="124"/>
  <c r="DO18" i="124"/>
  <c r="DN18" i="124"/>
  <c r="DM18" i="124"/>
  <c r="DL18" i="124"/>
  <c r="DK18" i="124"/>
  <c r="DJ18" i="124"/>
  <c r="DI18" i="124"/>
  <c r="DH18" i="124"/>
  <c r="DG18" i="124"/>
  <c r="DF18" i="124"/>
  <c r="DE18" i="124"/>
  <c r="DD18" i="124"/>
  <c r="DC18" i="124"/>
  <c r="DB18" i="124"/>
  <c r="DA18" i="124"/>
  <c r="CZ18" i="124"/>
  <c r="CY18" i="124"/>
  <c r="CX18" i="124"/>
  <c r="CW18" i="124"/>
  <c r="CV18" i="124"/>
  <c r="CU18" i="124"/>
  <c r="CT18" i="124"/>
  <c r="CS18" i="124"/>
  <c r="CR18" i="124"/>
  <c r="CQ18" i="124"/>
  <c r="CP18" i="124"/>
  <c r="CO18" i="124"/>
  <c r="CN18" i="124"/>
  <c r="CM18" i="124"/>
  <c r="CL18" i="124"/>
  <c r="CK18" i="124"/>
  <c r="CJ18" i="124"/>
  <c r="CI18" i="124"/>
  <c r="CH18" i="124"/>
  <c r="CG18" i="124"/>
  <c r="CF18" i="124"/>
  <c r="CE18" i="124"/>
  <c r="CD18" i="124"/>
  <c r="CC18" i="124"/>
  <c r="CB18" i="124"/>
  <c r="CA18" i="124"/>
  <c r="BZ18" i="124"/>
  <c r="BY18" i="124"/>
  <c r="BX18" i="124"/>
  <c r="BW18" i="124"/>
  <c r="BV18" i="124"/>
  <c r="BU18" i="124"/>
  <c r="BT18" i="124"/>
  <c r="BS18" i="124"/>
  <c r="BR18" i="124"/>
  <c r="BQ18" i="124"/>
  <c r="BP18" i="124"/>
  <c r="BO18" i="124"/>
  <c r="BN18" i="124"/>
  <c r="BM18" i="124"/>
  <c r="BL18" i="124"/>
  <c r="BK18" i="124"/>
  <c r="BJ18" i="124"/>
  <c r="BI18" i="124"/>
  <c r="BH18" i="124"/>
  <c r="BG18" i="124"/>
  <c r="BF18" i="124"/>
  <c r="BE18" i="124"/>
  <c r="BD18" i="124"/>
  <c r="BC18" i="124"/>
  <c r="BB18" i="124"/>
  <c r="BA18" i="124"/>
  <c r="AZ18" i="124"/>
  <c r="AY18" i="124"/>
  <c r="AX18" i="124"/>
  <c r="AW18" i="124"/>
  <c r="AV18" i="124"/>
  <c r="AU18" i="124"/>
  <c r="AT18" i="124"/>
  <c r="AS18" i="124"/>
  <c r="AR18" i="124"/>
  <c r="AQ18" i="124"/>
  <c r="AP18" i="124"/>
  <c r="AO18" i="124"/>
  <c r="AN18" i="124"/>
  <c r="AM18" i="124"/>
  <c r="AL18" i="124"/>
  <c r="AK18" i="124"/>
  <c r="AJ18" i="124"/>
  <c r="AI18" i="124"/>
  <c r="AH18" i="124"/>
  <c r="AG18" i="124"/>
  <c r="AF18" i="124"/>
  <c r="AE18" i="124"/>
  <c r="AD18" i="124"/>
  <c r="AC18" i="124"/>
  <c r="AB18" i="124"/>
  <c r="AA18" i="124"/>
  <c r="Z18" i="124"/>
  <c r="Y18" i="124"/>
  <c r="X18" i="124"/>
  <c r="W18" i="124"/>
  <c r="V18" i="124"/>
  <c r="U18" i="124"/>
  <c r="T18" i="124"/>
  <c r="S18" i="124"/>
  <c r="R18" i="124"/>
  <c r="Q18" i="124"/>
  <c r="P18" i="124"/>
  <c r="O18" i="124"/>
  <c r="N18" i="124"/>
  <c r="M18" i="124"/>
  <c r="L18" i="124"/>
  <c r="K18" i="124"/>
  <c r="J18" i="124"/>
  <c r="I18" i="124"/>
  <c r="H18" i="124"/>
  <c r="G18" i="124"/>
  <c r="F18" i="124"/>
  <c r="E18" i="124"/>
  <c r="D18" i="124"/>
  <c r="C18" i="124"/>
  <c r="B18" i="124"/>
  <c r="GP13" i="124"/>
  <c r="GO13" i="124"/>
  <c r="GN13" i="124"/>
  <c r="GM13" i="124"/>
  <c r="GL13" i="124"/>
  <c r="GK13" i="124"/>
  <c r="GJ13" i="124"/>
  <c r="GI13" i="124"/>
  <c r="GH13" i="124"/>
  <c r="GG13" i="124"/>
  <c r="GF13" i="124"/>
  <c r="GE13" i="124"/>
  <c r="GD13" i="124"/>
  <c r="GC13" i="124"/>
  <c r="GB13" i="124"/>
  <c r="GA13" i="124"/>
  <c r="FZ13" i="124"/>
  <c r="FY13" i="124"/>
  <c r="FX13" i="124"/>
  <c r="FW13" i="124"/>
  <c r="FV13" i="124"/>
  <c r="FU13" i="124"/>
  <c r="FT13" i="124"/>
  <c r="FS13" i="124"/>
  <c r="FR13" i="124"/>
  <c r="FQ13" i="124"/>
  <c r="FP13" i="124"/>
  <c r="FO13" i="124"/>
  <c r="FN13" i="124"/>
  <c r="FM13" i="124"/>
  <c r="FL13" i="124"/>
  <c r="FK13" i="124"/>
  <c r="FJ13" i="124"/>
  <c r="FI13" i="124"/>
  <c r="FH13" i="124"/>
  <c r="FG13" i="124"/>
  <c r="FF13" i="124"/>
  <c r="FE13" i="124"/>
  <c r="FD13" i="124"/>
  <c r="FC13" i="124"/>
  <c r="FB13" i="124"/>
  <c r="FA13" i="124"/>
  <c r="EZ13" i="124"/>
  <c r="EY13" i="124"/>
  <c r="EX13" i="124"/>
  <c r="EW13" i="124"/>
  <c r="EV13" i="124"/>
  <c r="EU13" i="124"/>
  <c r="ET13" i="124"/>
  <c r="ES13" i="124"/>
  <c r="ER13" i="124"/>
  <c r="EQ13" i="124"/>
  <c r="EP13" i="124"/>
  <c r="EO13" i="124"/>
  <c r="EN13" i="124"/>
  <c r="EM13" i="124"/>
  <c r="EL13" i="124"/>
  <c r="EK13" i="124"/>
  <c r="EJ13" i="124"/>
  <c r="EI13" i="124"/>
  <c r="EH13" i="124"/>
  <c r="EG13" i="124"/>
  <c r="EF13" i="124"/>
  <c r="EE13" i="124"/>
  <c r="ED13" i="124"/>
  <c r="EC13" i="124"/>
  <c r="EB13" i="124"/>
  <c r="EA13" i="124"/>
  <c r="DZ13" i="124"/>
  <c r="DY13" i="124"/>
  <c r="DX13" i="124"/>
  <c r="DW13" i="124"/>
  <c r="DV13" i="124"/>
  <c r="DU13" i="124"/>
  <c r="DT13" i="124"/>
  <c r="DS13" i="124"/>
  <c r="DR13" i="124"/>
  <c r="DQ13" i="124"/>
  <c r="DP13" i="124"/>
  <c r="DO13" i="124"/>
  <c r="DN13" i="124"/>
  <c r="DM13" i="124"/>
  <c r="DL13" i="124"/>
  <c r="DK13" i="124"/>
  <c r="DJ13" i="124"/>
  <c r="DI13" i="124"/>
  <c r="DH13" i="124"/>
  <c r="DG13" i="124"/>
  <c r="DF13" i="124"/>
  <c r="DE13" i="124"/>
  <c r="DD13" i="124"/>
  <c r="DC13" i="124"/>
  <c r="DB13" i="124"/>
  <c r="DA13" i="124"/>
  <c r="CZ13" i="124"/>
  <c r="CY13" i="124"/>
  <c r="CX13" i="124"/>
  <c r="CW13" i="124"/>
  <c r="CV13" i="124"/>
  <c r="CU13" i="124"/>
  <c r="CT13" i="124"/>
  <c r="CS13" i="124"/>
  <c r="CR13" i="124"/>
  <c r="CQ13" i="124"/>
  <c r="CP13" i="124"/>
  <c r="CO13" i="124"/>
  <c r="CN13" i="124"/>
  <c r="CM13" i="124"/>
  <c r="CL13" i="124"/>
  <c r="CK13" i="124"/>
  <c r="CJ13" i="124"/>
  <c r="CI13" i="124"/>
  <c r="CH13" i="124"/>
  <c r="CG13" i="124"/>
  <c r="CF13" i="124"/>
  <c r="CE13" i="124"/>
  <c r="CD13" i="124"/>
  <c r="CC13" i="124"/>
  <c r="CB13" i="124"/>
  <c r="CA13" i="124"/>
  <c r="BZ13" i="124"/>
  <c r="BY13" i="124"/>
  <c r="BX13" i="124"/>
  <c r="BW13" i="124"/>
  <c r="BV13" i="124"/>
  <c r="BU13" i="124"/>
  <c r="BT13" i="124"/>
  <c r="BS13" i="124"/>
  <c r="BR13" i="124"/>
  <c r="BQ13" i="124"/>
  <c r="BP13" i="124"/>
  <c r="BO13" i="124"/>
  <c r="BN13" i="124"/>
  <c r="BM13" i="124"/>
  <c r="BL13" i="124"/>
  <c r="BK13" i="124"/>
  <c r="BJ13" i="124"/>
  <c r="BI13" i="124"/>
  <c r="BH13" i="124"/>
  <c r="BG13" i="124"/>
  <c r="BF13" i="124"/>
  <c r="BE13" i="124"/>
  <c r="BD13" i="124"/>
  <c r="BC13" i="124"/>
  <c r="BB13" i="124"/>
  <c r="BA13" i="124"/>
  <c r="AZ13" i="124"/>
  <c r="AY13" i="124"/>
  <c r="AX13" i="124"/>
  <c r="AW13" i="124"/>
  <c r="AV13" i="124"/>
  <c r="AU13" i="124"/>
  <c r="AT13" i="124"/>
  <c r="AS13" i="124"/>
  <c r="AR13" i="124"/>
  <c r="AQ13" i="124"/>
  <c r="AP13" i="124"/>
  <c r="AO13" i="124"/>
  <c r="AN13" i="124"/>
  <c r="AM13" i="124"/>
  <c r="AL13" i="124"/>
  <c r="AK13" i="124"/>
  <c r="AJ13" i="124"/>
  <c r="AI13" i="124"/>
  <c r="AH13" i="124"/>
  <c r="AG13" i="124"/>
  <c r="AF13" i="124"/>
  <c r="AE13" i="124"/>
  <c r="AD13" i="124"/>
  <c r="AC13" i="124"/>
  <c r="AB13" i="124"/>
  <c r="AA13" i="124"/>
  <c r="Z13" i="124"/>
  <c r="Y13" i="124"/>
  <c r="X13" i="124"/>
  <c r="W13" i="124"/>
  <c r="V13" i="124"/>
  <c r="U13" i="124"/>
  <c r="T13" i="124"/>
  <c r="S13" i="124"/>
  <c r="R13" i="124"/>
  <c r="Q13" i="124"/>
  <c r="P13" i="124"/>
  <c r="O13" i="124"/>
  <c r="N13" i="124"/>
  <c r="M13" i="124"/>
  <c r="L13" i="124"/>
  <c r="K13" i="124"/>
  <c r="J13" i="124"/>
  <c r="I13" i="124"/>
  <c r="H13" i="124"/>
  <c r="G13" i="124"/>
  <c r="F13" i="124"/>
  <c r="E13" i="124"/>
  <c r="D13" i="124"/>
  <c r="C13" i="124"/>
  <c r="B13" i="124"/>
  <c r="GP57" i="122"/>
  <c r="GO57" i="122"/>
  <c r="GN57" i="122"/>
  <c r="GM57" i="122"/>
  <c r="GL57" i="122"/>
  <c r="GK57" i="122"/>
  <c r="GJ57" i="122"/>
  <c r="GI57" i="122"/>
  <c r="GH57" i="122"/>
  <c r="GG57" i="122"/>
  <c r="GF57" i="122"/>
  <c r="GE57" i="122"/>
  <c r="GD57" i="122"/>
  <c r="GC57" i="122"/>
  <c r="GB57" i="122"/>
  <c r="GA57" i="122"/>
  <c r="FZ57" i="122"/>
  <c r="FY57" i="122"/>
  <c r="FX57" i="122"/>
  <c r="FW57" i="122"/>
  <c r="FV57" i="122"/>
  <c r="FU57" i="122"/>
  <c r="FT57" i="122"/>
  <c r="FS57" i="122"/>
  <c r="FR57" i="122"/>
  <c r="FQ57" i="122"/>
  <c r="FP57" i="122"/>
  <c r="FO57" i="122"/>
  <c r="FN57" i="122"/>
  <c r="FM57" i="122"/>
  <c r="FL57" i="122"/>
  <c r="FK57" i="122"/>
  <c r="FJ57" i="122"/>
  <c r="FI57" i="122"/>
  <c r="FH57" i="122"/>
  <c r="FG57" i="122"/>
  <c r="FF57" i="122"/>
  <c r="FE57" i="122"/>
  <c r="FD57" i="122"/>
  <c r="FC57" i="122"/>
  <c r="FB57" i="122"/>
  <c r="FA57" i="122"/>
  <c r="EZ57" i="122"/>
  <c r="EY57" i="122"/>
  <c r="EX57" i="122"/>
  <c r="EW57" i="122"/>
  <c r="EV57" i="122"/>
  <c r="EU57" i="122"/>
  <c r="ET57" i="122"/>
  <c r="ES57" i="122"/>
  <c r="ER57" i="122"/>
  <c r="EQ57" i="122"/>
  <c r="EP57" i="122"/>
  <c r="EO57" i="122"/>
  <c r="EN57" i="122"/>
  <c r="EM57" i="122"/>
  <c r="EL57" i="122"/>
  <c r="EK57" i="122"/>
  <c r="EJ57" i="122"/>
  <c r="EI57" i="122"/>
  <c r="EH57" i="122"/>
  <c r="EG57" i="122"/>
  <c r="EF57" i="122"/>
  <c r="EE57" i="122"/>
  <c r="ED57" i="122"/>
  <c r="EC57" i="122"/>
  <c r="EB57" i="122"/>
  <c r="EA57" i="122"/>
  <c r="DZ57" i="122"/>
  <c r="DY57" i="122"/>
  <c r="DX57" i="122"/>
  <c r="DW57" i="122"/>
  <c r="DV57" i="122"/>
  <c r="DU57" i="122"/>
  <c r="DT57" i="122"/>
  <c r="DS57" i="122"/>
  <c r="DR57" i="122"/>
  <c r="DQ57" i="122"/>
  <c r="DP57" i="122"/>
  <c r="DO57" i="122"/>
  <c r="DN57" i="122"/>
  <c r="DM57" i="122"/>
  <c r="DL57" i="122"/>
  <c r="DK57" i="122"/>
  <c r="DJ57" i="122"/>
  <c r="DI57" i="122"/>
  <c r="DH57" i="122"/>
  <c r="DG57" i="122"/>
  <c r="DF57" i="122"/>
  <c r="DE57" i="122"/>
  <c r="DD57" i="122"/>
  <c r="DC57" i="122"/>
  <c r="DB57" i="122"/>
  <c r="DA57" i="122"/>
  <c r="CZ57" i="122"/>
  <c r="CY57" i="122"/>
  <c r="CX57" i="122"/>
  <c r="CW57" i="122"/>
  <c r="CV57" i="122"/>
  <c r="CU57" i="122"/>
  <c r="CT57" i="122"/>
  <c r="CS57" i="122"/>
  <c r="CR57" i="122"/>
  <c r="CQ57" i="122"/>
  <c r="CP57" i="122"/>
  <c r="CO57" i="122"/>
  <c r="CN57" i="122"/>
  <c r="CM57" i="122"/>
  <c r="CL57" i="122"/>
  <c r="CK57" i="122"/>
  <c r="CJ57" i="122"/>
  <c r="CI57" i="122"/>
  <c r="CH57" i="122"/>
  <c r="CG57" i="122"/>
  <c r="CF57" i="122"/>
  <c r="CE57" i="122"/>
  <c r="CD57" i="122"/>
  <c r="CC57" i="122"/>
  <c r="CB57" i="122"/>
  <c r="CA57" i="122"/>
  <c r="BZ57" i="122"/>
  <c r="BY57" i="122"/>
  <c r="BX57" i="122"/>
  <c r="BW57" i="122"/>
  <c r="BV57" i="122"/>
  <c r="BU57" i="122"/>
  <c r="BT57" i="122"/>
  <c r="BS57" i="122"/>
  <c r="BR57" i="122"/>
  <c r="BQ57" i="122"/>
  <c r="BP57" i="122"/>
  <c r="BO57" i="122"/>
  <c r="BN57" i="122"/>
  <c r="BM57" i="122"/>
  <c r="BL57" i="122"/>
  <c r="BK57" i="122"/>
  <c r="BJ57" i="122"/>
  <c r="BI57" i="122"/>
  <c r="BH57" i="122"/>
  <c r="BG57" i="122"/>
  <c r="BF57" i="122"/>
  <c r="BE57" i="122"/>
  <c r="BD57" i="122"/>
  <c r="BC57" i="122"/>
  <c r="BB57" i="122"/>
  <c r="BA57" i="122"/>
  <c r="AZ57" i="122"/>
  <c r="AY57" i="122"/>
  <c r="AX57" i="122"/>
  <c r="AW57" i="122"/>
  <c r="AV57" i="122"/>
  <c r="AU57" i="122"/>
  <c r="AT57" i="122"/>
  <c r="AS57" i="122"/>
  <c r="AR57" i="122"/>
  <c r="AQ57" i="122"/>
  <c r="AP57" i="122"/>
  <c r="AO57" i="122"/>
  <c r="AN57" i="122"/>
  <c r="AM57" i="122"/>
  <c r="AL57" i="122"/>
  <c r="AK57" i="122"/>
  <c r="AJ57" i="122"/>
  <c r="AI57" i="122"/>
  <c r="AH57" i="122"/>
  <c r="AG57" i="122"/>
  <c r="AF57" i="122"/>
  <c r="AE57" i="122"/>
  <c r="AD57" i="122"/>
  <c r="AC57" i="122"/>
  <c r="AB57" i="122"/>
  <c r="AA57" i="122"/>
  <c r="Z57" i="122"/>
  <c r="Y57" i="122"/>
  <c r="X57" i="122"/>
  <c r="W57" i="122"/>
  <c r="V57" i="122"/>
  <c r="U57" i="122"/>
  <c r="T57" i="122"/>
  <c r="S57" i="122"/>
  <c r="R57" i="122"/>
  <c r="Q57" i="122"/>
  <c r="P57" i="122"/>
  <c r="O57" i="122"/>
  <c r="N57" i="122"/>
  <c r="M57" i="122"/>
  <c r="L57" i="122"/>
  <c r="K57" i="122"/>
  <c r="J57" i="122"/>
  <c r="I57" i="122"/>
  <c r="H57" i="122"/>
  <c r="G57" i="122"/>
  <c r="F57" i="122"/>
  <c r="E57" i="122"/>
  <c r="D57" i="122"/>
  <c r="C57" i="122"/>
  <c r="B57" i="122"/>
  <c r="GP49" i="122"/>
  <c r="GO49" i="122"/>
  <c r="GN49" i="122"/>
  <c r="GM49" i="122"/>
  <c r="GL49" i="122"/>
  <c r="GK49" i="122"/>
  <c r="GJ49" i="122"/>
  <c r="GI49" i="122"/>
  <c r="GH49" i="122"/>
  <c r="GG49" i="122"/>
  <c r="GF49" i="122"/>
  <c r="GE49" i="122"/>
  <c r="GD49" i="122"/>
  <c r="GC49" i="122"/>
  <c r="GB49" i="122"/>
  <c r="GA49" i="122"/>
  <c r="FZ49" i="122"/>
  <c r="FY49" i="122"/>
  <c r="FX49" i="122"/>
  <c r="FW49" i="122"/>
  <c r="FV49" i="122"/>
  <c r="FU49" i="122"/>
  <c r="FT49" i="122"/>
  <c r="FS49" i="122"/>
  <c r="FR49" i="122"/>
  <c r="FQ49" i="122"/>
  <c r="FP49" i="122"/>
  <c r="FO49" i="122"/>
  <c r="FN49" i="122"/>
  <c r="FM49" i="122"/>
  <c r="FL49" i="122"/>
  <c r="FK49" i="122"/>
  <c r="FJ49" i="122"/>
  <c r="FI49" i="122"/>
  <c r="FH49" i="122"/>
  <c r="FG49" i="122"/>
  <c r="FF49" i="122"/>
  <c r="FE49" i="122"/>
  <c r="FD49" i="122"/>
  <c r="FC49" i="122"/>
  <c r="FB49" i="122"/>
  <c r="FA49" i="122"/>
  <c r="EZ49" i="122"/>
  <c r="EY49" i="122"/>
  <c r="EX49" i="122"/>
  <c r="EW49" i="122"/>
  <c r="EV49" i="122"/>
  <c r="EU49" i="122"/>
  <c r="ET49" i="122"/>
  <c r="ES49" i="122"/>
  <c r="ER49" i="122"/>
  <c r="EQ49" i="122"/>
  <c r="EP49" i="122"/>
  <c r="EO49" i="122"/>
  <c r="EN49" i="122"/>
  <c r="EM49" i="122"/>
  <c r="EL49" i="122"/>
  <c r="EK49" i="122"/>
  <c r="EJ49" i="122"/>
  <c r="EI49" i="122"/>
  <c r="EH49" i="122"/>
  <c r="EG49" i="122"/>
  <c r="EF49" i="122"/>
  <c r="EE49" i="122"/>
  <c r="ED49" i="122"/>
  <c r="EC49" i="122"/>
  <c r="EB49" i="122"/>
  <c r="EA49" i="122"/>
  <c r="DZ49" i="122"/>
  <c r="DY49" i="122"/>
  <c r="DX49" i="122"/>
  <c r="DW49" i="122"/>
  <c r="DV49" i="122"/>
  <c r="DU49" i="122"/>
  <c r="DT49" i="122"/>
  <c r="DS49" i="122"/>
  <c r="DR49" i="122"/>
  <c r="DQ49" i="122"/>
  <c r="DP49" i="122"/>
  <c r="DO49" i="122"/>
  <c r="DN49" i="122"/>
  <c r="DM49" i="122"/>
  <c r="DL49" i="122"/>
  <c r="DK49" i="122"/>
  <c r="DJ49" i="122"/>
  <c r="DI49" i="122"/>
  <c r="DH49" i="122"/>
  <c r="DG49" i="122"/>
  <c r="DF49" i="122"/>
  <c r="DE49" i="122"/>
  <c r="DD49" i="122"/>
  <c r="DC49" i="122"/>
  <c r="DB49" i="122"/>
  <c r="DA49" i="122"/>
  <c r="CZ49" i="122"/>
  <c r="CY49" i="122"/>
  <c r="CX49" i="122"/>
  <c r="CW49" i="122"/>
  <c r="CV49" i="122"/>
  <c r="CU49" i="122"/>
  <c r="CT49" i="122"/>
  <c r="CS49" i="122"/>
  <c r="CR49" i="122"/>
  <c r="CQ49" i="122"/>
  <c r="CP49" i="122"/>
  <c r="CO49" i="122"/>
  <c r="CN49" i="122"/>
  <c r="CM49" i="122"/>
  <c r="CL49" i="122"/>
  <c r="CK49" i="122"/>
  <c r="CJ49" i="122"/>
  <c r="CI49" i="122"/>
  <c r="CH49" i="122"/>
  <c r="CG49" i="122"/>
  <c r="CF49" i="122"/>
  <c r="CE49" i="122"/>
  <c r="CD49" i="122"/>
  <c r="CC49" i="122"/>
  <c r="CB49" i="122"/>
  <c r="CA49" i="122"/>
  <c r="BZ49" i="122"/>
  <c r="BY49" i="122"/>
  <c r="BX49" i="122"/>
  <c r="BW49" i="122"/>
  <c r="BV49" i="122"/>
  <c r="BU49" i="122"/>
  <c r="BT49" i="122"/>
  <c r="BS49" i="122"/>
  <c r="BR49" i="122"/>
  <c r="BQ49" i="122"/>
  <c r="BP49" i="122"/>
  <c r="BO49" i="122"/>
  <c r="BN49" i="122"/>
  <c r="BM49" i="122"/>
  <c r="BL49" i="122"/>
  <c r="BK49" i="122"/>
  <c r="BJ49" i="122"/>
  <c r="BI49" i="122"/>
  <c r="BH49" i="122"/>
  <c r="BG49" i="122"/>
  <c r="BF49" i="122"/>
  <c r="BE49" i="122"/>
  <c r="BD49" i="122"/>
  <c r="BC49" i="122"/>
  <c r="BB49" i="122"/>
  <c r="BA49" i="122"/>
  <c r="AZ49" i="122"/>
  <c r="AY49" i="122"/>
  <c r="AX49" i="122"/>
  <c r="AW49" i="122"/>
  <c r="AV49" i="122"/>
  <c r="AU49" i="122"/>
  <c r="AT49" i="122"/>
  <c r="AS49" i="122"/>
  <c r="AR49" i="122"/>
  <c r="AQ49" i="122"/>
  <c r="AP49" i="122"/>
  <c r="AO49" i="122"/>
  <c r="AN49" i="122"/>
  <c r="AM49" i="122"/>
  <c r="AL49" i="122"/>
  <c r="AK49" i="122"/>
  <c r="AJ49" i="122"/>
  <c r="AI49" i="122"/>
  <c r="AH49" i="122"/>
  <c r="AG49" i="122"/>
  <c r="AF49" i="122"/>
  <c r="AE49" i="122"/>
  <c r="AD49" i="122"/>
  <c r="AC49" i="122"/>
  <c r="AB49" i="122"/>
  <c r="AA49" i="122"/>
  <c r="Z49" i="122"/>
  <c r="Y49" i="122"/>
  <c r="X49" i="122"/>
  <c r="W49" i="122"/>
  <c r="V49" i="122"/>
  <c r="U49" i="122"/>
  <c r="T49" i="122"/>
  <c r="S49" i="122"/>
  <c r="R49" i="122"/>
  <c r="Q49" i="122"/>
  <c r="P49" i="122"/>
  <c r="O49" i="122"/>
  <c r="N49" i="122"/>
  <c r="M49" i="122"/>
  <c r="L49" i="122"/>
  <c r="K49" i="122"/>
  <c r="J49" i="122"/>
  <c r="I49" i="122"/>
  <c r="H49" i="122"/>
  <c r="G49" i="122"/>
  <c r="F49" i="122"/>
  <c r="E49" i="122"/>
  <c r="D49" i="122"/>
  <c r="C49" i="122"/>
  <c r="B49" i="122"/>
  <c r="GP41" i="122"/>
  <c r="GO41" i="122"/>
  <c r="GN41" i="122"/>
  <c r="GM41" i="122"/>
  <c r="GL41" i="122"/>
  <c r="GK41" i="122"/>
  <c r="GJ41" i="122"/>
  <c r="GI41" i="122"/>
  <c r="GH41" i="122"/>
  <c r="GG41" i="122"/>
  <c r="GF41" i="122"/>
  <c r="GE41" i="122"/>
  <c r="GD41" i="122"/>
  <c r="GC41" i="122"/>
  <c r="GB41" i="122"/>
  <c r="GA41" i="122"/>
  <c r="FZ41" i="122"/>
  <c r="FY41" i="122"/>
  <c r="FX41" i="122"/>
  <c r="FW41" i="122"/>
  <c r="FV41" i="122"/>
  <c r="FU41" i="122"/>
  <c r="FT41" i="122"/>
  <c r="FS41" i="122"/>
  <c r="FR41" i="122"/>
  <c r="FQ41" i="122"/>
  <c r="FP41" i="122"/>
  <c r="FO41" i="122"/>
  <c r="FN41" i="122"/>
  <c r="FM41" i="122"/>
  <c r="FL41" i="122"/>
  <c r="FK41" i="122"/>
  <c r="FJ41" i="122"/>
  <c r="FI41" i="122"/>
  <c r="FH41" i="122"/>
  <c r="FG41" i="122"/>
  <c r="FF41" i="122"/>
  <c r="FE41" i="122"/>
  <c r="FD41" i="122"/>
  <c r="FC41" i="122"/>
  <c r="FB41" i="122"/>
  <c r="FA41" i="122"/>
  <c r="EZ41" i="122"/>
  <c r="EY41" i="122"/>
  <c r="EX41" i="122"/>
  <c r="EW41" i="122"/>
  <c r="EV41" i="122"/>
  <c r="EU41" i="122"/>
  <c r="ET41" i="122"/>
  <c r="ES41" i="122"/>
  <c r="ER41" i="122"/>
  <c r="EQ41" i="122"/>
  <c r="EP41" i="122"/>
  <c r="EO41" i="122"/>
  <c r="EN41" i="122"/>
  <c r="EM41" i="122"/>
  <c r="EL41" i="122"/>
  <c r="EK41" i="122"/>
  <c r="EJ41" i="122"/>
  <c r="EI41" i="122"/>
  <c r="EH41" i="122"/>
  <c r="EG41" i="122"/>
  <c r="EF41" i="122"/>
  <c r="EE41" i="122"/>
  <c r="ED41" i="122"/>
  <c r="EC41" i="122"/>
  <c r="EB41" i="122"/>
  <c r="EA41" i="122"/>
  <c r="DZ41" i="122"/>
  <c r="DY41" i="122"/>
  <c r="DX41" i="122"/>
  <c r="DW41" i="122"/>
  <c r="DV41" i="122"/>
  <c r="DU41" i="122"/>
  <c r="DT41" i="122"/>
  <c r="DS41" i="122"/>
  <c r="DR41" i="122"/>
  <c r="DQ41" i="122"/>
  <c r="DP41" i="122"/>
  <c r="DO41" i="122"/>
  <c r="DN41" i="122"/>
  <c r="DM41" i="122"/>
  <c r="DL41" i="122"/>
  <c r="DK41" i="122"/>
  <c r="DJ41" i="122"/>
  <c r="DI41" i="122"/>
  <c r="DH41" i="122"/>
  <c r="DG41" i="122"/>
  <c r="DF41" i="122"/>
  <c r="DE41" i="122"/>
  <c r="DD41" i="122"/>
  <c r="DC41" i="122"/>
  <c r="DB41" i="122"/>
  <c r="DA41" i="122"/>
  <c r="CZ41" i="122"/>
  <c r="CY41" i="122"/>
  <c r="CX41" i="122"/>
  <c r="CW41" i="122"/>
  <c r="CV41" i="122"/>
  <c r="CU41" i="122"/>
  <c r="CT41" i="122"/>
  <c r="CS41" i="122"/>
  <c r="CR41" i="122"/>
  <c r="CQ41" i="122"/>
  <c r="CP41" i="122"/>
  <c r="CO41" i="122"/>
  <c r="CN41" i="122"/>
  <c r="CM41" i="122"/>
  <c r="CL41" i="122"/>
  <c r="CK41" i="122"/>
  <c r="CJ41" i="122"/>
  <c r="CI41" i="122"/>
  <c r="CH41" i="122"/>
  <c r="CG41" i="122"/>
  <c r="CF41" i="122"/>
  <c r="CE41" i="122"/>
  <c r="CD41" i="122"/>
  <c r="CC41" i="122"/>
  <c r="CB41" i="122"/>
  <c r="CA41" i="122"/>
  <c r="BZ41" i="122"/>
  <c r="BY41" i="122"/>
  <c r="BX41" i="122"/>
  <c r="BW41" i="122"/>
  <c r="BV41" i="122"/>
  <c r="BU41" i="122"/>
  <c r="BT41" i="122"/>
  <c r="BS41" i="122"/>
  <c r="BR41" i="122"/>
  <c r="BQ41" i="122"/>
  <c r="BP41" i="122"/>
  <c r="BO41" i="122"/>
  <c r="BN41" i="122"/>
  <c r="BM41" i="122"/>
  <c r="BL41" i="122"/>
  <c r="BK41" i="122"/>
  <c r="BJ41" i="122"/>
  <c r="BI41" i="122"/>
  <c r="BH41" i="122"/>
  <c r="BG41" i="122"/>
  <c r="BF41" i="122"/>
  <c r="BE41" i="122"/>
  <c r="BD41" i="122"/>
  <c r="BC41" i="122"/>
  <c r="BB41" i="122"/>
  <c r="BA41" i="122"/>
  <c r="AZ41" i="122"/>
  <c r="AY41" i="122"/>
  <c r="AX41" i="122"/>
  <c r="AW41" i="122"/>
  <c r="AV41" i="122"/>
  <c r="AU41" i="122"/>
  <c r="AT41" i="122"/>
  <c r="AS41" i="122"/>
  <c r="AR41" i="122"/>
  <c r="AQ41" i="122"/>
  <c r="AP41" i="122"/>
  <c r="AO41" i="122"/>
  <c r="AN41" i="122"/>
  <c r="AM41" i="122"/>
  <c r="AL41" i="122"/>
  <c r="AK41" i="122"/>
  <c r="AJ41" i="122"/>
  <c r="AI41" i="122"/>
  <c r="AH41" i="122"/>
  <c r="AG41" i="122"/>
  <c r="AF41" i="122"/>
  <c r="AE41" i="122"/>
  <c r="AD41" i="122"/>
  <c r="AC41" i="122"/>
  <c r="AB41" i="122"/>
  <c r="AA41" i="122"/>
  <c r="Z41" i="122"/>
  <c r="Y41" i="122"/>
  <c r="X41" i="122"/>
  <c r="W41" i="122"/>
  <c r="V41" i="122"/>
  <c r="U41" i="122"/>
  <c r="T41" i="122"/>
  <c r="S41" i="122"/>
  <c r="R41" i="122"/>
  <c r="Q41" i="122"/>
  <c r="P41" i="122"/>
  <c r="O41" i="122"/>
  <c r="N41" i="122"/>
  <c r="M41" i="122"/>
  <c r="L41" i="122"/>
  <c r="K41" i="122"/>
  <c r="J41" i="122"/>
  <c r="I41" i="122"/>
  <c r="H41" i="122"/>
  <c r="G41" i="122"/>
  <c r="F41" i="122"/>
  <c r="E41" i="122"/>
  <c r="D41" i="122"/>
  <c r="C41" i="122"/>
  <c r="B41" i="122"/>
  <c r="GP30" i="122"/>
  <c r="GO30" i="122"/>
  <c r="GN30" i="122"/>
  <c r="GM30" i="122"/>
  <c r="GL30" i="122"/>
  <c r="GK30" i="122"/>
  <c r="GJ30" i="122"/>
  <c r="GI30" i="122"/>
  <c r="GH30" i="122"/>
  <c r="GG30" i="122"/>
  <c r="GF30" i="122"/>
  <c r="GE30" i="122"/>
  <c r="GD30" i="122"/>
  <c r="GC30" i="122"/>
  <c r="GB30" i="122"/>
  <c r="GA30" i="122"/>
  <c r="FZ30" i="122"/>
  <c r="FY30" i="122"/>
  <c r="FX30" i="122"/>
  <c r="FW30" i="122"/>
  <c r="FV30" i="122"/>
  <c r="FU30" i="122"/>
  <c r="FT30" i="122"/>
  <c r="FS30" i="122"/>
  <c r="FR30" i="122"/>
  <c r="FQ30" i="122"/>
  <c r="FP30" i="122"/>
  <c r="FO30" i="122"/>
  <c r="FN30" i="122"/>
  <c r="FM30" i="122"/>
  <c r="FL30" i="122"/>
  <c r="FK30" i="122"/>
  <c r="FJ30" i="122"/>
  <c r="FI30" i="122"/>
  <c r="FH30" i="122"/>
  <c r="FG30" i="122"/>
  <c r="FF30" i="122"/>
  <c r="FE30" i="122"/>
  <c r="FD30" i="122"/>
  <c r="FC30" i="122"/>
  <c r="FB30" i="122"/>
  <c r="FA30" i="122"/>
  <c r="EZ30" i="122"/>
  <c r="EY30" i="122"/>
  <c r="EX30" i="122"/>
  <c r="EW30" i="122"/>
  <c r="EV30" i="122"/>
  <c r="EU30" i="122"/>
  <c r="ET30" i="122"/>
  <c r="ES30" i="122"/>
  <c r="ER30" i="122"/>
  <c r="EQ30" i="122"/>
  <c r="EP30" i="122"/>
  <c r="EO30" i="122"/>
  <c r="EN30" i="122"/>
  <c r="EM30" i="122"/>
  <c r="EL30" i="122"/>
  <c r="EK30" i="122"/>
  <c r="EJ30" i="122"/>
  <c r="EI30" i="122"/>
  <c r="EH30" i="122"/>
  <c r="EG30" i="122"/>
  <c r="EF30" i="122"/>
  <c r="EE30" i="122"/>
  <c r="ED30" i="122"/>
  <c r="EC30" i="122"/>
  <c r="EB30" i="122"/>
  <c r="EA30" i="122"/>
  <c r="DZ30" i="122"/>
  <c r="DY30" i="122"/>
  <c r="DX30" i="122"/>
  <c r="DW30" i="122"/>
  <c r="DV30" i="122"/>
  <c r="DU30" i="122"/>
  <c r="DT30" i="122"/>
  <c r="DS30" i="122"/>
  <c r="DR30" i="122"/>
  <c r="DQ30" i="122"/>
  <c r="DP30" i="122"/>
  <c r="DO30" i="122"/>
  <c r="DN30" i="122"/>
  <c r="DM30" i="122"/>
  <c r="DL30" i="122"/>
  <c r="DK30" i="122"/>
  <c r="DJ30" i="122"/>
  <c r="DI30" i="122"/>
  <c r="DH30" i="122"/>
  <c r="DG30" i="122"/>
  <c r="DF30" i="122"/>
  <c r="DE30" i="122"/>
  <c r="DD30" i="122"/>
  <c r="DC30" i="122"/>
  <c r="DB30" i="122"/>
  <c r="DA30" i="122"/>
  <c r="CZ30" i="122"/>
  <c r="CY30" i="122"/>
  <c r="CX30" i="122"/>
  <c r="CW30" i="122"/>
  <c r="CV30" i="122"/>
  <c r="CU30" i="122"/>
  <c r="CT30" i="122"/>
  <c r="CS30" i="122"/>
  <c r="CR30" i="122"/>
  <c r="CQ30" i="122"/>
  <c r="CP30" i="122"/>
  <c r="CO30" i="122"/>
  <c r="CN30" i="122"/>
  <c r="CM30" i="122"/>
  <c r="CL30" i="122"/>
  <c r="CK30" i="122"/>
  <c r="CJ30" i="122"/>
  <c r="CI30" i="122"/>
  <c r="CH30" i="122"/>
  <c r="CG30" i="122"/>
  <c r="CF30" i="122"/>
  <c r="CE30" i="122"/>
  <c r="CD30" i="122"/>
  <c r="CC30" i="122"/>
  <c r="CB30" i="122"/>
  <c r="CA30" i="122"/>
  <c r="BZ30" i="122"/>
  <c r="BY30" i="122"/>
  <c r="BX30" i="122"/>
  <c r="BW30" i="122"/>
  <c r="BV30" i="122"/>
  <c r="BU30" i="122"/>
  <c r="BT30" i="122"/>
  <c r="BS30" i="122"/>
  <c r="BR30" i="122"/>
  <c r="BQ30" i="122"/>
  <c r="BP30" i="122"/>
  <c r="BO30" i="122"/>
  <c r="BN30" i="122"/>
  <c r="BM30" i="122"/>
  <c r="BL30" i="122"/>
  <c r="BK30" i="122"/>
  <c r="BJ30" i="122"/>
  <c r="BI30" i="122"/>
  <c r="BH30" i="122"/>
  <c r="BG30" i="122"/>
  <c r="BF30" i="122"/>
  <c r="BE30" i="122"/>
  <c r="BD30" i="122"/>
  <c r="BC30" i="122"/>
  <c r="BB30" i="122"/>
  <c r="BA30" i="122"/>
  <c r="AZ30" i="122"/>
  <c r="AY30" i="122"/>
  <c r="AX30" i="122"/>
  <c r="AW30" i="122"/>
  <c r="AV30" i="122"/>
  <c r="AU30" i="122"/>
  <c r="AT30" i="122"/>
  <c r="AS30" i="122"/>
  <c r="AR30" i="122"/>
  <c r="AQ30" i="122"/>
  <c r="AP30" i="122"/>
  <c r="AO30" i="122"/>
  <c r="AN30" i="122"/>
  <c r="AM30" i="122"/>
  <c r="AL30" i="122"/>
  <c r="AK30" i="122"/>
  <c r="AJ30" i="122"/>
  <c r="AI30" i="122"/>
  <c r="AH30" i="122"/>
  <c r="AG30" i="122"/>
  <c r="AF30" i="122"/>
  <c r="AE30" i="122"/>
  <c r="AD30" i="122"/>
  <c r="AC30" i="122"/>
  <c r="AB30" i="122"/>
  <c r="AA30" i="122"/>
  <c r="Z30" i="122"/>
  <c r="Y30" i="122"/>
  <c r="X30" i="122"/>
  <c r="W30" i="122"/>
  <c r="V30" i="122"/>
  <c r="U30" i="122"/>
  <c r="T30" i="122"/>
  <c r="S30" i="122"/>
  <c r="R30" i="122"/>
  <c r="Q30" i="122"/>
  <c r="P30" i="122"/>
  <c r="O30" i="122"/>
  <c r="N30" i="122"/>
  <c r="M30" i="122"/>
  <c r="L30" i="122"/>
  <c r="K30" i="122"/>
  <c r="J30" i="122"/>
  <c r="I30" i="122"/>
  <c r="H30" i="122"/>
  <c r="G30" i="122"/>
  <c r="F30" i="122"/>
  <c r="E30" i="122"/>
  <c r="D30" i="122"/>
  <c r="C30" i="122"/>
  <c r="B30" i="122"/>
  <c r="GP21" i="122"/>
  <c r="GO21" i="122"/>
  <c r="GN21" i="122"/>
  <c r="GM21" i="122"/>
  <c r="GL21" i="122"/>
  <c r="GK21" i="122"/>
  <c r="GJ21" i="122"/>
  <c r="GI21" i="122"/>
  <c r="GH21" i="122"/>
  <c r="GG21" i="122"/>
  <c r="GF21" i="122"/>
  <c r="GE21" i="122"/>
  <c r="GD21" i="122"/>
  <c r="GC21" i="122"/>
  <c r="GB21" i="122"/>
  <c r="GA21" i="122"/>
  <c r="FZ21" i="122"/>
  <c r="FY21" i="122"/>
  <c r="FX21" i="122"/>
  <c r="FW21" i="122"/>
  <c r="FV21" i="122"/>
  <c r="FU21" i="122"/>
  <c r="FT21" i="122"/>
  <c r="FS21" i="122"/>
  <c r="FR21" i="122"/>
  <c r="FQ21" i="122"/>
  <c r="FP21" i="122"/>
  <c r="FO21" i="122"/>
  <c r="FN21" i="122"/>
  <c r="FM21" i="122"/>
  <c r="FL21" i="122"/>
  <c r="FK21" i="122"/>
  <c r="FJ21" i="122"/>
  <c r="FI21" i="122"/>
  <c r="FH21" i="122"/>
  <c r="FG21" i="122"/>
  <c r="FF21" i="122"/>
  <c r="FE21" i="122"/>
  <c r="FD21" i="122"/>
  <c r="FC21" i="122"/>
  <c r="FB21" i="122"/>
  <c r="FA21" i="122"/>
  <c r="EZ21" i="122"/>
  <c r="EY21" i="122"/>
  <c r="EX21" i="122"/>
  <c r="EW21" i="122"/>
  <c r="EV21" i="122"/>
  <c r="EU21" i="122"/>
  <c r="ET21" i="122"/>
  <c r="ES21" i="122"/>
  <c r="ER21" i="122"/>
  <c r="EQ21" i="122"/>
  <c r="EP21" i="122"/>
  <c r="EO21" i="122"/>
  <c r="EN21" i="122"/>
  <c r="EM21" i="122"/>
  <c r="EL21" i="122"/>
  <c r="EK21" i="122"/>
  <c r="EJ21" i="122"/>
  <c r="EI21" i="122"/>
  <c r="EH21" i="122"/>
  <c r="EG21" i="122"/>
  <c r="EF21" i="122"/>
  <c r="EE21" i="122"/>
  <c r="ED21" i="122"/>
  <c r="EC21" i="122"/>
  <c r="EB21" i="122"/>
  <c r="EA21" i="122"/>
  <c r="DZ21" i="122"/>
  <c r="DY21" i="122"/>
  <c r="DX21" i="122"/>
  <c r="DW21" i="122"/>
  <c r="DV21" i="122"/>
  <c r="DU21" i="122"/>
  <c r="DT21" i="122"/>
  <c r="DS21" i="122"/>
  <c r="DR21" i="122"/>
  <c r="DQ21" i="122"/>
  <c r="DP21" i="122"/>
  <c r="DO21" i="122"/>
  <c r="DN21" i="122"/>
  <c r="DM21" i="122"/>
  <c r="DL21" i="122"/>
  <c r="DK21" i="122"/>
  <c r="DJ21" i="122"/>
  <c r="DI21" i="122"/>
  <c r="DH21" i="122"/>
  <c r="DG21" i="122"/>
  <c r="DF21" i="122"/>
  <c r="DE21" i="122"/>
  <c r="DD21" i="122"/>
  <c r="DC21" i="122"/>
  <c r="DB21" i="122"/>
  <c r="DA21" i="122"/>
  <c r="CZ21" i="122"/>
  <c r="CY21" i="122"/>
  <c r="CX21" i="122"/>
  <c r="CW21" i="122"/>
  <c r="CV21" i="122"/>
  <c r="CU21" i="122"/>
  <c r="CT21" i="122"/>
  <c r="CS21" i="122"/>
  <c r="CR21" i="122"/>
  <c r="CQ21" i="122"/>
  <c r="CP21" i="122"/>
  <c r="CO21" i="122"/>
  <c r="CN21" i="122"/>
  <c r="CM21" i="122"/>
  <c r="CL21" i="122"/>
  <c r="CK21" i="122"/>
  <c r="CJ21" i="122"/>
  <c r="CI21" i="122"/>
  <c r="CH21" i="122"/>
  <c r="CG21" i="122"/>
  <c r="CF21" i="122"/>
  <c r="CE21" i="122"/>
  <c r="CD21" i="122"/>
  <c r="CC21" i="122"/>
  <c r="CB21" i="122"/>
  <c r="CA21" i="122"/>
  <c r="BZ21" i="122"/>
  <c r="BY21" i="122"/>
  <c r="BX21" i="122"/>
  <c r="BW21" i="122"/>
  <c r="BV21" i="122"/>
  <c r="BU21" i="122"/>
  <c r="BT21" i="122"/>
  <c r="BS21" i="122"/>
  <c r="BR21" i="122"/>
  <c r="BQ21" i="122"/>
  <c r="BP21" i="122"/>
  <c r="BO21" i="122"/>
  <c r="BN21" i="122"/>
  <c r="BM21" i="122"/>
  <c r="BL21" i="122"/>
  <c r="BK21" i="122"/>
  <c r="BJ21" i="122"/>
  <c r="BI21" i="122"/>
  <c r="BH21" i="122"/>
  <c r="BG21" i="122"/>
  <c r="BF21" i="122"/>
  <c r="BE21" i="122"/>
  <c r="BD21" i="122"/>
  <c r="BC21" i="122"/>
  <c r="BB21" i="122"/>
  <c r="BA21" i="122"/>
  <c r="AZ21" i="122"/>
  <c r="AY21" i="122"/>
  <c r="AX21" i="122"/>
  <c r="AW21" i="122"/>
  <c r="AV21" i="122"/>
  <c r="AU21" i="122"/>
  <c r="AT21" i="122"/>
  <c r="AS21" i="122"/>
  <c r="AR21" i="122"/>
  <c r="AQ21" i="122"/>
  <c r="AP21" i="122"/>
  <c r="AO21" i="122"/>
  <c r="AN21" i="122"/>
  <c r="AM21" i="122"/>
  <c r="AL21" i="122"/>
  <c r="AK21" i="122"/>
  <c r="AJ21" i="122"/>
  <c r="AI21" i="122"/>
  <c r="AH21" i="122"/>
  <c r="AG21" i="122"/>
  <c r="AF21" i="122"/>
  <c r="AE21" i="122"/>
  <c r="AD21" i="122"/>
  <c r="AC21" i="122"/>
  <c r="AB21" i="122"/>
  <c r="AA21" i="122"/>
  <c r="Z21" i="122"/>
  <c r="Y21" i="122"/>
  <c r="X21" i="122"/>
  <c r="W21" i="122"/>
  <c r="V21" i="122"/>
  <c r="U21" i="122"/>
  <c r="T21" i="122"/>
  <c r="S21" i="122"/>
  <c r="R21" i="122"/>
  <c r="Q21" i="122"/>
  <c r="P21" i="122"/>
  <c r="O21" i="122"/>
  <c r="N21" i="122"/>
  <c r="M21" i="122"/>
  <c r="L21" i="122"/>
  <c r="K21" i="122"/>
  <c r="J21" i="122"/>
  <c r="I21" i="122"/>
  <c r="H21" i="122"/>
  <c r="G21" i="122"/>
  <c r="F21" i="122"/>
  <c r="E21" i="122"/>
  <c r="D21" i="122"/>
  <c r="C21" i="122"/>
  <c r="B21" i="122"/>
  <c r="GP13" i="122"/>
  <c r="GO13" i="122"/>
  <c r="GN13" i="122"/>
  <c r="GM13" i="122"/>
  <c r="GL13" i="122"/>
  <c r="GK13" i="122"/>
  <c r="GJ13" i="122"/>
  <c r="GI13" i="122"/>
  <c r="GH13" i="122"/>
  <c r="GG13" i="122"/>
  <c r="GF13" i="122"/>
  <c r="GE13" i="122"/>
  <c r="GD13" i="122"/>
  <c r="GC13" i="122"/>
  <c r="GB13" i="122"/>
  <c r="GA13" i="122"/>
  <c r="FZ13" i="122"/>
  <c r="FY13" i="122"/>
  <c r="FX13" i="122"/>
  <c r="FW13" i="122"/>
  <c r="FV13" i="122"/>
  <c r="FU13" i="122"/>
  <c r="FT13" i="122"/>
  <c r="FS13" i="122"/>
  <c r="FR13" i="122"/>
  <c r="FQ13" i="122"/>
  <c r="FP13" i="122"/>
  <c r="FO13" i="122"/>
  <c r="FN13" i="122"/>
  <c r="FM13" i="122"/>
  <c r="FL13" i="122"/>
  <c r="FK13" i="122"/>
  <c r="FJ13" i="122"/>
  <c r="FI13" i="122"/>
  <c r="FH13" i="122"/>
  <c r="FG13" i="122"/>
  <c r="FF13" i="122"/>
  <c r="FE13" i="122"/>
  <c r="FD13" i="122"/>
  <c r="FC13" i="122"/>
  <c r="FB13" i="122"/>
  <c r="FA13" i="122"/>
  <c r="EZ13" i="122"/>
  <c r="EY13" i="122"/>
  <c r="EX13" i="122"/>
  <c r="EW13" i="122"/>
  <c r="EV13" i="122"/>
  <c r="EU13" i="122"/>
  <c r="ET13" i="122"/>
  <c r="ES13" i="122"/>
  <c r="ER13" i="122"/>
  <c r="EQ13" i="122"/>
  <c r="EP13" i="122"/>
  <c r="EO13" i="122"/>
  <c r="EN13" i="122"/>
  <c r="EM13" i="122"/>
  <c r="EL13" i="122"/>
  <c r="EK13" i="122"/>
  <c r="EJ13" i="122"/>
  <c r="EI13" i="122"/>
  <c r="EH13" i="122"/>
  <c r="EG13" i="122"/>
  <c r="EF13" i="122"/>
  <c r="EE13" i="122"/>
  <c r="ED13" i="122"/>
  <c r="EC13" i="122"/>
  <c r="EB13" i="122"/>
  <c r="EA13" i="122"/>
  <c r="DZ13" i="122"/>
  <c r="DY13" i="122"/>
  <c r="DX13" i="122"/>
  <c r="DW13" i="122"/>
  <c r="DV13" i="122"/>
  <c r="DU13" i="122"/>
  <c r="DT13" i="122"/>
  <c r="DS13" i="122"/>
  <c r="DR13" i="122"/>
  <c r="DQ13" i="122"/>
  <c r="DP13" i="122"/>
  <c r="DO13" i="122"/>
  <c r="DN13" i="122"/>
  <c r="DM13" i="122"/>
  <c r="DL13" i="122"/>
  <c r="DK13" i="122"/>
  <c r="DJ13" i="122"/>
  <c r="DI13" i="122"/>
  <c r="DH13" i="122"/>
  <c r="DG13" i="122"/>
  <c r="DF13" i="122"/>
  <c r="DE13" i="122"/>
  <c r="DD13" i="122"/>
  <c r="DC13" i="122"/>
  <c r="DB13" i="122"/>
  <c r="DA13" i="122"/>
  <c r="CZ13" i="122"/>
  <c r="CY13" i="122"/>
  <c r="CX13" i="122"/>
  <c r="CW13" i="122"/>
  <c r="CV13" i="122"/>
  <c r="CU13" i="122"/>
  <c r="CT13" i="122"/>
  <c r="CS13" i="122"/>
  <c r="CR13" i="122"/>
  <c r="CQ13" i="122"/>
  <c r="CP13" i="122"/>
  <c r="CO13" i="122"/>
  <c r="CN13" i="122"/>
  <c r="CM13" i="122"/>
  <c r="CL13" i="122"/>
  <c r="CK13" i="122"/>
  <c r="CJ13" i="122"/>
  <c r="CI13" i="122"/>
  <c r="CH13" i="122"/>
  <c r="CG13" i="122"/>
  <c r="CF13" i="122"/>
  <c r="CE13" i="122"/>
  <c r="CD13" i="122"/>
  <c r="CC13" i="122"/>
  <c r="CB13" i="122"/>
  <c r="CA13" i="122"/>
  <c r="BZ13" i="122"/>
  <c r="BY13" i="122"/>
  <c r="BX13" i="122"/>
  <c r="BW13" i="122"/>
  <c r="BV13" i="122"/>
  <c r="BU13" i="122"/>
  <c r="BT13" i="122"/>
  <c r="BS13" i="122"/>
  <c r="BR13" i="122"/>
  <c r="BQ13" i="122"/>
  <c r="BP13" i="122"/>
  <c r="BO13" i="122"/>
  <c r="BN13" i="122"/>
  <c r="BM13" i="122"/>
  <c r="BL13" i="122"/>
  <c r="BK13" i="122"/>
  <c r="BJ13" i="122"/>
  <c r="BI13" i="122"/>
  <c r="BH13" i="122"/>
  <c r="BG13" i="122"/>
  <c r="BF13" i="122"/>
  <c r="BE13" i="122"/>
  <c r="BD13" i="122"/>
  <c r="BC13" i="122"/>
  <c r="BB13" i="122"/>
  <c r="BA13" i="122"/>
  <c r="AZ13" i="122"/>
  <c r="AY13" i="122"/>
  <c r="AX13" i="122"/>
  <c r="AW13" i="122"/>
  <c r="AV13" i="122"/>
  <c r="AU13" i="122"/>
  <c r="AT13" i="122"/>
  <c r="AS13" i="122"/>
  <c r="AR13" i="122"/>
  <c r="AQ13" i="122"/>
  <c r="AP13" i="122"/>
  <c r="AO13" i="122"/>
  <c r="AN13" i="122"/>
  <c r="AM13" i="122"/>
  <c r="AL13" i="122"/>
  <c r="AK13" i="122"/>
  <c r="AJ13" i="122"/>
  <c r="AI13" i="122"/>
  <c r="AH13" i="122"/>
  <c r="AG13" i="122"/>
  <c r="AF13" i="122"/>
  <c r="AE13" i="122"/>
  <c r="AD13" i="122"/>
  <c r="AC13" i="122"/>
  <c r="AB13" i="122"/>
  <c r="AA13" i="122"/>
  <c r="Z13" i="122"/>
  <c r="Y13" i="122"/>
  <c r="X13" i="122"/>
  <c r="W13" i="122"/>
  <c r="V13" i="122"/>
  <c r="U13" i="122"/>
  <c r="T13" i="122"/>
  <c r="S13" i="122"/>
  <c r="R13" i="122"/>
  <c r="Q13" i="122"/>
  <c r="P13" i="122"/>
  <c r="O13" i="122"/>
  <c r="N13" i="122"/>
  <c r="M13" i="122"/>
  <c r="L13" i="122"/>
  <c r="K13" i="122"/>
  <c r="J13" i="122"/>
  <c r="I13" i="122"/>
  <c r="H13" i="122"/>
  <c r="G13" i="122"/>
  <c r="F13" i="122"/>
  <c r="E13" i="122"/>
  <c r="D13" i="122"/>
  <c r="C13" i="122"/>
  <c r="B13" i="122"/>
  <c r="B49" i="7"/>
  <c r="C49" i="7"/>
  <c r="D49" i="7"/>
  <c r="E49" i="7"/>
  <c r="F49" i="7"/>
  <c r="G49" i="7"/>
  <c r="H49" i="7"/>
  <c r="I49" i="7"/>
  <c r="J49" i="7"/>
  <c r="K49" i="7"/>
  <c r="L49" i="7"/>
  <c r="M49" i="7"/>
  <c r="N49" i="7"/>
  <c r="O49" i="7"/>
  <c r="P49" i="7"/>
  <c r="Q49" i="7"/>
  <c r="R49" i="7"/>
  <c r="S49" i="7"/>
  <c r="T49" i="7"/>
  <c r="U49" i="7"/>
  <c r="V49" i="7"/>
  <c r="W49" i="7"/>
  <c r="X49" i="7"/>
  <c r="Y49" i="7"/>
  <c r="Z49" i="7"/>
  <c r="AA49" i="7"/>
  <c r="AB49" i="7"/>
  <c r="AC49" i="7"/>
  <c r="AD49" i="7"/>
  <c r="AE49" i="7"/>
  <c r="AF49" i="7"/>
  <c r="AG49" i="7"/>
  <c r="AH49" i="7"/>
  <c r="AI49" i="7"/>
  <c r="AJ49" i="7"/>
  <c r="AK49" i="7"/>
  <c r="AL49" i="7"/>
  <c r="AM49" i="7"/>
  <c r="AN49" i="7"/>
  <c r="AO49" i="7"/>
  <c r="AP49" i="7"/>
  <c r="AQ49" i="7"/>
  <c r="AR49" i="7"/>
  <c r="AS49" i="7"/>
  <c r="AT49" i="7"/>
  <c r="AU49" i="7"/>
  <c r="AV49" i="7"/>
  <c r="AW49" i="7"/>
  <c r="AX49" i="7"/>
  <c r="AY49" i="7"/>
  <c r="AZ49" i="7"/>
  <c r="BA49" i="7"/>
  <c r="BB49" i="7"/>
  <c r="BC49" i="7"/>
  <c r="BD49" i="7"/>
  <c r="BE49" i="7"/>
  <c r="BF49" i="7"/>
  <c r="BG49" i="7"/>
  <c r="BH49" i="7"/>
  <c r="BI49" i="7"/>
  <c r="BJ49" i="7"/>
  <c r="BK49" i="7"/>
  <c r="BL49" i="7"/>
  <c r="BM49" i="7"/>
  <c r="BN49" i="7"/>
  <c r="BO49" i="7"/>
  <c r="BP49" i="7"/>
  <c r="BQ49" i="7"/>
  <c r="BR49" i="7"/>
  <c r="BS49" i="7"/>
  <c r="BT49" i="7"/>
  <c r="BU49" i="7"/>
  <c r="BV49" i="7"/>
  <c r="BW49" i="7"/>
  <c r="BX49" i="7"/>
  <c r="BY49" i="7"/>
  <c r="BZ49" i="7"/>
  <c r="CA49" i="7"/>
  <c r="CB49" i="7"/>
  <c r="CC49" i="7"/>
  <c r="CD49" i="7"/>
  <c r="CE49" i="7"/>
  <c r="CF49" i="7"/>
  <c r="CG49" i="7"/>
  <c r="CH49" i="7"/>
  <c r="CI49" i="7"/>
  <c r="CJ49" i="7"/>
  <c r="CK49" i="7"/>
  <c r="CL49" i="7"/>
  <c r="CM49" i="7"/>
  <c r="CN49" i="7"/>
  <c r="CO49" i="7"/>
  <c r="CP49" i="7"/>
  <c r="CQ49" i="7"/>
  <c r="CR49" i="7"/>
  <c r="CS49" i="7"/>
  <c r="CT49" i="7"/>
  <c r="CU49" i="7"/>
  <c r="CV49" i="7"/>
  <c r="CW49" i="7"/>
  <c r="CX49" i="7"/>
  <c r="CY49" i="7"/>
  <c r="CZ49" i="7"/>
  <c r="DA49" i="7"/>
  <c r="DB49" i="7"/>
  <c r="DC49" i="7"/>
  <c r="DD49" i="7"/>
  <c r="DE49" i="7"/>
  <c r="DF49" i="7"/>
  <c r="DG49" i="7"/>
  <c r="DH49" i="7"/>
  <c r="DI49" i="7"/>
  <c r="DJ49" i="7"/>
  <c r="DK49" i="7"/>
  <c r="DL49" i="7"/>
  <c r="DM49" i="7"/>
  <c r="DN49" i="7"/>
  <c r="DO49" i="7"/>
  <c r="DP49" i="7"/>
  <c r="DQ49" i="7"/>
  <c r="DR49" i="7"/>
  <c r="DS49" i="7"/>
  <c r="DT49" i="7"/>
  <c r="DU49" i="7"/>
  <c r="DV49" i="7"/>
  <c r="DW49" i="7"/>
  <c r="DX49" i="7"/>
  <c r="DY49" i="7"/>
  <c r="DZ49" i="7"/>
  <c r="EA49" i="7"/>
  <c r="EB49" i="7"/>
  <c r="EC49" i="7"/>
  <c r="ED49" i="7"/>
  <c r="EE49" i="7"/>
  <c r="EF49" i="7"/>
  <c r="EG49" i="7"/>
  <c r="EH49" i="7"/>
  <c r="EI49" i="7"/>
  <c r="EJ49" i="7"/>
  <c r="EK49" i="7"/>
  <c r="EL49" i="7"/>
  <c r="EM49" i="7"/>
  <c r="EN49" i="7"/>
  <c r="EO49" i="7"/>
  <c r="EP49" i="7"/>
  <c r="EQ49" i="7"/>
  <c r="ER49" i="7"/>
  <c r="ES49" i="7"/>
  <c r="ET49" i="7"/>
  <c r="EU49" i="7"/>
  <c r="EV49" i="7"/>
  <c r="EW49" i="7"/>
  <c r="EX49" i="7"/>
  <c r="EY49" i="7"/>
  <c r="EZ49" i="7"/>
  <c r="FA49" i="7"/>
  <c r="FB49" i="7"/>
  <c r="FC49" i="7"/>
  <c r="FD49" i="7"/>
  <c r="FE49" i="7"/>
  <c r="FF49" i="7"/>
  <c r="FG49" i="7"/>
  <c r="FH49" i="7"/>
  <c r="FI49" i="7"/>
  <c r="FJ49" i="7"/>
  <c r="FK49" i="7"/>
  <c r="FL49" i="7"/>
  <c r="FM49" i="7"/>
  <c r="FN49" i="7"/>
  <c r="FO49" i="7"/>
  <c r="FP49" i="7"/>
  <c r="FQ49" i="7"/>
  <c r="FR49" i="7"/>
  <c r="FS49" i="7"/>
  <c r="FT49" i="7"/>
  <c r="FU49" i="7"/>
  <c r="FV49" i="7"/>
  <c r="FW49" i="7"/>
  <c r="FX49" i="7"/>
  <c r="FY49" i="7"/>
  <c r="FZ49" i="7"/>
  <c r="GA49" i="7"/>
  <c r="GB49" i="7"/>
  <c r="GC49" i="7"/>
  <c r="GD49" i="7"/>
  <c r="GE49" i="7"/>
  <c r="GF49" i="7"/>
  <c r="GG49" i="7"/>
  <c r="GH49" i="7"/>
  <c r="GI49" i="7"/>
  <c r="GJ49" i="7"/>
  <c r="GK49" i="7"/>
  <c r="GL49" i="7"/>
  <c r="GM49" i="7"/>
  <c r="GN49" i="7"/>
  <c r="GO49" i="7"/>
  <c r="GP49" i="7"/>
  <c r="B36" i="7"/>
  <c r="C36" i="7"/>
  <c r="D36" i="7"/>
  <c r="E36" i="7"/>
  <c r="F36" i="7"/>
  <c r="G36" i="7"/>
  <c r="H36" i="7"/>
  <c r="I36" i="7"/>
  <c r="J36" i="7"/>
  <c r="K36" i="7"/>
  <c r="L36" i="7"/>
  <c r="M36" i="7"/>
  <c r="N36" i="7"/>
  <c r="O36" i="7"/>
  <c r="P36" i="7"/>
  <c r="Q36" i="7"/>
  <c r="R36" i="7"/>
  <c r="S36" i="7"/>
  <c r="T36" i="7"/>
  <c r="U36" i="7"/>
  <c r="V36" i="7"/>
  <c r="W36" i="7"/>
  <c r="X36" i="7"/>
  <c r="Y36" i="7"/>
  <c r="Z36" i="7"/>
  <c r="AA36" i="7"/>
  <c r="AB36" i="7"/>
  <c r="AC36" i="7"/>
  <c r="AD36" i="7"/>
  <c r="AE36" i="7"/>
  <c r="AF36" i="7"/>
  <c r="AG36" i="7"/>
  <c r="AH36" i="7"/>
  <c r="AI36" i="7"/>
  <c r="AJ36" i="7"/>
  <c r="AK36" i="7"/>
  <c r="AL36" i="7"/>
  <c r="AM36" i="7"/>
  <c r="AN36" i="7"/>
  <c r="AO36" i="7"/>
  <c r="AP36" i="7"/>
  <c r="AQ36" i="7"/>
  <c r="AR36" i="7"/>
  <c r="AS36" i="7"/>
  <c r="AT36" i="7"/>
  <c r="AU36" i="7"/>
  <c r="AV36" i="7"/>
  <c r="AW36" i="7"/>
  <c r="AX36" i="7"/>
  <c r="AY36" i="7"/>
  <c r="AZ36" i="7"/>
  <c r="BA36" i="7"/>
  <c r="BB36" i="7"/>
  <c r="BC36" i="7"/>
  <c r="BD36" i="7"/>
  <c r="BE36" i="7"/>
  <c r="BF36" i="7"/>
  <c r="BG36" i="7"/>
  <c r="BH36" i="7"/>
  <c r="BI36" i="7"/>
  <c r="BJ36" i="7"/>
  <c r="BK36" i="7"/>
  <c r="BL36" i="7"/>
  <c r="BM36" i="7"/>
  <c r="BN36" i="7"/>
  <c r="BO36" i="7"/>
  <c r="BP36" i="7"/>
  <c r="BQ36" i="7"/>
  <c r="BR36" i="7"/>
  <c r="BS36" i="7"/>
  <c r="BT36" i="7"/>
  <c r="BU36" i="7"/>
  <c r="BV36" i="7"/>
  <c r="BW36" i="7"/>
  <c r="BX36" i="7"/>
  <c r="BY36" i="7"/>
  <c r="BZ36" i="7"/>
  <c r="CA36" i="7"/>
  <c r="CB36" i="7"/>
  <c r="CC36" i="7"/>
  <c r="CD36" i="7"/>
  <c r="CE36" i="7"/>
  <c r="CF36" i="7"/>
  <c r="CG36" i="7"/>
  <c r="CH36" i="7"/>
  <c r="CI36" i="7"/>
  <c r="CJ36" i="7"/>
  <c r="CK36" i="7"/>
  <c r="CL36" i="7"/>
  <c r="CM36" i="7"/>
  <c r="CN36" i="7"/>
  <c r="CO36" i="7"/>
  <c r="CP36" i="7"/>
  <c r="CQ36" i="7"/>
  <c r="CR36" i="7"/>
  <c r="CS36" i="7"/>
  <c r="CT36" i="7"/>
  <c r="CU36" i="7"/>
  <c r="CV36" i="7"/>
  <c r="CW36" i="7"/>
  <c r="CX36" i="7"/>
  <c r="CY36" i="7"/>
  <c r="CZ36" i="7"/>
  <c r="DA36" i="7"/>
  <c r="DB36" i="7"/>
  <c r="DC36" i="7"/>
  <c r="DD36" i="7"/>
  <c r="DE36" i="7"/>
  <c r="DF36" i="7"/>
  <c r="DG36" i="7"/>
  <c r="DH36" i="7"/>
  <c r="DI36" i="7"/>
  <c r="DJ36" i="7"/>
  <c r="DK36" i="7"/>
  <c r="DL36" i="7"/>
  <c r="DM36" i="7"/>
  <c r="DN36" i="7"/>
  <c r="DO36" i="7"/>
  <c r="DP36" i="7"/>
  <c r="DQ36" i="7"/>
  <c r="DR36" i="7"/>
  <c r="DS36" i="7"/>
  <c r="DT36" i="7"/>
  <c r="DU36" i="7"/>
  <c r="DV36" i="7"/>
  <c r="DW36" i="7"/>
  <c r="DX36" i="7"/>
  <c r="DY36" i="7"/>
  <c r="DZ36" i="7"/>
  <c r="EA36" i="7"/>
  <c r="EB36" i="7"/>
  <c r="EC36" i="7"/>
  <c r="ED36" i="7"/>
  <c r="EE36" i="7"/>
  <c r="EF36" i="7"/>
  <c r="EG36" i="7"/>
  <c r="EH36" i="7"/>
  <c r="EI36" i="7"/>
  <c r="EJ36" i="7"/>
  <c r="EK36" i="7"/>
  <c r="EL36" i="7"/>
  <c r="EM36" i="7"/>
  <c r="EN36" i="7"/>
  <c r="EO36" i="7"/>
  <c r="EP36" i="7"/>
  <c r="EQ36" i="7"/>
  <c r="ER36" i="7"/>
  <c r="ES36" i="7"/>
  <c r="ET36" i="7"/>
  <c r="EU36" i="7"/>
  <c r="EV36" i="7"/>
  <c r="EW36" i="7"/>
  <c r="EX36" i="7"/>
  <c r="EY36" i="7"/>
  <c r="EZ36" i="7"/>
  <c r="FA36" i="7"/>
  <c r="FB36" i="7"/>
  <c r="FC36" i="7"/>
  <c r="FD36" i="7"/>
  <c r="FE36" i="7"/>
  <c r="FF36" i="7"/>
  <c r="FG36" i="7"/>
  <c r="FH36" i="7"/>
  <c r="FI36" i="7"/>
  <c r="FJ36" i="7"/>
  <c r="FK36" i="7"/>
  <c r="FL36" i="7"/>
  <c r="FM36" i="7"/>
  <c r="FN36" i="7"/>
  <c r="FO36" i="7"/>
  <c r="FP36" i="7"/>
  <c r="FQ36" i="7"/>
  <c r="FR36" i="7"/>
  <c r="FS36" i="7"/>
  <c r="FT36" i="7"/>
  <c r="FU36" i="7"/>
  <c r="FV36" i="7"/>
  <c r="FW36" i="7"/>
  <c r="FX36" i="7"/>
  <c r="FY36" i="7"/>
  <c r="FZ36" i="7"/>
  <c r="GA36" i="7"/>
  <c r="GB36" i="7"/>
  <c r="GC36" i="7"/>
  <c r="GD36" i="7"/>
  <c r="GE36" i="7"/>
  <c r="GF36" i="7"/>
  <c r="GG36" i="7"/>
  <c r="GH36" i="7"/>
  <c r="GI36" i="7"/>
  <c r="GJ36" i="7"/>
  <c r="GK36" i="7"/>
  <c r="GL36" i="7"/>
  <c r="GM36" i="7"/>
  <c r="GN36" i="7"/>
  <c r="GO36" i="7"/>
  <c r="GP36" i="7"/>
  <c r="GP13" i="6" l="1"/>
  <c r="GP21" i="6"/>
  <c r="GP30" i="6"/>
  <c r="GP41" i="6"/>
  <c r="GP49" i="6"/>
  <c r="GP57" i="6"/>
  <c r="GP41" i="7"/>
  <c r="GP13" i="7"/>
  <c r="GP18" i="7"/>
  <c r="GP26" i="7"/>
  <c r="GO57" i="119"/>
  <c r="GN57" i="119"/>
  <c r="GM57" i="119"/>
  <c r="GL57" i="119"/>
  <c r="GK57" i="119"/>
  <c r="GJ57" i="119"/>
  <c r="GI57" i="119"/>
  <c r="GH57" i="119"/>
  <c r="GG57" i="119"/>
  <c r="GF57" i="119"/>
  <c r="GE57" i="119"/>
  <c r="GD57" i="119"/>
  <c r="GC57" i="119"/>
  <c r="GB57" i="119"/>
  <c r="GA57" i="119"/>
  <c r="FZ57" i="119"/>
  <c r="FY57" i="119"/>
  <c r="FX57" i="119"/>
  <c r="FW57" i="119"/>
  <c r="FV57" i="119"/>
  <c r="FU57" i="119"/>
  <c r="FT57" i="119"/>
  <c r="FS57" i="119"/>
  <c r="FR57" i="119"/>
  <c r="FQ57" i="119"/>
  <c r="FP57" i="119"/>
  <c r="FO57" i="119"/>
  <c r="FN57" i="119"/>
  <c r="FM57" i="119"/>
  <c r="FL57" i="119"/>
  <c r="FK57" i="119"/>
  <c r="FJ57" i="119"/>
  <c r="FI57" i="119"/>
  <c r="FH57" i="119"/>
  <c r="FG57" i="119"/>
  <c r="FF57" i="119"/>
  <c r="FE57" i="119"/>
  <c r="FD57" i="119"/>
  <c r="FC57" i="119"/>
  <c r="FB57" i="119"/>
  <c r="FA57" i="119"/>
  <c r="EZ57" i="119"/>
  <c r="EY57" i="119"/>
  <c r="EX57" i="119"/>
  <c r="EW57" i="119"/>
  <c r="EV57" i="119"/>
  <c r="EU57" i="119"/>
  <c r="ET57" i="119"/>
  <c r="ES57" i="119"/>
  <c r="ER57" i="119"/>
  <c r="EQ57" i="119"/>
  <c r="EP57" i="119"/>
  <c r="EO57" i="119"/>
  <c r="EN57" i="119"/>
  <c r="EM57" i="119"/>
  <c r="EL57" i="119"/>
  <c r="EK57" i="119"/>
  <c r="EJ57" i="119"/>
  <c r="EI57" i="119"/>
  <c r="EH57" i="119"/>
  <c r="EG57" i="119"/>
  <c r="EF57" i="119"/>
  <c r="EE57" i="119"/>
  <c r="ED57" i="119"/>
  <c r="EC57" i="119"/>
  <c r="EB57" i="119"/>
  <c r="EA57" i="119"/>
  <c r="DZ57" i="119"/>
  <c r="DY57" i="119"/>
  <c r="DX57" i="119"/>
  <c r="DW57" i="119"/>
  <c r="DV57" i="119"/>
  <c r="DU57" i="119"/>
  <c r="DT57" i="119"/>
  <c r="DS57" i="119"/>
  <c r="DR57" i="119"/>
  <c r="DQ57" i="119"/>
  <c r="DP57" i="119"/>
  <c r="DO57" i="119"/>
  <c r="DN57" i="119"/>
  <c r="DM57" i="119"/>
  <c r="DL57" i="119"/>
  <c r="DK57" i="119"/>
  <c r="DJ57" i="119"/>
  <c r="DI57" i="119"/>
  <c r="DH57" i="119"/>
  <c r="DG57" i="119"/>
  <c r="DF57" i="119"/>
  <c r="DE57" i="119"/>
  <c r="DD57" i="119"/>
  <c r="DC57" i="119"/>
  <c r="DB57" i="119"/>
  <c r="DA57" i="119"/>
  <c r="CZ57" i="119"/>
  <c r="CY57" i="119"/>
  <c r="CX57" i="119"/>
  <c r="CW57" i="119"/>
  <c r="CV57" i="119"/>
  <c r="CU57" i="119"/>
  <c r="CT57" i="119"/>
  <c r="CS57" i="119"/>
  <c r="CR57" i="119"/>
  <c r="CQ57" i="119"/>
  <c r="CP57" i="119"/>
  <c r="CO57" i="119"/>
  <c r="CN57" i="119"/>
  <c r="CM57" i="119"/>
  <c r="CL57" i="119"/>
  <c r="CK57" i="119"/>
  <c r="CJ57" i="119"/>
  <c r="CI57" i="119"/>
  <c r="CH57" i="119"/>
  <c r="CG57" i="119"/>
  <c r="CF57" i="119"/>
  <c r="CE57" i="119"/>
  <c r="CD57" i="119"/>
  <c r="CC57" i="119"/>
  <c r="CB57" i="119"/>
  <c r="CA57" i="119"/>
  <c r="BZ57" i="119"/>
  <c r="BY57" i="119"/>
  <c r="BX57" i="119"/>
  <c r="BW57" i="119"/>
  <c r="BV57" i="119"/>
  <c r="BU57" i="119"/>
  <c r="BT57" i="119"/>
  <c r="BS57" i="119"/>
  <c r="BR57" i="119"/>
  <c r="BQ57" i="119"/>
  <c r="BP57" i="119"/>
  <c r="BO57" i="119"/>
  <c r="BN57" i="119"/>
  <c r="BM57" i="119"/>
  <c r="BL57" i="119"/>
  <c r="BK57" i="119"/>
  <c r="BJ57" i="119"/>
  <c r="BI57" i="119"/>
  <c r="BH57" i="119"/>
  <c r="BG57" i="119"/>
  <c r="BF57" i="119"/>
  <c r="BE57" i="119"/>
  <c r="BD57" i="119"/>
  <c r="BC57" i="119"/>
  <c r="BB57" i="119"/>
  <c r="BA57" i="119"/>
  <c r="AZ57" i="119"/>
  <c r="AY57" i="119"/>
  <c r="AX57" i="119"/>
  <c r="AW57" i="119"/>
  <c r="AV57" i="119"/>
  <c r="AU57" i="119"/>
  <c r="AT57" i="119"/>
  <c r="AS57" i="119"/>
  <c r="AR57" i="119"/>
  <c r="AQ57" i="119"/>
  <c r="AP57" i="119"/>
  <c r="AO57" i="119"/>
  <c r="AN57" i="119"/>
  <c r="AM57" i="119"/>
  <c r="AL57" i="119"/>
  <c r="AK57" i="119"/>
  <c r="AJ57" i="119"/>
  <c r="AI57" i="119"/>
  <c r="AH57" i="119"/>
  <c r="AG57" i="119"/>
  <c r="AF57" i="119"/>
  <c r="AE57" i="119"/>
  <c r="AD57" i="119"/>
  <c r="AC57" i="119"/>
  <c r="AB57" i="119"/>
  <c r="AA57" i="119"/>
  <c r="Z57" i="119"/>
  <c r="Y57" i="119"/>
  <c r="X57" i="119"/>
  <c r="W57" i="119"/>
  <c r="V57" i="119"/>
  <c r="U57" i="119"/>
  <c r="T57" i="119"/>
  <c r="S57" i="119"/>
  <c r="R57" i="119"/>
  <c r="Q57" i="119"/>
  <c r="P57" i="119"/>
  <c r="O57" i="119"/>
  <c r="N57" i="119"/>
  <c r="M57" i="119"/>
  <c r="L57" i="119"/>
  <c r="K57" i="119"/>
  <c r="J57" i="119"/>
  <c r="I57" i="119"/>
  <c r="H57" i="119"/>
  <c r="G57" i="119"/>
  <c r="F57" i="119"/>
  <c r="E57" i="119"/>
  <c r="D57" i="119"/>
  <c r="C57" i="119"/>
  <c r="B57" i="119"/>
  <c r="GO49" i="119"/>
  <c r="GN49" i="119"/>
  <c r="GM49" i="119"/>
  <c r="GL49" i="119"/>
  <c r="GK49" i="119"/>
  <c r="GJ49" i="119"/>
  <c r="GI49" i="119"/>
  <c r="GH49" i="119"/>
  <c r="GG49" i="119"/>
  <c r="GF49" i="119"/>
  <c r="GE49" i="119"/>
  <c r="GD49" i="119"/>
  <c r="GC49" i="119"/>
  <c r="GB49" i="119"/>
  <c r="GA49" i="119"/>
  <c r="FZ49" i="119"/>
  <c r="FY49" i="119"/>
  <c r="FX49" i="119"/>
  <c r="FW49" i="119"/>
  <c r="FV49" i="119"/>
  <c r="FU49" i="119"/>
  <c r="FT49" i="119"/>
  <c r="FS49" i="119"/>
  <c r="FR49" i="119"/>
  <c r="FQ49" i="119"/>
  <c r="FP49" i="119"/>
  <c r="FO49" i="119"/>
  <c r="FN49" i="119"/>
  <c r="FM49" i="119"/>
  <c r="FL49" i="119"/>
  <c r="FK49" i="119"/>
  <c r="FJ49" i="119"/>
  <c r="FI49" i="119"/>
  <c r="FH49" i="119"/>
  <c r="FG49" i="119"/>
  <c r="FF49" i="119"/>
  <c r="FE49" i="119"/>
  <c r="FD49" i="119"/>
  <c r="FC49" i="119"/>
  <c r="FB49" i="119"/>
  <c r="FA49" i="119"/>
  <c r="EZ49" i="119"/>
  <c r="EY49" i="119"/>
  <c r="EX49" i="119"/>
  <c r="EW49" i="119"/>
  <c r="EV49" i="119"/>
  <c r="EU49" i="119"/>
  <c r="ET49" i="119"/>
  <c r="ES49" i="119"/>
  <c r="ER49" i="119"/>
  <c r="EQ49" i="119"/>
  <c r="EP49" i="119"/>
  <c r="EO49" i="119"/>
  <c r="EN49" i="119"/>
  <c r="EM49" i="119"/>
  <c r="EL49" i="119"/>
  <c r="EK49" i="119"/>
  <c r="EJ49" i="119"/>
  <c r="EI49" i="119"/>
  <c r="EH49" i="119"/>
  <c r="EG49" i="119"/>
  <c r="EF49" i="119"/>
  <c r="EE49" i="119"/>
  <c r="ED49" i="119"/>
  <c r="EC49" i="119"/>
  <c r="EB49" i="119"/>
  <c r="EA49" i="119"/>
  <c r="DZ49" i="119"/>
  <c r="DY49" i="119"/>
  <c r="DX49" i="119"/>
  <c r="DW49" i="119"/>
  <c r="DV49" i="119"/>
  <c r="DU49" i="119"/>
  <c r="DT49" i="119"/>
  <c r="DS49" i="119"/>
  <c r="DR49" i="119"/>
  <c r="DQ49" i="119"/>
  <c r="DP49" i="119"/>
  <c r="DO49" i="119"/>
  <c r="DN49" i="119"/>
  <c r="DM49" i="119"/>
  <c r="DL49" i="119"/>
  <c r="DK49" i="119"/>
  <c r="DJ49" i="119"/>
  <c r="DI49" i="119"/>
  <c r="DH49" i="119"/>
  <c r="DG49" i="119"/>
  <c r="DF49" i="119"/>
  <c r="DE49" i="119"/>
  <c r="DD49" i="119"/>
  <c r="DC49" i="119"/>
  <c r="DB49" i="119"/>
  <c r="DA49" i="119"/>
  <c r="CZ49" i="119"/>
  <c r="CY49" i="119"/>
  <c r="CX49" i="119"/>
  <c r="CW49" i="119"/>
  <c r="CV49" i="119"/>
  <c r="CU49" i="119"/>
  <c r="CT49" i="119"/>
  <c r="CS49" i="119"/>
  <c r="CR49" i="119"/>
  <c r="CQ49" i="119"/>
  <c r="CP49" i="119"/>
  <c r="CO49" i="119"/>
  <c r="CN49" i="119"/>
  <c r="CM49" i="119"/>
  <c r="CL49" i="119"/>
  <c r="CK49" i="119"/>
  <c r="CJ49" i="119"/>
  <c r="CI49" i="119"/>
  <c r="CH49" i="119"/>
  <c r="CG49" i="119"/>
  <c r="CF49" i="119"/>
  <c r="CE49" i="119"/>
  <c r="CD49" i="119"/>
  <c r="CC49" i="119"/>
  <c r="CB49" i="119"/>
  <c r="CA49" i="119"/>
  <c r="BZ49" i="119"/>
  <c r="BY49" i="119"/>
  <c r="BX49" i="119"/>
  <c r="BW49" i="119"/>
  <c r="BV49" i="119"/>
  <c r="BU49" i="119"/>
  <c r="BT49" i="119"/>
  <c r="BS49" i="119"/>
  <c r="BR49" i="119"/>
  <c r="BQ49" i="119"/>
  <c r="BP49" i="119"/>
  <c r="BO49" i="119"/>
  <c r="BN49" i="119"/>
  <c r="BM49" i="119"/>
  <c r="BL49" i="119"/>
  <c r="BK49" i="119"/>
  <c r="BJ49" i="119"/>
  <c r="BI49" i="119"/>
  <c r="BH49" i="119"/>
  <c r="BG49" i="119"/>
  <c r="BF49" i="119"/>
  <c r="BE49" i="119"/>
  <c r="BD49" i="119"/>
  <c r="BC49" i="119"/>
  <c r="BB49" i="119"/>
  <c r="BA49" i="119"/>
  <c r="AZ49" i="119"/>
  <c r="AY49" i="119"/>
  <c r="AX49" i="119"/>
  <c r="AW49" i="119"/>
  <c r="AV49" i="119"/>
  <c r="AU49" i="119"/>
  <c r="AT49" i="119"/>
  <c r="AS49" i="119"/>
  <c r="AR49" i="119"/>
  <c r="AQ49" i="119"/>
  <c r="AP49" i="119"/>
  <c r="AO49" i="119"/>
  <c r="AN49" i="119"/>
  <c r="AM49" i="119"/>
  <c r="AL49" i="119"/>
  <c r="AK49" i="119"/>
  <c r="AJ49" i="119"/>
  <c r="AI49" i="119"/>
  <c r="AH49" i="119"/>
  <c r="AG49" i="119"/>
  <c r="AF49" i="119"/>
  <c r="AE49" i="119"/>
  <c r="AD49" i="119"/>
  <c r="AC49" i="119"/>
  <c r="AB49" i="119"/>
  <c r="AA49" i="119"/>
  <c r="Z49" i="119"/>
  <c r="Y49" i="119"/>
  <c r="X49" i="119"/>
  <c r="W49" i="119"/>
  <c r="V49" i="119"/>
  <c r="U49" i="119"/>
  <c r="T49" i="119"/>
  <c r="S49" i="119"/>
  <c r="R49" i="119"/>
  <c r="Q49" i="119"/>
  <c r="P49" i="119"/>
  <c r="O49" i="119"/>
  <c r="N49" i="119"/>
  <c r="M49" i="119"/>
  <c r="L49" i="119"/>
  <c r="K49" i="119"/>
  <c r="J49" i="119"/>
  <c r="I49" i="119"/>
  <c r="H49" i="119"/>
  <c r="G49" i="119"/>
  <c r="F49" i="119"/>
  <c r="E49" i="119"/>
  <c r="D49" i="119"/>
  <c r="C49" i="119"/>
  <c r="B49" i="119"/>
  <c r="GO41" i="119"/>
  <c r="GN41" i="119"/>
  <c r="GM41" i="119"/>
  <c r="GL41" i="119"/>
  <c r="GK41" i="119"/>
  <c r="GJ41" i="119"/>
  <c r="GI41" i="119"/>
  <c r="GH41" i="119"/>
  <c r="GG41" i="119"/>
  <c r="GF41" i="119"/>
  <c r="GE41" i="119"/>
  <c r="GD41" i="119"/>
  <c r="GC41" i="119"/>
  <c r="GB41" i="119"/>
  <c r="GA41" i="119"/>
  <c r="FZ41" i="119"/>
  <c r="FY41" i="119"/>
  <c r="FX41" i="119"/>
  <c r="FW41" i="119"/>
  <c r="FV41" i="119"/>
  <c r="FU41" i="119"/>
  <c r="FT41" i="119"/>
  <c r="FS41" i="119"/>
  <c r="FR41" i="119"/>
  <c r="FQ41" i="119"/>
  <c r="FP41" i="119"/>
  <c r="FO41" i="119"/>
  <c r="FN41" i="119"/>
  <c r="FM41" i="119"/>
  <c r="FL41" i="119"/>
  <c r="FK41" i="119"/>
  <c r="FJ41" i="119"/>
  <c r="FI41" i="119"/>
  <c r="FH41" i="119"/>
  <c r="FG41" i="119"/>
  <c r="FF41" i="119"/>
  <c r="FE41" i="119"/>
  <c r="FD41" i="119"/>
  <c r="FC41" i="119"/>
  <c r="FB41" i="119"/>
  <c r="FA41" i="119"/>
  <c r="EZ41" i="119"/>
  <c r="EY41" i="119"/>
  <c r="EX41" i="119"/>
  <c r="EW41" i="119"/>
  <c r="EV41" i="119"/>
  <c r="EU41" i="119"/>
  <c r="ET41" i="119"/>
  <c r="ES41" i="119"/>
  <c r="ER41" i="119"/>
  <c r="EQ41" i="119"/>
  <c r="EP41" i="119"/>
  <c r="EO41" i="119"/>
  <c r="EN41" i="119"/>
  <c r="EM41" i="119"/>
  <c r="EL41" i="119"/>
  <c r="EK41" i="119"/>
  <c r="EJ41" i="119"/>
  <c r="EI41" i="119"/>
  <c r="EH41" i="119"/>
  <c r="EG41" i="119"/>
  <c r="EF41" i="119"/>
  <c r="EE41" i="119"/>
  <c r="ED41" i="119"/>
  <c r="EC41" i="119"/>
  <c r="EB41" i="119"/>
  <c r="EA41" i="119"/>
  <c r="DZ41" i="119"/>
  <c r="DY41" i="119"/>
  <c r="DX41" i="119"/>
  <c r="DW41" i="119"/>
  <c r="DV41" i="119"/>
  <c r="DU41" i="119"/>
  <c r="DT41" i="119"/>
  <c r="DS41" i="119"/>
  <c r="DR41" i="119"/>
  <c r="DQ41" i="119"/>
  <c r="DP41" i="119"/>
  <c r="DO41" i="119"/>
  <c r="DN41" i="119"/>
  <c r="DM41" i="119"/>
  <c r="DL41" i="119"/>
  <c r="DK41" i="119"/>
  <c r="DJ41" i="119"/>
  <c r="DI41" i="119"/>
  <c r="DH41" i="119"/>
  <c r="DG41" i="119"/>
  <c r="DF41" i="119"/>
  <c r="DE41" i="119"/>
  <c r="DD41" i="119"/>
  <c r="DC41" i="119"/>
  <c r="DB41" i="119"/>
  <c r="DA41" i="119"/>
  <c r="CZ41" i="119"/>
  <c r="CY41" i="119"/>
  <c r="CX41" i="119"/>
  <c r="CW41" i="119"/>
  <c r="CV41" i="119"/>
  <c r="CU41" i="119"/>
  <c r="CT41" i="119"/>
  <c r="CS41" i="119"/>
  <c r="CR41" i="119"/>
  <c r="CQ41" i="119"/>
  <c r="CP41" i="119"/>
  <c r="CO41" i="119"/>
  <c r="CN41" i="119"/>
  <c r="CM41" i="119"/>
  <c r="CL41" i="119"/>
  <c r="CK41" i="119"/>
  <c r="CJ41" i="119"/>
  <c r="CI41" i="119"/>
  <c r="CH41" i="119"/>
  <c r="CG41" i="119"/>
  <c r="CF41" i="119"/>
  <c r="CE41" i="119"/>
  <c r="CD41" i="119"/>
  <c r="CC41" i="119"/>
  <c r="CB41" i="119"/>
  <c r="CA41" i="119"/>
  <c r="BZ41" i="119"/>
  <c r="BY41" i="119"/>
  <c r="BX41" i="119"/>
  <c r="BW41" i="119"/>
  <c r="BV41" i="119"/>
  <c r="BU41" i="119"/>
  <c r="BT41" i="119"/>
  <c r="BS41" i="119"/>
  <c r="BR41" i="119"/>
  <c r="BQ41" i="119"/>
  <c r="BP41" i="119"/>
  <c r="BO41" i="119"/>
  <c r="BN41" i="119"/>
  <c r="BM41" i="119"/>
  <c r="BL41" i="119"/>
  <c r="BK41" i="119"/>
  <c r="BJ41" i="119"/>
  <c r="BI41" i="119"/>
  <c r="BH41" i="119"/>
  <c r="BG41" i="119"/>
  <c r="BF41" i="119"/>
  <c r="BE41" i="119"/>
  <c r="BD41" i="119"/>
  <c r="BC41" i="119"/>
  <c r="BB41" i="119"/>
  <c r="BA41" i="119"/>
  <c r="AZ41" i="119"/>
  <c r="AY41" i="119"/>
  <c r="AX41" i="119"/>
  <c r="AW41" i="119"/>
  <c r="AV41" i="119"/>
  <c r="AU41" i="119"/>
  <c r="AT41" i="119"/>
  <c r="AS41" i="119"/>
  <c r="AR41" i="119"/>
  <c r="AQ41" i="119"/>
  <c r="AP41" i="119"/>
  <c r="AO41" i="119"/>
  <c r="AN41" i="119"/>
  <c r="AM41" i="119"/>
  <c r="AL41" i="119"/>
  <c r="AK41" i="119"/>
  <c r="AJ41" i="119"/>
  <c r="AI41" i="119"/>
  <c r="AH41" i="119"/>
  <c r="AG41" i="119"/>
  <c r="AF41" i="119"/>
  <c r="AE41" i="119"/>
  <c r="AD41" i="119"/>
  <c r="AC41" i="119"/>
  <c r="AB41" i="119"/>
  <c r="AA41" i="119"/>
  <c r="Z41" i="119"/>
  <c r="Y41" i="119"/>
  <c r="X41" i="119"/>
  <c r="W41" i="119"/>
  <c r="V41" i="119"/>
  <c r="U41" i="119"/>
  <c r="T41" i="119"/>
  <c r="S41" i="119"/>
  <c r="R41" i="119"/>
  <c r="Q41" i="119"/>
  <c r="P41" i="119"/>
  <c r="O41" i="119"/>
  <c r="N41" i="119"/>
  <c r="M41" i="119"/>
  <c r="L41" i="119"/>
  <c r="K41" i="119"/>
  <c r="J41" i="119"/>
  <c r="I41" i="119"/>
  <c r="H41" i="119"/>
  <c r="G41" i="119"/>
  <c r="F41" i="119"/>
  <c r="E41" i="119"/>
  <c r="D41" i="119"/>
  <c r="C41" i="119"/>
  <c r="B41" i="119"/>
  <c r="GO30" i="119"/>
  <c r="GN30" i="119"/>
  <c r="GM30" i="119"/>
  <c r="GL30" i="119"/>
  <c r="GK30" i="119"/>
  <c r="GJ30" i="119"/>
  <c r="GI30" i="119"/>
  <c r="GH30" i="119"/>
  <c r="GG30" i="119"/>
  <c r="GF30" i="119"/>
  <c r="GE30" i="119"/>
  <c r="GD30" i="119"/>
  <c r="GC30" i="119"/>
  <c r="GB30" i="119"/>
  <c r="GA30" i="119"/>
  <c r="FZ30" i="119"/>
  <c r="FY30" i="119"/>
  <c r="FX30" i="119"/>
  <c r="FW30" i="119"/>
  <c r="FV30" i="119"/>
  <c r="FU30" i="119"/>
  <c r="FT30" i="119"/>
  <c r="FS30" i="119"/>
  <c r="FR30" i="119"/>
  <c r="FQ30" i="119"/>
  <c r="FP30" i="119"/>
  <c r="FO30" i="119"/>
  <c r="FN30" i="119"/>
  <c r="FM30" i="119"/>
  <c r="FL30" i="119"/>
  <c r="FK30" i="119"/>
  <c r="FJ30" i="119"/>
  <c r="FI30" i="119"/>
  <c r="FH30" i="119"/>
  <c r="FG30" i="119"/>
  <c r="FF30" i="119"/>
  <c r="FE30" i="119"/>
  <c r="FD30" i="119"/>
  <c r="FC30" i="119"/>
  <c r="FB30" i="119"/>
  <c r="FA30" i="119"/>
  <c r="EZ30" i="119"/>
  <c r="EY30" i="119"/>
  <c r="EX30" i="119"/>
  <c r="EW30" i="119"/>
  <c r="EV30" i="119"/>
  <c r="EU30" i="119"/>
  <c r="ET30" i="119"/>
  <c r="ES30" i="119"/>
  <c r="ER30" i="119"/>
  <c r="EQ30" i="119"/>
  <c r="EP30" i="119"/>
  <c r="EO30" i="119"/>
  <c r="EN30" i="119"/>
  <c r="EM30" i="119"/>
  <c r="EL30" i="119"/>
  <c r="EK30" i="119"/>
  <c r="EJ30" i="119"/>
  <c r="EI30" i="119"/>
  <c r="EH30" i="119"/>
  <c r="EG30" i="119"/>
  <c r="EF30" i="119"/>
  <c r="EE30" i="119"/>
  <c r="ED30" i="119"/>
  <c r="EC30" i="119"/>
  <c r="EB30" i="119"/>
  <c r="EA30" i="119"/>
  <c r="DZ30" i="119"/>
  <c r="DY30" i="119"/>
  <c r="DX30" i="119"/>
  <c r="DW30" i="119"/>
  <c r="DV30" i="119"/>
  <c r="DU30" i="119"/>
  <c r="DT30" i="119"/>
  <c r="DS30" i="119"/>
  <c r="DR30" i="119"/>
  <c r="DQ30" i="119"/>
  <c r="DP30" i="119"/>
  <c r="DO30" i="119"/>
  <c r="DN30" i="119"/>
  <c r="DM30" i="119"/>
  <c r="DL30" i="119"/>
  <c r="DK30" i="119"/>
  <c r="DJ30" i="119"/>
  <c r="DI30" i="119"/>
  <c r="DH30" i="119"/>
  <c r="DG30" i="119"/>
  <c r="DF30" i="119"/>
  <c r="DE30" i="119"/>
  <c r="DD30" i="119"/>
  <c r="DC30" i="119"/>
  <c r="DB30" i="119"/>
  <c r="DA30" i="119"/>
  <c r="CZ30" i="119"/>
  <c r="CY30" i="119"/>
  <c r="CX30" i="119"/>
  <c r="CW30" i="119"/>
  <c r="CV30" i="119"/>
  <c r="CU30" i="119"/>
  <c r="CT30" i="119"/>
  <c r="CS30" i="119"/>
  <c r="CR30" i="119"/>
  <c r="CQ30" i="119"/>
  <c r="CP30" i="119"/>
  <c r="CO30" i="119"/>
  <c r="CN30" i="119"/>
  <c r="CM30" i="119"/>
  <c r="CL30" i="119"/>
  <c r="CK30" i="119"/>
  <c r="CJ30" i="119"/>
  <c r="CI30" i="119"/>
  <c r="CH30" i="119"/>
  <c r="CG30" i="119"/>
  <c r="CF30" i="119"/>
  <c r="CE30" i="119"/>
  <c r="CD30" i="119"/>
  <c r="CC30" i="119"/>
  <c r="CB30" i="119"/>
  <c r="CA30" i="119"/>
  <c r="BZ30" i="119"/>
  <c r="BY30" i="119"/>
  <c r="BX30" i="119"/>
  <c r="BW30" i="119"/>
  <c r="BV30" i="119"/>
  <c r="BU30" i="119"/>
  <c r="BT30" i="119"/>
  <c r="BS30" i="119"/>
  <c r="BR30" i="119"/>
  <c r="BQ30" i="119"/>
  <c r="BP30" i="119"/>
  <c r="BO30" i="119"/>
  <c r="BN30" i="119"/>
  <c r="BM30" i="119"/>
  <c r="BL30" i="119"/>
  <c r="BK30" i="119"/>
  <c r="BJ30" i="119"/>
  <c r="BI30" i="119"/>
  <c r="BH30" i="119"/>
  <c r="BG30" i="119"/>
  <c r="BF30" i="119"/>
  <c r="BE30" i="119"/>
  <c r="BD30" i="119"/>
  <c r="BC30" i="119"/>
  <c r="BB30" i="119"/>
  <c r="BA30" i="119"/>
  <c r="AZ30" i="119"/>
  <c r="AY30" i="119"/>
  <c r="AX30" i="119"/>
  <c r="AW30" i="119"/>
  <c r="AV30" i="119"/>
  <c r="AU30" i="119"/>
  <c r="AT30" i="119"/>
  <c r="AS30" i="119"/>
  <c r="AR30" i="119"/>
  <c r="AQ30" i="119"/>
  <c r="AP30" i="119"/>
  <c r="AO30" i="119"/>
  <c r="AN30" i="119"/>
  <c r="AM30" i="119"/>
  <c r="AL30" i="119"/>
  <c r="AK30" i="119"/>
  <c r="AJ30" i="119"/>
  <c r="AI30" i="119"/>
  <c r="AH30" i="119"/>
  <c r="AG30" i="119"/>
  <c r="AF30" i="119"/>
  <c r="AE30" i="119"/>
  <c r="AD30" i="119"/>
  <c r="AC30" i="119"/>
  <c r="AB30" i="119"/>
  <c r="AA30" i="119"/>
  <c r="Z30" i="119"/>
  <c r="Y30" i="119"/>
  <c r="X30" i="119"/>
  <c r="W30" i="119"/>
  <c r="V30" i="119"/>
  <c r="U30" i="119"/>
  <c r="T30" i="119"/>
  <c r="S30" i="119"/>
  <c r="R30" i="119"/>
  <c r="Q30" i="119"/>
  <c r="P30" i="119"/>
  <c r="O30" i="119"/>
  <c r="N30" i="119"/>
  <c r="M30" i="119"/>
  <c r="L30" i="119"/>
  <c r="K30" i="119"/>
  <c r="J30" i="119"/>
  <c r="I30" i="119"/>
  <c r="H30" i="119"/>
  <c r="G30" i="119"/>
  <c r="F30" i="119"/>
  <c r="E30" i="119"/>
  <c r="D30" i="119"/>
  <c r="C30" i="119"/>
  <c r="B30" i="119"/>
  <c r="GO21" i="119"/>
  <c r="GN21" i="119"/>
  <c r="GM21" i="119"/>
  <c r="GL21" i="119"/>
  <c r="GK21" i="119"/>
  <c r="GJ21" i="119"/>
  <c r="GI21" i="119"/>
  <c r="GH21" i="119"/>
  <c r="GG21" i="119"/>
  <c r="GF21" i="119"/>
  <c r="GE21" i="119"/>
  <c r="GD21" i="119"/>
  <c r="GC21" i="119"/>
  <c r="GB21" i="119"/>
  <c r="GA21" i="119"/>
  <c r="FZ21" i="119"/>
  <c r="FY21" i="119"/>
  <c r="FX21" i="119"/>
  <c r="FW21" i="119"/>
  <c r="FV21" i="119"/>
  <c r="FU21" i="119"/>
  <c r="FT21" i="119"/>
  <c r="FS21" i="119"/>
  <c r="FR21" i="119"/>
  <c r="FQ21" i="119"/>
  <c r="FP21" i="119"/>
  <c r="FO21" i="119"/>
  <c r="FN21" i="119"/>
  <c r="FM21" i="119"/>
  <c r="FL21" i="119"/>
  <c r="FK21" i="119"/>
  <c r="FJ21" i="119"/>
  <c r="FI21" i="119"/>
  <c r="FH21" i="119"/>
  <c r="FG21" i="119"/>
  <c r="FF21" i="119"/>
  <c r="FE21" i="119"/>
  <c r="FD21" i="119"/>
  <c r="FC21" i="119"/>
  <c r="FB21" i="119"/>
  <c r="FA21" i="119"/>
  <c r="EZ21" i="119"/>
  <c r="EY21" i="119"/>
  <c r="EX21" i="119"/>
  <c r="EW21" i="119"/>
  <c r="EV21" i="119"/>
  <c r="EU21" i="119"/>
  <c r="ET21" i="119"/>
  <c r="ES21" i="119"/>
  <c r="ER21" i="119"/>
  <c r="EQ21" i="119"/>
  <c r="EP21" i="119"/>
  <c r="EO21" i="119"/>
  <c r="EN21" i="119"/>
  <c r="EM21" i="119"/>
  <c r="EL21" i="119"/>
  <c r="EK21" i="119"/>
  <c r="EJ21" i="119"/>
  <c r="EI21" i="119"/>
  <c r="EH21" i="119"/>
  <c r="EG21" i="119"/>
  <c r="EF21" i="119"/>
  <c r="EE21" i="119"/>
  <c r="ED21" i="119"/>
  <c r="EC21" i="119"/>
  <c r="EB21" i="119"/>
  <c r="EA21" i="119"/>
  <c r="DZ21" i="119"/>
  <c r="DY21" i="119"/>
  <c r="DX21" i="119"/>
  <c r="DW21" i="119"/>
  <c r="DV21" i="119"/>
  <c r="DU21" i="119"/>
  <c r="DT21" i="119"/>
  <c r="DS21" i="119"/>
  <c r="DR21" i="119"/>
  <c r="DQ21" i="119"/>
  <c r="DP21" i="119"/>
  <c r="DO21" i="119"/>
  <c r="DN21" i="119"/>
  <c r="DM21" i="119"/>
  <c r="DL21" i="119"/>
  <c r="DK21" i="119"/>
  <c r="DJ21" i="119"/>
  <c r="DI21" i="119"/>
  <c r="DH21" i="119"/>
  <c r="DG21" i="119"/>
  <c r="DF21" i="119"/>
  <c r="DE21" i="119"/>
  <c r="DD21" i="119"/>
  <c r="DC21" i="119"/>
  <c r="DB21" i="119"/>
  <c r="DA21" i="119"/>
  <c r="CZ21" i="119"/>
  <c r="CY21" i="119"/>
  <c r="CX21" i="119"/>
  <c r="CW21" i="119"/>
  <c r="CV21" i="119"/>
  <c r="CU21" i="119"/>
  <c r="CT21" i="119"/>
  <c r="CS21" i="119"/>
  <c r="CR21" i="119"/>
  <c r="CQ21" i="119"/>
  <c r="CP21" i="119"/>
  <c r="CO21" i="119"/>
  <c r="CN21" i="119"/>
  <c r="CM21" i="119"/>
  <c r="CL21" i="119"/>
  <c r="CK21" i="119"/>
  <c r="CJ21" i="119"/>
  <c r="CI21" i="119"/>
  <c r="CH21" i="119"/>
  <c r="CG21" i="119"/>
  <c r="CF21" i="119"/>
  <c r="CE21" i="119"/>
  <c r="CD21" i="119"/>
  <c r="CC21" i="119"/>
  <c r="CB21" i="119"/>
  <c r="CA21" i="119"/>
  <c r="BZ21" i="119"/>
  <c r="BY21" i="119"/>
  <c r="BX21" i="119"/>
  <c r="BW21" i="119"/>
  <c r="BV21" i="119"/>
  <c r="BU21" i="119"/>
  <c r="BT21" i="119"/>
  <c r="BS21" i="119"/>
  <c r="BR21" i="119"/>
  <c r="BQ21" i="119"/>
  <c r="BP21" i="119"/>
  <c r="BO21" i="119"/>
  <c r="BN21" i="119"/>
  <c r="BM21" i="119"/>
  <c r="BL21" i="119"/>
  <c r="BK21" i="119"/>
  <c r="BJ21" i="119"/>
  <c r="BI21" i="119"/>
  <c r="BH21" i="119"/>
  <c r="BG21" i="119"/>
  <c r="BF21" i="119"/>
  <c r="BE21" i="119"/>
  <c r="BD21" i="119"/>
  <c r="BC21" i="119"/>
  <c r="BB21" i="119"/>
  <c r="BA21" i="119"/>
  <c r="AZ21" i="119"/>
  <c r="AY21" i="119"/>
  <c r="AX21" i="119"/>
  <c r="AW21" i="119"/>
  <c r="AV21" i="119"/>
  <c r="AU21" i="119"/>
  <c r="AT21" i="119"/>
  <c r="AS21" i="119"/>
  <c r="AR21" i="119"/>
  <c r="AQ21" i="119"/>
  <c r="AP21" i="119"/>
  <c r="AO21" i="119"/>
  <c r="AN21" i="119"/>
  <c r="AM21" i="119"/>
  <c r="AL21" i="119"/>
  <c r="AK21" i="119"/>
  <c r="AJ21" i="119"/>
  <c r="AI21" i="119"/>
  <c r="AH21" i="119"/>
  <c r="AG21" i="119"/>
  <c r="AF21" i="119"/>
  <c r="AE21" i="119"/>
  <c r="AD21" i="119"/>
  <c r="AC21" i="119"/>
  <c r="AB21" i="119"/>
  <c r="AA21" i="119"/>
  <c r="Z21" i="119"/>
  <c r="Y21" i="119"/>
  <c r="X21" i="119"/>
  <c r="W21" i="119"/>
  <c r="V21" i="119"/>
  <c r="U21" i="119"/>
  <c r="T21" i="119"/>
  <c r="S21" i="119"/>
  <c r="R21" i="119"/>
  <c r="Q21" i="119"/>
  <c r="P21" i="119"/>
  <c r="O21" i="119"/>
  <c r="N21" i="119"/>
  <c r="M21" i="119"/>
  <c r="L21" i="119"/>
  <c r="K21" i="119"/>
  <c r="J21" i="119"/>
  <c r="I21" i="119"/>
  <c r="H21" i="119"/>
  <c r="G21" i="119"/>
  <c r="F21" i="119"/>
  <c r="E21" i="119"/>
  <c r="D21" i="119"/>
  <c r="C21" i="119"/>
  <c r="B21" i="119"/>
  <c r="GO13" i="119"/>
  <c r="GN13" i="119"/>
  <c r="GM13" i="119"/>
  <c r="GL13" i="119"/>
  <c r="GK13" i="119"/>
  <c r="GJ13" i="119"/>
  <c r="GI13" i="119"/>
  <c r="GH13" i="119"/>
  <c r="GG13" i="119"/>
  <c r="GF13" i="119"/>
  <c r="GE13" i="119"/>
  <c r="GD13" i="119"/>
  <c r="GC13" i="119"/>
  <c r="GB13" i="119"/>
  <c r="GA13" i="119"/>
  <c r="FZ13" i="119"/>
  <c r="FY13" i="119"/>
  <c r="FX13" i="119"/>
  <c r="FW13" i="119"/>
  <c r="FV13" i="119"/>
  <c r="FU13" i="119"/>
  <c r="FT13" i="119"/>
  <c r="FS13" i="119"/>
  <c r="FR13" i="119"/>
  <c r="FQ13" i="119"/>
  <c r="FP13" i="119"/>
  <c r="FO13" i="119"/>
  <c r="FN13" i="119"/>
  <c r="FM13" i="119"/>
  <c r="FL13" i="119"/>
  <c r="FK13" i="119"/>
  <c r="FJ13" i="119"/>
  <c r="FI13" i="119"/>
  <c r="FH13" i="119"/>
  <c r="FG13" i="119"/>
  <c r="FF13" i="119"/>
  <c r="FE13" i="119"/>
  <c r="FD13" i="119"/>
  <c r="FC13" i="119"/>
  <c r="FB13" i="119"/>
  <c r="FA13" i="119"/>
  <c r="EZ13" i="119"/>
  <c r="EY13" i="119"/>
  <c r="EX13" i="119"/>
  <c r="EW13" i="119"/>
  <c r="EV13" i="119"/>
  <c r="EU13" i="119"/>
  <c r="ET13" i="119"/>
  <c r="ES13" i="119"/>
  <c r="ER13" i="119"/>
  <c r="EQ13" i="119"/>
  <c r="EP13" i="119"/>
  <c r="EO13" i="119"/>
  <c r="EN13" i="119"/>
  <c r="EM13" i="119"/>
  <c r="EL13" i="119"/>
  <c r="EK13" i="119"/>
  <c r="EJ13" i="119"/>
  <c r="EI13" i="119"/>
  <c r="EH13" i="119"/>
  <c r="EG13" i="119"/>
  <c r="EF13" i="119"/>
  <c r="EE13" i="119"/>
  <c r="ED13" i="119"/>
  <c r="EC13" i="119"/>
  <c r="EB13" i="119"/>
  <c r="EA13" i="119"/>
  <c r="DZ13" i="119"/>
  <c r="DY13" i="119"/>
  <c r="DX13" i="119"/>
  <c r="DW13" i="119"/>
  <c r="DV13" i="119"/>
  <c r="DU13" i="119"/>
  <c r="DT13" i="119"/>
  <c r="DS13" i="119"/>
  <c r="DR13" i="119"/>
  <c r="DQ13" i="119"/>
  <c r="DP13" i="119"/>
  <c r="DO13" i="119"/>
  <c r="DN13" i="119"/>
  <c r="DM13" i="119"/>
  <c r="DL13" i="119"/>
  <c r="DK13" i="119"/>
  <c r="DJ13" i="119"/>
  <c r="DI13" i="119"/>
  <c r="DH13" i="119"/>
  <c r="DG13" i="119"/>
  <c r="DF13" i="119"/>
  <c r="DE13" i="119"/>
  <c r="DD13" i="119"/>
  <c r="DC13" i="119"/>
  <c r="DB13" i="119"/>
  <c r="DA13" i="119"/>
  <c r="CZ13" i="119"/>
  <c r="CY13" i="119"/>
  <c r="CX13" i="119"/>
  <c r="CW13" i="119"/>
  <c r="CV13" i="119"/>
  <c r="CU13" i="119"/>
  <c r="CT13" i="119"/>
  <c r="CS13" i="119"/>
  <c r="CR13" i="119"/>
  <c r="CQ13" i="119"/>
  <c r="CP13" i="119"/>
  <c r="CO13" i="119"/>
  <c r="CN13" i="119"/>
  <c r="CM13" i="119"/>
  <c r="CL13" i="119"/>
  <c r="CK13" i="119"/>
  <c r="CJ13" i="119"/>
  <c r="CI13" i="119"/>
  <c r="CH13" i="119"/>
  <c r="CG13" i="119"/>
  <c r="CF13" i="119"/>
  <c r="CE13" i="119"/>
  <c r="CD13" i="119"/>
  <c r="CC13" i="119"/>
  <c r="CB13" i="119"/>
  <c r="CA13" i="119"/>
  <c r="BZ13" i="119"/>
  <c r="BY13" i="119"/>
  <c r="BX13" i="119"/>
  <c r="BW13" i="119"/>
  <c r="BV13" i="119"/>
  <c r="BU13" i="119"/>
  <c r="BT13" i="119"/>
  <c r="BS13" i="119"/>
  <c r="BR13" i="119"/>
  <c r="BQ13" i="119"/>
  <c r="BP13" i="119"/>
  <c r="BO13" i="119"/>
  <c r="BN13" i="119"/>
  <c r="BM13" i="119"/>
  <c r="BL13" i="119"/>
  <c r="BK13" i="119"/>
  <c r="BJ13" i="119"/>
  <c r="BI13" i="119"/>
  <c r="BH13" i="119"/>
  <c r="BG13" i="119"/>
  <c r="BF13" i="119"/>
  <c r="BE13" i="119"/>
  <c r="BD13" i="119"/>
  <c r="BC13" i="119"/>
  <c r="BB13" i="119"/>
  <c r="BA13" i="119"/>
  <c r="AZ13" i="119"/>
  <c r="AY13" i="119"/>
  <c r="AX13" i="119"/>
  <c r="AW13" i="119"/>
  <c r="AV13" i="119"/>
  <c r="AU13" i="119"/>
  <c r="AT13" i="119"/>
  <c r="AS13" i="119"/>
  <c r="AR13" i="119"/>
  <c r="AQ13" i="119"/>
  <c r="AP13" i="119"/>
  <c r="AO13" i="119"/>
  <c r="AN13" i="119"/>
  <c r="AM13" i="119"/>
  <c r="AL13" i="119"/>
  <c r="AK13" i="119"/>
  <c r="AJ13" i="119"/>
  <c r="AI13" i="119"/>
  <c r="AH13" i="119"/>
  <c r="AG13" i="119"/>
  <c r="AF13" i="119"/>
  <c r="AE13" i="119"/>
  <c r="AD13" i="119"/>
  <c r="AC13" i="119"/>
  <c r="AB13" i="119"/>
  <c r="AA13" i="119"/>
  <c r="Z13" i="119"/>
  <c r="Y13" i="119"/>
  <c r="X13" i="119"/>
  <c r="W13" i="119"/>
  <c r="V13" i="119"/>
  <c r="U13" i="119"/>
  <c r="T13" i="119"/>
  <c r="S13" i="119"/>
  <c r="R13" i="119"/>
  <c r="Q13" i="119"/>
  <c r="P13" i="119"/>
  <c r="O13" i="119"/>
  <c r="N13" i="119"/>
  <c r="M13" i="119"/>
  <c r="L13" i="119"/>
  <c r="K13" i="119"/>
  <c r="J13" i="119"/>
  <c r="I13" i="119"/>
  <c r="H13" i="119"/>
  <c r="G13" i="119"/>
  <c r="F13" i="119"/>
  <c r="E13" i="119"/>
  <c r="D13" i="119"/>
  <c r="C13" i="119"/>
  <c r="B13" i="119"/>
  <c r="GO13" i="6"/>
  <c r="GO21" i="6"/>
  <c r="GO30" i="6"/>
  <c r="GO41" i="6"/>
  <c r="GO49" i="6"/>
  <c r="GO57" i="6"/>
  <c r="GO13" i="7"/>
  <c r="GO18" i="7"/>
  <c r="GO26" i="7"/>
  <c r="GO41" i="7"/>
  <c r="GN57" i="118"/>
  <c r="GM57" i="118"/>
  <c r="GL57" i="118"/>
  <c r="GK57" i="118"/>
  <c r="GJ57" i="118"/>
  <c r="GI57" i="118"/>
  <c r="GH57" i="118"/>
  <c r="GG57" i="118"/>
  <c r="GF57" i="118"/>
  <c r="GE57" i="118"/>
  <c r="GD57" i="118"/>
  <c r="GC57" i="118"/>
  <c r="GB57" i="118"/>
  <c r="GA57" i="118"/>
  <c r="FZ57" i="118"/>
  <c r="FY57" i="118"/>
  <c r="FX57" i="118"/>
  <c r="FW57" i="118"/>
  <c r="FV57" i="118"/>
  <c r="FU57" i="118"/>
  <c r="FT57" i="118"/>
  <c r="FS57" i="118"/>
  <c r="FR57" i="118"/>
  <c r="FQ57" i="118"/>
  <c r="FP57" i="118"/>
  <c r="FO57" i="118"/>
  <c r="FN57" i="118"/>
  <c r="FM57" i="118"/>
  <c r="FL57" i="118"/>
  <c r="FK57" i="118"/>
  <c r="FJ57" i="118"/>
  <c r="FI57" i="118"/>
  <c r="FH57" i="118"/>
  <c r="FG57" i="118"/>
  <c r="FF57" i="118"/>
  <c r="FE57" i="118"/>
  <c r="FD57" i="118"/>
  <c r="FC57" i="118"/>
  <c r="FB57" i="118"/>
  <c r="FA57" i="118"/>
  <c r="EZ57" i="118"/>
  <c r="EY57" i="118"/>
  <c r="EX57" i="118"/>
  <c r="EW57" i="118"/>
  <c r="EV57" i="118"/>
  <c r="EU57" i="118"/>
  <c r="ET57" i="118"/>
  <c r="ES57" i="118"/>
  <c r="ER57" i="118"/>
  <c r="EQ57" i="118"/>
  <c r="EP57" i="118"/>
  <c r="EO57" i="118"/>
  <c r="EN57" i="118"/>
  <c r="EM57" i="118"/>
  <c r="EL57" i="118"/>
  <c r="EK57" i="118"/>
  <c r="EJ57" i="118"/>
  <c r="EI57" i="118"/>
  <c r="EH57" i="118"/>
  <c r="EG57" i="118"/>
  <c r="EF57" i="118"/>
  <c r="EE57" i="118"/>
  <c r="ED57" i="118"/>
  <c r="EC57" i="118"/>
  <c r="EB57" i="118"/>
  <c r="EA57" i="118"/>
  <c r="DZ57" i="118"/>
  <c r="DY57" i="118"/>
  <c r="DX57" i="118"/>
  <c r="DW57" i="118"/>
  <c r="DV57" i="118"/>
  <c r="DU57" i="118"/>
  <c r="DT57" i="118"/>
  <c r="DS57" i="118"/>
  <c r="DR57" i="118"/>
  <c r="DQ57" i="118"/>
  <c r="DP57" i="118"/>
  <c r="DO57" i="118"/>
  <c r="DN57" i="118"/>
  <c r="DM57" i="118"/>
  <c r="DL57" i="118"/>
  <c r="DK57" i="118"/>
  <c r="DJ57" i="118"/>
  <c r="DI57" i="118"/>
  <c r="DH57" i="118"/>
  <c r="DG57" i="118"/>
  <c r="DF57" i="118"/>
  <c r="DE57" i="118"/>
  <c r="DD57" i="118"/>
  <c r="DC57" i="118"/>
  <c r="DB57" i="118"/>
  <c r="DA57" i="118"/>
  <c r="CZ57" i="118"/>
  <c r="CY57" i="118"/>
  <c r="CX57" i="118"/>
  <c r="CW57" i="118"/>
  <c r="CV57" i="118"/>
  <c r="CU57" i="118"/>
  <c r="CT57" i="118"/>
  <c r="CS57" i="118"/>
  <c r="CR57" i="118"/>
  <c r="CQ57" i="118"/>
  <c r="CP57" i="118"/>
  <c r="CO57" i="118"/>
  <c r="CN57" i="118"/>
  <c r="CM57" i="118"/>
  <c r="CL57" i="118"/>
  <c r="CK57" i="118"/>
  <c r="CJ57" i="118"/>
  <c r="CI57" i="118"/>
  <c r="CH57" i="118"/>
  <c r="CG57" i="118"/>
  <c r="CF57" i="118"/>
  <c r="CE57" i="118"/>
  <c r="CD57" i="118"/>
  <c r="CC57" i="118"/>
  <c r="CB57" i="118"/>
  <c r="CA57" i="118"/>
  <c r="BZ57" i="118"/>
  <c r="BY57" i="118"/>
  <c r="BX57" i="118"/>
  <c r="BW57" i="118"/>
  <c r="BV57" i="118"/>
  <c r="BU57" i="118"/>
  <c r="BT57" i="118"/>
  <c r="BS57" i="118"/>
  <c r="BR57" i="118"/>
  <c r="BQ57" i="118"/>
  <c r="BP57" i="118"/>
  <c r="BO57" i="118"/>
  <c r="BN57" i="118"/>
  <c r="BM57" i="118"/>
  <c r="BL57" i="118"/>
  <c r="BK57" i="118"/>
  <c r="BJ57" i="118"/>
  <c r="BI57" i="118"/>
  <c r="BH57" i="118"/>
  <c r="BG57" i="118"/>
  <c r="BF57" i="118"/>
  <c r="BE57" i="118"/>
  <c r="BD57" i="118"/>
  <c r="BC57" i="118"/>
  <c r="BB57" i="118"/>
  <c r="BA57" i="118"/>
  <c r="AZ57" i="118"/>
  <c r="AY57" i="118"/>
  <c r="AX57" i="118"/>
  <c r="AW57" i="118"/>
  <c r="AV57" i="118"/>
  <c r="AU57" i="118"/>
  <c r="AT57" i="118"/>
  <c r="AS57" i="118"/>
  <c r="AR57" i="118"/>
  <c r="AQ57" i="118"/>
  <c r="AP57" i="118"/>
  <c r="AO57" i="118"/>
  <c r="AN57" i="118"/>
  <c r="AM57" i="118"/>
  <c r="AL57" i="118"/>
  <c r="AK57" i="118"/>
  <c r="AJ57" i="118"/>
  <c r="AI57" i="118"/>
  <c r="AH57" i="118"/>
  <c r="AG57" i="118"/>
  <c r="AF57" i="118"/>
  <c r="AE57" i="118"/>
  <c r="AD57" i="118"/>
  <c r="AC57" i="118"/>
  <c r="AB57" i="118"/>
  <c r="AA57" i="118"/>
  <c r="Z57" i="118"/>
  <c r="Y57" i="118"/>
  <c r="X57" i="118"/>
  <c r="W57" i="118"/>
  <c r="V57" i="118"/>
  <c r="U57" i="118"/>
  <c r="T57" i="118"/>
  <c r="S57" i="118"/>
  <c r="R57" i="118"/>
  <c r="Q57" i="118"/>
  <c r="P57" i="118"/>
  <c r="O57" i="118"/>
  <c r="N57" i="118"/>
  <c r="M57" i="118"/>
  <c r="L57" i="118"/>
  <c r="K57" i="118"/>
  <c r="J57" i="118"/>
  <c r="I57" i="118"/>
  <c r="H57" i="118"/>
  <c r="G57" i="118"/>
  <c r="F57" i="118"/>
  <c r="E57" i="118"/>
  <c r="D57" i="118"/>
  <c r="C57" i="118"/>
  <c r="B57" i="118"/>
  <c r="GN49" i="118"/>
  <c r="GM49" i="118"/>
  <c r="GL49" i="118"/>
  <c r="GK49" i="118"/>
  <c r="GJ49" i="118"/>
  <c r="GI49" i="118"/>
  <c r="GH49" i="118"/>
  <c r="GG49" i="118"/>
  <c r="GF49" i="118"/>
  <c r="GE49" i="118"/>
  <c r="GD49" i="118"/>
  <c r="GC49" i="118"/>
  <c r="GB49" i="118"/>
  <c r="GA49" i="118"/>
  <c r="FZ49" i="118"/>
  <c r="FY49" i="118"/>
  <c r="FX49" i="118"/>
  <c r="FW49" i="118"/>
  <c r="FV49" i="118"/>
  <c r="FU49" i="118"/>
  <c r="FT49" i="118"/>
  <c r="FS49" i="118"/>
  <c r="FR49" i="118"/>
  <c r="FQ49" i="118"/>
  <c r="FP49" i="118"/>
  <c r="FO49" i="118"/>
  <c r="FN49" i="118"/>
  <c r="FM49" i="118"/>
  <c r="FL49" i="118"/>
  <c r="FK49" i="118"/>
  <c r="FJ49" i="118"/>
  <c r="FI49" i="118"/>
  <c r="FH49" i="118"/>
  <c r="FG49" i="118"/>
  <c r="FF49" i="118"/>
  <c r="FE49" i="118"/>
  <c r="FD49" i="118"/>
  <c r="FC49" i="118"/>
  <c r="FB49" i="118"/>
  <c r="FA49" i="118"/>
  <c r="EZ49" i="118"/>
  <c r="EY49" i="118"/>
  <c r="EX49" i="118"/>
  <c r="EW49" i="118"/>
  <c r="EV49" i="118"/>
  <c r="EU49" i="118"/>
  <c r="ET49" i="118"/>
  <c r="ES49" i="118"/>
  <c r="ER49" i="118"/>
  <c r="EQ49" i="118"/>
  <c r="EP49" i="118"/>
  <c r="EO49" i="118"/>
  <c r="EN49" i="118"/>
  <c r="EM49" i="118"/>
  <c r="EL49" i="118"/>
  <c r="EK49" i="118"/>
  <c r="EJ49" i="118"/>
  <c r="EI49" i="118"/>
  <c r="EH49" i="118"/>
  <c r="EG49" i="118"/>
  <c r="EF49" i="118"/>
  <c r="EE49" i="118"/>
  <c r="ED49" i="118"/>
  <c r="EC49" i="118"/>
  <c r="EB49" i="118"/>
  <c r="EA49" i="118"/>
  <c r="DZ49" i="118"/>
  <c r="DY49" i="118"/>
  <c r="DX49" i="118"/>
  <c r="DW49" i="118"/>
  <c r="DV49" i="118"/>
  <c r="DU49" i="118"/>
  <c r="DT49" i="118"/>
  <c r="DS49" i="118"/>
  <c r="DR49" i="118"/>
  <c r="DQ49" i="118"/>
  <c r="DP49" i="118"/>
  <c r="DO49" i="118"/>
  <c r="DN49" i="118"/>
  <c r="DM49" i="118"/>
  <c r="DL49" i="118"/>
  <c r="DK49" i="118"/>
  <c r="DJ49" i="118"/>
  <c r="DI49" i="118"/>
  <c r="DH49" i="118"/>
  <c r="DG49" i="118"/>
  <c r="DF49" i="118"/>
  <c r="DE49" i="118"/>
  <c r="DD49" i="118"/>
  <c r="DC49" i="118"/>
  <c r="DB49" i="118"/>
  <c r="DA49" i="118"/>
  <c r="CZ49" i="118"/>
  <c r="CY49" i="118"/>
  <c r="CX49" i="118"/>
  <c r="CW49" i="118"/>
  <c r="CV49" i="118"/>
  <c r="CU49" i="118"/>
  <c r="CT49" i="118"/>
  <c r="CS49" i="118"/>
  <c r="CR49" i="118"/>
  <c r="CQ49" i="118"/>
  <c r="CP49" i="118"/>
  <c r="CO49" i="118"/>
  <c r="CN49" i="118"/>
  <c r="CM49" i="118"/>
  <c r="CL49" i="118"/>
  <c r="CK49" i="118"/>
  <c r="CJ49" i="118"/>
  <c r="CI49" i="118"/>
  <c r="CH49" i="118"/>
  <c r="CG49" i="118"/>
  <c r="CF49" i="118"/>
  <c r="CE49" i="118"/>
  <c r="CD49" i="118"/>
  <c r="CC49" i="118"/>
  <c r="CB49" i="118"/>
  <c r="CA49" i="118"/>
  <c r="BZ49" i="118"/>
  <c r="BY49" i="118"/>
  <c r="BX49" i="118"/>
  <c r="BW49" i="118"/>
  <c r="BV49" i="118"/>
  <c r="BU49" i="118"/>
  <c r="BT49" i="118"/>
  <c r="BS49" i="118"/>
  <c r="BR49" i="118"/>
  <c r="BQ49" i="118"/>
  <c r="BP49" i="118"/>
  <c r="BO49" i="118"/>
  <c r="BN49" i="118"/>
  <c r="BM49" i="118"/>
  <c r="BL49" i="118"/>
  <c r="BK49" i="118"/>
  <c r="BJ49" i="118"/>
  <c r="BI49" i="118"/>
  <c r="BH49" i="118"/>
  <c r="BG49" i="118"/>
  <c r="BF49" i="118"/>
  <c r="BE49" i="118"/>
  <c r="BD49" i="118"/>
  <c r="BC49" i="118"/>
  <c r="BB49" i="118"/>
  <c r="BA49" i="118"/>
  <c r="AZ49" i="118"/>
  <c r="AY49" i="118"/>
  <c r="AX49" i="118"/>
  <c r="AW49" i="118"/>
  <c r="AV49" i="118"/>
  <c r="AU49" i="118"/>
  <c r="AT49" i="118"/>
  <c r="AS49" i="118"/>
  <c r="AR49" i="118"/>
  <c r="AQ49" i="118"/>
  <c r="AP49" i="118"/>
  <c r="AO49" i="118"/>
  <c r="AN49" i="118"/>
  <c r="AM49" i="118"/>
  <c r="AL49" i="118"/>
  <c r="AK49" i="118"/>
  <c r="AJ49" i="118"/>
  <c r="AI49" i="118"/>
  <c r="AH49" i="118"/>
  <c r="AG49" i="118"/>
  <c r="AF49" i="118"/>
  <c r="AE49" i="118"/>
  <c r="AD49" i="118"/>
  <c r="AC49" i="118"/>
  <c r="AB49" i="118"/>
  <c r="AA49" i="118"/>
  <c r="Z49" i="118"/>
  <c r="Y49" i="118"/>
  <c r="X49" i="118"/>
  <c r="W49" i="118"/>
  <c r="V49" i="118"/>
  <c r="U49" i="118"/>
  <c r="T49" i="118"/>
  <c r="S49" i="118"/>
  <c r="R49" i="118"/>
  <c r="Q49" i="118"/>
  <c r="P49" i="118"/>
  <c r="O49" i="118"/>
  <c r="N49" i="118"/>
  <c r="M49" i="118"/>
  <c r="L49" i="118"/>
  <c r="K49" i="118"/>
  <c r="J49" i="118"/>
  <c r="I49" i="118"/>
  <c r="H49" i="118"/>
  <c r="G49" i="118"/>
  <c r="F49" i="118"/>
  <c r="E49" i="118"/>
  <c r="D49" i="118"/>
  <c r="C49" i="118"/>
  <c r="B49" i="118"/>
  <c r="GN41" i="118"/>
  <c r="GM41" i="118"/>
  <c r="GL41" i="118"/>
  <c r="GK41" i="118"/>
  <c r="GJ41" i="118"/>
  <c r="GI41" i="118"/>
  <c r="GH41" i="118"/>
  <c r="GG41" i="118"/>
  <c r="GF41" i="118"/>
  <c r="GE41" i="118"/>
  <c r="GD41" i="118"/>
  <c r="GC41" i="118"/>
  <c r="GB41" i="118"/>
  <c r="GA41" i="118"/>
  <c r="FZ41" i="118"/>
  <c r="FY41" i="118"/>
  <c r="FX41" i="118"/>
  <c r="FW41" i="118"/>
  <c r="FV41" i="118"/>
  <c r="FU41" i="118"/>
  <c r="FT41" i="118"/>
  <c r="FS41" i="118"/>
  <c r="FR41" i="118"/>
  <c r="FQ41" i="118"/>
  <c r="FP41" i="118"/>
  <c r="FO41" i="118"/>
  <c r="FN41" i="118"/>
  <c r="FM41" i="118"/>
  <c r="FL41" i="118"/>
  <c r="FK41" i="118"/>
  <c r="FJ41" i="118"/>
  <c r="FI41" i="118"/>
  <c r="FH41" i="118"/>
  <c r="FG41" i="118"/>
  <c r="FF41" i="118"/>
  <c r="FE41" i="118"/>
  <c r="FD41" i="118"/>
  <c r="FC41" i="118"/>
  <c r="FB41" i="118"/>
  <c r="FA41" i="118"/>
  <c r="EZ41" i="118"/>
  <c r="EY41" i="118"/>
  <c r="EX41" i="118"/>
  <c r="EW41" i="118"/>
  <c r="EV41" i="118"/>
  <c r="EU41" i="118"/>
  <c r="ET41" i="118"/>
  <c r="ES41" i="118"/>
  <c r="ER41" i="118"/>
  <c r="EQ41" i="118"/>
  <c r="EP41" i="118"/>
  <c r="EO41" i="118"/>
  <c r="EN41" i="118"/>
  <c r="EM41" i="118"/>
  <c r="EL41" i="118"/>
  <c r="EK41" i="118"/>
  <c r="EJ41" i="118"/>
  <c r="EI41" i="118"/>
  <c r="EH41" i="118"/>
  <c r="EG41" i="118"/>
  <c r="EF41" i="118"/>
  <c r="EE41" i="118"/>
  <c r="ED41" i="118"/>
  <c r="EC41" i="118"/>
  <c r="EB41" i="118"/>
  <c r="EA41" i="118"/>
  <c r="DZ41" i="118"/>
  <c r="DY41" i="118"/>
  <c r="DX41" i="118"/>
  <c r="DW41" i="118"/>
  <c r="DV41" i="118"/>
  <c r="DU41" i="118"/>
  <c r="DT41" i="118"/>
  <c r="DS41" i="118"/>
  <c r="DR41" i="118"/>
  <c r="DQ41" i="118"/>
  <c r="DP41" i="118"/>
  <c r="DO41" i="118"/>
  <c r="DN41" i="118"/>
  <c r="DM41" i="118"/>
  <c r="DL41" i="118"/>
  <c r="DK41" i="118"/>
  <c r="DJ41" i="118"/>
  <c r="DI41" i="118"/>
  <c r="DH41" i="118"/>
  <c r="DG41" i="118"/>
  <c r="DF41" i="118"/>
  <c r="DE41" i="118"/>
  <c r="DD41" i="118"/>
  <c r="DC41" i="118"/>
  <c r="DB41" i="118"/>
  <c r="DA41" i="118"/>
  <c r="CZ41" i="118"/>
  <c r="CY41" i="118"/>
  <c r="CX41" i="118"/>
  <c r="CW41" i="118"/>
  <c r="CV41" i="118"/>
  <c r="CU41" i="118"/>
  <c r="CT41" i="118"/>
  <c r="CS41" i="118"/>
  <c r="CR41" i="118"/>
  <c r="CQ41" i="118"/>
  <c r="CP41" i="118"/>
  <c r="CO41" i="118"/>
  <c r="CN41" i="118"/>
  <c r="CM41" i="118"/>
  <c r="CL41" i="118"/>
  <c r="CK41" i="118"/>
  <c r="CJ41" i="118"/>
  <c r="CI41" i="118"/>
  <c r="CH41" i="118"/>
  <c r="CG41" i="118"/>
  <c r="CF41" i="118"/>
  <c r="CE41" i="118"/>
  <c r="CD41" i="118"/>
  <c r="CC41" i="118"/>
  <c r="CB41" i="118"/>
  <c r="CA41" i="118"/>
  <c r="BZ41" i="118"/>
  <c r="BY41" i="118"/>
  <c r="BX41" i="118"/>
  <c r="BW41" i="118"/>
  <c r="BV41" i="118"/>
  <c r="BU41" i="118"/>
  <c r="BT41" i="118"/>
  <c r="BS41" i="118"/>
  <c r="BR41" i="118"/>
  <c r="BQ41" i="118"/>
  <c r="BP41" i="118"/>
  <c r="BO41" i="118"/>
  <c r="BN41" i="118"/>
  <c r="BM41" i="118"/>
  <c r="BL41" i="118"/>
  <c r="BK41" i="118"/>
  <c r="BJ41" i="118"/>
  <c r="BI41" i="118"/>
  <c r="BH41" i="118"/>
  <c r="BG41" i="118"/>
  <c r="BF41" i="118"/>
  <c r="BE41" i="118"/>
  <c r="BD41" i="118"/>
  <c r="BC41" i="118"/>
  <c r="BB41" i="118"/>
  <c r="BA41" i="118"/>
  <c r="AZ41" i="118"/>
  <c r="AY41" i="118"/>
  <c r="AX41" i="118"/>
  <c r="AW41" i="118"/>
  <c r="AV41" i="118"/>
  <c r="AU41" i="118"/>
  <c r="AT41" i="118"/>
  <c r="AS41" i="118"/>
  <c r="AR41" i="118"/>
  <c r="AQ41" i="118"/>
  <c r="AP41" i="118"/>
  <c r="AO41" i="118"/>
  <c r="AN41" i="118"/>
  <c r="AM41" i="118"/>
  <c r="AL41" i="118"/>
  <c r="AK41" i="118"/>
  <c r="AJ41" i="118"/>
  <c r="AI41" i="118"/>
  <c r="AH41" i="118"/>
  <c r="AG41" i="118"/>
  <c r="AF41" i="118"/>
  <c r="AE41" i="118"/>
  <c r="AD41" i="118"/>
  <c r="AC41" i="118"/>
  <c r="AB41" i="118"/>
  <c r="AA41" i="118"/>
  <c r="Z41" i="118"/>
  <c r="Y41" i="118"/>
  <c r="X41" i="118"/>
  <c r="W41" i="118"/>
  <c r="V41" i="118"/>
  <c r="U41" i="118"/>
  <c r="T41" i="118"/>
  <c r="S41" i="118"/>
  <c r="R41" i="118"/>
  <c r="Q41" i="118"/>
  <c r="P41" i="118"/>
  <c r="O41" i="118"/>
  <c r="N41" i="118"/>
  <c r="M41" i="118"/>
  <c r="L41" i="118"/>
  <c r="K41" i="118"/>
  <c r="J41" i="118"/>
  <c r="I41" i="118"/>
  <c r="H41" i="118"/>
  <c r="G41" i="118"/>
  <c r="F41" i="118"/>
  <c r="E41" i="118"/>
  <c r="D41" i="118"/>
  <c r="C41" i="118"/>
  <c r="B41" i="118"/>
  <c r="GN30" i="118"/>
  <c r="GM30" i="118"/>
  <c r="GL30" i="118"/>
  <c r="GK30" i="118"/>
  <c r="GJ30" i="118"/>
  <c r="GI30" i="118"/>
  <c r="GH30" i="118"/>
  <c r="GG30" i="118"/>
  <c r="GF30" i="118"/>
  <c r="GE30" i="118"/>
  <c r="GD30" i="118"/>
  <c r="GC30" i="118"/>
  <c r="GB30" i="118"/>
  <c r="GA30" i="118"/>
  <c r="FZ30" i="118"/>
  <c r="FY30" i="118"/>
  <c r="FX30" i="118"/>
  <c r="FW30" i="118"/>
  <c r="FV30" i="118"/>
  <c r="FU30" i="118"/>
  <c r="FT30" i="118"/>
  <c r="FS30" i="118"/>
  <c r="FR30" i="118"/>
  <c r="FQ30" i="118"/>
  <c r="FP30" i="118"/>
  <c r="FO30" i="118"/>
  <c r="FN30" i="118"/>
  <c r="FM30" i="118"/>
  <c r="FL30" i="118"/>
  <c r="FK30" i="118"/>
  <c r="FJ30" i="118"/>
  <c r="FI30" i="118"/>
  <c r="FH30" i="118"/>
  <c r="FG30" i="118"/>
  <c r="FF30" i="118"/>
  <c r="FE30" i="118"/>
  <c r="FD30" i="118"/>
  <c r="FC30" i="118"/>
  <c r="FB30" i="118"/>
  <c r="FA30" i="118"/>
  <c r="EZ30" i="118"/>
  <c r="EY30" i="118"/>
  <c r="EX30" i="118"/>
  <c r="EW30" i="118"/>
  <c r="EV30" i="118"/>
  <c r="EU30" i="118"/>
  <c r="ET30" i="118"/>
  <c r="ES30" i="118"/>
  <c r="ER30" i="118"/>
  <c r="EQ30" i="118"/>
  <c r="EP30" i="118"/>
  <c r="EO30" i="118"/>
  <c r="EN30" i="118"/>
  <c r="EM30" i="118"/>
  <c r="EL30" i="118"/>
  <c r="EK30" i="118"/>
  <c r="EJ30" i="118"/>
  <c r="EI30" i="118"/>
  <c r="EH30" i="118"/>
  <c r="EG30" i="118"/>
  <c r="EF30" i="118"/>
  <c r="EE30" i="118"/>
  <c r="ED30" i="118"/>
  <c r="EC30" i="118"/>
  <c r="EB30" i="118"/>
  <c r="EA30" i="118"/>
  <c r="DZ30" i="118"/>
  <c r="DY30" i="118"/>
  <c r="DX30" i="118"/>
  <c r="DW30" i="118"/>
  <c r="DV30" i="118"/>
  <c r="DU30" i="118"/>
  <c r="DT30" i="118"/>
  <c r="DS30" i="118"/>
  <c r="DR30" i="118"/>
  <c r="DQ30" i="118"/>
  <c r="DP30" i="118"/>
  <c r="DO30" i="118"/>
  <c r="DN30" i="118"/>
  <c r="DM30" i="118"/>
  <c r="DL30" i="118"/>
  <c r="DK30" i="118"/>
  <c r="DJ30" i="118"/>
  <c r="DI30" i="118"/>
  <c r="DH30" i="118"/>
  <c r="DG30" i="118"/>
  <c r="DF30" i="118"/>
  <c r="DE30" i="118"/>
  <c r="DD30" i="118"/>
  <c r="DC30" i="118"/>
  <c r="DB30" i="118"/>
  <c r="DA30" i="118"/>
  <c r="CZ30" i="118"/>
  <c r="CY30" i="118"/>
  <c r="CX30" i="118"/>
  <c r="CW30" i="118"/>
  <c r="CV30" i="118"/>
  <c r="CU30" i="118"/>
  <c r="CT30" i="118"/>
  <c r="CS30" i="118"/>
  <c r="CR30" i="118"/>
  <c r="CQ30" i="118"/>
  <c r="CP30" i="118"/>
  <c r="CO30" i="118"/>
  <c r="CN30" i="118"/>
  <c r="CM30" i="118"/>
  <c r="CL30" i="118"/>
  <c r="CK30" i="118"/>
  <c r="CJ30" i="118"/>
  <c r="CI30" i="118"/>
  <c r="CH30" i="118"/>
  <c r="CG30" i="118"/>
  <c r="CF30" i="118"/>
  <c r="CE30" i="118"/>
  <c r="CD30" i="118"/>
  <c r="CC30" i="118"/>
  <c r="CB30" i="118"/>
  <c r="CA30" i="118"/>
  <c r="BZ30" i="118"/>
  <c r="BY30" i="118"/>
  <c r="BX30" i="118"/>
  <c r="BW30" i="118"/>
  <c r="BV30" i="118"/>
  <c r="BU30" i="118"/>
  <c r="BT30" i="118"/>
  <c r="BS30" i="118"/>
  <c r="BR30" i="118"/>
  <c r="BQ30" i="118"/>
  <c r="BP30" i="118"/>
  <c r="BO30" i="118"/>
  <c r="BN30" i="118"/>
  <c r="BM30" i="118"/>
  <c r="BL30" i="118"/>
  <c r="BK30" i="118"/>
  <c r="BJ30" i="118"/>
  <c r="BI30" i="118"/>
  <c r="BH30" i="118"/>
  <c r="BG30" i="118"/>
  <c r="BF30" i="118"/>
  <c r="BE30" i="118"/>
  <c r="BD30" i="118"/>
  <c r="BC30" i="118"/>
  <c r="BB30" i="118"/>
  <c r="BA30" i="118"/>
  <c r="AZ30" i="118"/>
  <c r="AY30" i="118"/>
  <c r="AX30" i="118"/>
  <c r="AW30" i="118"/>
  <c r="AV30" i="118"/>
  <c r="AU30" i="118"/>
  <c r="AT30" i="118"/>
  <c r="AS30" i="118"/>
  <c r="AR30" i="118"/>
  <c r="AQ30" i="118"/>
  <c r="AP30" i="118"/>
  <c r="AO30" i="118"/>
  <c r="AN30" i="118"/>
  <c r="AM30" i="118"/>
  <c r="AL30" i="118"/>
  <c r="AK30" i="118"/>
  <c r="AJ30" i="118"/>
  <c r="AI30" i="118"/>
  <c r="AH30" i="118"/>
  <c r="AG30" i="118"/>
  <c r="AF30" i="118"/>
  <c r="AE30" i="118"/>
  <c r="AD30" i="118"/>
  <c r="AC30" i="118"/>
  <c r="AB30" i="118"/>
  <c r="AA30" i="118"/>
  <c r="Z30" i="118"/>
  <c r="Y30" i="118"/>
  <c r="X30" i="118"/>
  <c r="W30" i="118"/>
  <c r="V30" i="118"/>
  <c r="U30" i="118"/>
  <c r="T30" i="118"/>
  <c r="S30" i="118"/>
  <c r="R30" i="118"/>
  <c r="Q30" i="118"/>
  <c r="P30" i="118"/>
  <c r="O30" i="118"/>
  <c r="N30" i="118"/>
  <c r="M30" i="118"/>
  <c r="L30" i="118"/>
  <c r="K30" i="118"/>
  <c r="J30" i="118"/>
  <c r="I30" i="118"/>
  <c r="H30" i="118"/>
  <c r="G30" i="118"/>
  <c r="F30" i="118"/>
  <c r="E30" i="118"/>
  <c r="D30" i="118"/>
  <c r="C30" i="118"/>
  <c r="B30" i="118"/>
  <c r="GN21" i="118"/>
  <c r="GM21" i="118"/>
  <c r="GL21" i="118"/>
  <c r="GK21" i="118"/>
  <c r="GJ21" i="118"/>
  <c r="GI21" i="118"/>
  <c r="GH21" i="118"/>
  <c r="GG21" i="118"/>
  <c r="GF21" i="118"/>
  <c r="GE21" i="118"/>
  <c r="GD21" i="118"/>
  <c r="GC21" i="118"/>
  <c r="GB21" i="118"/>
  <c r="GA21" i="118"/>
  <c r="FZ21" i="118"/>
  <c r="FY21" i="118"/>
  <c r="FX21" i="118"/>
  <c r="FW21" i="118"/>
  <c r="FV21" i="118"/>
  <c r="FU21" i="118"/>
  <c r="FT21" i="118"/>
  <c r="FS21" i="118"/>
  <c r="FR21" i="118"/>
  <c r="FQ21" i="118"/>
  <c r="FP21" i="118"/>
  <c r="FO21" i="118"/>
  <c r="FN21" i="118"/>
  <c r="FM21" i="118"/>
  <c r="FL21" i="118"/>
  <c r="FK21" i="118"/>
  <c r="FJ21" i="118"/>
  <c r="FI21" i="118"/>
  <c r="FH21" i="118"/>
  <c r="FG21" i="118"/>
  <c r="FF21" i="118"/>
  <c r="FE21" i="118"/>
  <c r="FD21" i="118"/>
  <c r="FC21" i="118"/>
  <c r="FB21" i="118"/>
  <c r="FA21" i="118"/>
  <c r="EZ21" i="118"/>
  <c r="EY21" i="118"/>
  <c r="EX21" i="118"/>
  <c r="EW21" i="118"/>
  <c r="EV21" i="118"/>
  <c r="EU21" i="118"/>
  <c r="ET21" i="118"/>
  <c r="ES21" i="118"/>
  <c r="ER21" i="118"/>
  <c r="EQ21" i="118"/>
  <c r="EP21" i="118"/>
  <c r="EO21" i="118"/>
  <c r="EN21" i="118"/>
  <c r="EM21" i="118"/>
  <c r="EL21" i="118"/>
  <c r="EK21" i="118"/>
  <c r="EJ21" i="118"/>
  <c r="EI21" i="118"/>
  <c r="EH21" i="118"/>
  <c r="EG21" i="118"/>
  <c r="EF21" i="118"/>
  <c r="EE21" i="118"/>
  <c r="ED21" i="118"/>
  <c r="EC21" i="118"/>
  <c r="EB21" i="118"/>
  <c r="EA21" i="118"/>
  <c r="DZ21" i="118"/>
  <c r="DY21" i="118"/>
  <c r="DX21" i="118"/>
  <c r="DW21" i="118"/>
  <c r="DV21" i="118"/>
  <c r="DU21" i="118"/>
  <c r="DT21" i="118"/>
  <c r="DS21" i="118"/>
  <c r="DR21" i="118"/>
  <c r="DQ21" i="118"/>
  <c r="DP21" i="118"/>
  <c r="DO21" i="118"/>
  <c r="DN21" i="118"/>
  <c r="DM21" i="118"/>
  <c r="DL21" i="118"/>
  <c r="DK21" i="118"/>
  <c r="DJ21" i="118"/>
  <c r="DI21" i="118"/>
  <c r="DH21" i="118"/>
  <c r="DG21" i="118"/>
  <c r="DF21" i="118"/>
  <c r="DE21" i="118"/>
  <c r="DD21" i="118"/>
  <c r="DC21" i="118"/>
  <c r="DB21" i="118"/>
  <c r="DA21" i="118"/>
  <c r="CZ21" i="118"/>
  <c r="CY21" i="118"/>
  <c r="CX21" i="118"/>
  <c r="CW21" i="118"/>
  <c r="CV21" i="118"/>
  <c r="CU21" i="118"/>
  <c r="CT21" i="118"/>
  <c r="CS21" i="118"/>
  <c r="CR21" i="118"/>
  <c r="CQ21" i="118"/>
  <c r="CP21" i="118"/>
  <c r="CO21" i="118"/>
  <c r="CN21" i="118"/>
  <c r="CM21" i="118"/>
  <c r="CL21" i="118"/>
  <c r="CK21" i="118"/>
  <c r="CJ21" i="118"/>
  <c r="CI21" i="118"/>
  <c r="CH21" i="118"/>
  <c r="CG21" i="118"/>
  <c r="CF21" i="118"/>
  <c r="CE21" i="118"/>
  <c r="CD21" i="118"/>
  <c r="CC21" i="118"/>
  <c r="CB21" i="118"/>
  <c r="CA21" i="118"/>
  <c r="BZ21" i="118"/>
  <c r="BY21" i="118"/>
  <c r="BX21" i="118"/>
  <c r="BW21" i="118"/>
  <c r="BV21" i="118"/>
  <c r="BU21" i="118"/>
  <c r="BT21" i="118"/>
  <c r="BS21" i="118"/>
  <c r="BR21" i="118"/>
  <c r="BQ21" i="118"/>
  <c r="BP21" i="118"/>
  <c r="BO21" i="118"/>
  <c r="BN21" i="118"/>
  <c r="BM21" i="118"/>
  <c r="BL21" i="118"/>
  <c r="BK21" i="118"/>
  <c r="BJ21" i="118"/>
  <c r="BI21" i="118"/>
  <c r="BH21" i="118"/>
  <c r="BG21" i="118"/>
  <c r="BF21" i="118"/>
  <c r="BE21" i="118"/>
  <c r="BD21" i="118"/>
  <c r="BC21" i="118"/>
  <c r="BB21" i="118"/>
  <c r="BA21" i="118"/>
  <c r="AZ21" i="118"/>
  <c r="AY21" i="118"/>
  <c r="AX21" i="118"/>
  <c r="AW21" i="118"/>
  <c r="AV21" i="118"/>
  <c r="AU21" i="118"/>
  <c r="AT21" i="118"/>
  <c r="AS21" i="118"/>
  <c r="AR21" i="118"/>
  <c r="AQ21" i="118"/>
  <c r="AP21" i="118"/>
  <c r="AO21" i="118"/>
  <c r="AN21" i="118"/>
  <c r="AM21" i="118"/>
  <c r="AL21" i="118"/>
  <c r="AK21" i="118"/>
  <c r="AJ21" i="118"/>
  <c r="AI21" i="118"/>
  <c r="AH21" i="118"/>
  <c r="AG21" i="118"/>
  <c r="AF21" i="118"/>
  <c r="AE21" i="118"/>
  <c r="AD21" i="118"/>
  <c r="AC21" i="118"/>
  <c r="AB21" i="118"/>
  <c r="AA21" i="118"/>
  <c r="Z21" i="118"/>
  <c r="Y21" i="118"/>
  <c r="X21" i="118"/>
  <c r="W21" i="118"/>
  <c r="V21" i="118"/>
  <c r="U21" i="118"/>
  <c r="T21" i="118"/>
  <c r="S21" i="118"/>
  <c r="R21" i="118"/>
  <c r="Q21" i="118"/>
  <c r="P21" i="118"/>
  <c r="O21" i="118"/>
  <c r="N21" i="118"/>
  <c r="M21" i="118"/>
  <c r="L21" i="118"/>
  <c r="K21" i="118"/>
  <c r="J21" i="118"/>
  <c r="I21" i="118"/>
  <c r="H21" i="118"/>
  <c r="G21" i="118"/>
  <c r="F21" i="118"/>
  <c r="E21" i="118"/>
  <c r="D21" i="118"/>
  <c r="C21" i="118"/>
  <c r="B21" i="118"/>
  <c r="GN13" i="118"/>
  <c r="GM13" i="118"/>
  <c r="GL13" i="118"/>
  <c r="GK13" i="118"/>
  <c r="GJ13" i="118"/>
  <c r="GI13" i="118"/>
  <c r="GH13" i="118"/>
  <c r="GG13" i="118"/>
  <c r="GF13" i="118"/>
  <c r="GE13" i="118"/>
  <c r="GD13" i="118"/>
  <c r="GC13" i="118"/>
  <c r="GB13" i="118"/>
  <c r="GA13" i="118"/>
  <c r="FZ13" i="118"/>
  <c r="FY13" i="118"/>
  <c r="FX13" i="118"/>
  <c r="FW13" i="118"/>
  <c r="FV13" i="118"/>
  <c r="FU13" i="118"/>
  <c r="FT13" i="118"/>
  <c r="FS13" i="118"/>
  <c r="FR13" i="118"/>
  <c r="FQ13" i="118"/>
  <c r="FP13" i="118"/>
  <c r="FO13" i="118"/>
  <c r="FN13" i="118"/>
  <c r="FM13" i="118"/>
  <c r="FL13" i="118"/>
  <c r="FK13" i="118"/>
  <c r="FJ13" i="118"/>
  <c r="FI13" i="118"/>
  <c r="FH13" i="118"/>
  <c r="FG13" i="118"/>
  <c r="FF13" i="118"/>
  <c r="FE13" i="118"/>
  <c r="FD13" i="118"/>
  <c r="FC13" i="118"/>
  <c r="FB13" i="118"/>
  <c r="FA13" i="118"/>
  <c r="EZ13" i="118"/>
  <c r="EY13" i="118"/>
  <c r="EX13" i="118"/>
  <c r="EW13" i="118"/>
  <c r="EV13" i="118"/>
  <c r="EU13" i="118"/>
  <c r="ET13" i="118"/>
  <c r="ES13" i="118"/>
  <c r="ER13" i="118"/>
  <c r="EQ13" i="118"/>
  <c r="EP13" i="118"/>
  <c r="EO13" i="118"/>
  <c r="EN13" i="118"/>
  <c r="EM13" i="118"/>
  <c r="EL13" i="118"/>
  <c r="EK13" i="118"/>
  <c r="EJ13" i="118"/>
  <c r="EI13" i="118"/>
  <c r="EH13" i="118"/>
  <c r="EG13" i="118"/>
  <c r="EF13" i="118"/>
  <c r="EE13" i="118"/>
  <c r="ED13" i="118"/>
  <c r="EC13" i="118"/>
  <c r="EB13" i="118"/>
  <c r="EA13" i="118"/>
  <c r="DZ13" i="118"/>
  <c r="DY13" i="118"/>
  <c r="DX13" i="118"/>
  <c r="DW13" i="118"/>
  <c r="DV13" i="118"/>
  <c r="DU13" i="118"/>
  <c r="DT13" i="118"/>
  <c r="DS13" i="118"/>
  <c r="DR13" i="118"/>
  <c r="DQ13" i="118"/>
  <c r="DP13" i="118"/>
  <c r="DO13" i="118"/>
  <c r="DN13" i="118"/>
  <c r="DM13" i="118"/>
  <c r="DL13" i="118"/>
  <c r="DK13" i="118"/>
  <c r="DJ13" i="118"/>
  <c r="DI13" i="118"/>
  <c r="DH13" i="118"/>
  <c r="DG13" i="118"/>
  <c r="DF13" i="118"/>
  <c r="DE13" i="118"/>
  <c r="DD13" i="118"/>
  <c r="DC13" i="118"/>
  <c r="DB13" i="118"/>
  <c r="DA13" i="118"/>
  <c r="CZ13" i="118"/>
  <c r="CY13" i="118"/>
  <c r="CX13" i="118"/>
  <c r="CW13" i="118"/>
  <c r="CV13" i="118"/>
  <c r="CU13" i="118"/>
  <c r="CT13" i="118"/>
  <c r="CS13" i="118"/>
  <c r="CR13" i="118"/>
  <c r="CQ13" i="118"/>
  <c r="CP13" i="118"/>
  <c r="CO13" i="118"/>
  <c r="CN13" i="118"/>
  <c r="CM13" i="118"/>
  <c r="CL13" i="118"/>
  <c r="CK13" i="118"/>
  <c r="CJ13" i="118"/>
  <c r="CI13" i="118"/>
  <c r="CH13" i="118"/>
  <c r="CG13" i="118"/>
  <c r="CF13" i="118"/>
  <c r="CE13" i="118"/>
  <c r="CD13" i="118"/>
  <c r="CC13" i="118"/>
  <c r="CB13" i="118"/>
  <c r="CA13" i="118"/>
  <c r="BZ13" i="118"/>
  <c r="BY13" i="118"/>
  <c r="BX13" i="118"/>
  <c r="BW13" i="118"/>
  <c r="BV13" i="118"/>
  <c r="BU13" i="118"/>
  <c r="BT13" i="118"/>
  <c r="BS13" i="118"/>
  <c r="BR13" i="118"/>
  <c r="BQ13" i="118"/>
  <c r="BP13" i="118"/>
  <c r="BO13" i="118"/>
  <c r="BN13" i="118"/>
  <c r="BM13" i="118"/>
  <c r="BL13" i="118"/>
  <c r="BK13" i="118"/>
  <c r="BJ13" i="118"/>
  <c r="BI13" i="118"/>
  <c r="BH13" i="118"/>
  <c r="BG13" i="118"/>
  <c r="BF13" i="118"/>
  <c r="BE13" i="118"/>
  <c r="BD13" i="118"/>
  <c r="BC13" i="118"/>
  <c r="BB13" i="118"/>
  <c r="BA13" i="118"/>
  <c r="AZ13" i="118"/>
  <c r="AY13" i="118"/>
  <c r="AX13" i="118"/>
  <c r="AW13" i="118"/>
  <c r="AV13" i="118"/>
  <c r="AU13" i="118"/>
  <c r="AT13" i="118"/>
  <c r="AS13" i="118"/>
  <c r="AR13" i="118"/>
  <c r="AQ13" i="118"/>
  <c r="AP13" i="118"/>
  <c r="AO13" i="118"/>
  <c r="AN13" i="118"/>
  <c r="AM13" i="118"/>
  <c r="AL13" i="118"/>
  <c r="AK13" i="118"/>
  <c r="AJ13" i="118"/>
  <c r="AI13" i="118"/>
  <c r="AH13" i="118"/>
  <c r="AG13" i="118"/>
  <c r="AF13" i="118"/>
  <c r="AE13" i="118"/>
  <c r="AD13" i="118"/>
  <c r="AC13" i="118"/>
  <c r="AB13" i="118"/>
  <c r="AA13" i="118"/>
  <c r="Z13" i="118"/>
  <c r="Y13" i="118"/>
  <c r="X13" i="118"/>
  <c r="W13" i="118"/>
  <c r="V13" i="118"/>
  <c r="U13" i="118"/>
  <c r="T13" i="118"/>
  <c r="S13" i="118"/>
  <c r="R13" i="118"/>
  <c r="Q13" i="118"/>
  <c r="P13" i="118"/>
  <c r="O13" i="118"/>
  <c r="N13" i="118"/>
  <c r="M13" i="118"/>
  <c r="L13" i="118"/>
  <c r="K13" i="118"/>
  <c r="J13" i="118"/>
  <c r="I13" i="118"/>
  <c r="H13" i="118"/>
  <c r="G13" i="118"/>
  <c r="F13" i="118"/>
  <c r="E13" i="118"/>
  <c r="D13" i="118"/>
  <c r="C13" i="118"/>
  <c r="B13" i="118"/>
  <c r="GN13" i="7"/>
  <c r="GN18" i="7"/>
  <c r="GN26" i="7"/>
  <c r="GN41" i="7"/>
  <c r="GN13" i="6"/>
  <c r="GN21" i="6"/>
  <c r="GN30" i="6"/>
  <c r="GN41" i="6"/>
  <c r="GN49" i="6"/>
  <c r="GN57" i="6"/>
  <c r="GM13" i="7"/>
  <c r="GM18" i="7"/>
  <c r="GM26" i="7"/>
  <c r="GM41" i="7"/>
  <c r="GM13" i="6"/>
  <c r="GM21" i="6"/>
  <c r="GM30" i="6"/>
  <c r="GM41" i="6"/>
  <c r="GM49" i="6"/>
  <c r="GM57" i="6"/>
  <c r="GL41" i="6"/>
  <c r="GL49" i="6"/>
  <c r="GL57" i="6"/>
  <c r="GL13" i="6"/>
  <c r="GL21" i="6"/>
  <c r="GL30" i="6"/>
  <c r="GL41" i="7"/>
  <c r="GL13" i="7"/>
  <c r="GL18" i="7"/>
  <c r="GL26" i="7"/>
  <c r="GK41" i="7"/>
  <c r="GK13" i="7"/>
  <c r="GK18" i="7"/>
  <c r="GK26" i="7"/>
  <c r="GK41" i="6"/>
  <c r="GK49" i="6"/>
  <c r="GK57" i="6"/>
  <c r="GK13" i="6"/>
  <c r="GK21" i="6"/>
  <c r="GK30" i="6"/>
  <c r="GJ41" i="7" l="1"/>
  <c r="GJ13" i="7"/>
  <c r="GJ18" i="7"/>
  <c r="GJ26" i="7"/>
  <c r="GJ41" i="6"/>
  <c r="GJ49" i="6"/>
  <c r="GJ57" i="6"/>
  <c r="GJ13" i="6"/>
  <c r="GJ21" i="6"/>
  <c r="GJ30" i="6"/>
  <c r="GI13" i="6"/>
  <c r="GI21" i="6"/>
  <c r="GI30" i="6"/>
  <c r="GI41" i="6"/>
  <c r="GI49" i="6"/>
  <c r="GI57" i="6"/>
  <c r="GI13" i="7"/>
  <c r="GI18" i="7"/>
  <c r="GI26" i="7"/>
  <c r="GI41" i="7"/>
  <c r="GH13" i="7" l="1"/>
  <c r="GH18" i="7"/>
  <c r="GH26" i="7"/>
  <c r="GH41" i="7"/>
  <c r="GH41" i="6"/>
  <c r="GH49" i="6"/>
  <c r="GH57" i="6"/>
  <c r="GH13" i="6"/>
  <c r="GH21" i="6"/>
  <c r="GH30" i="6"/>
  <c r="GG13" i="7"/>
  <c r="GG18" i="7"/>
  <c r="GG26" i="7"/>
  <c r="GG41" i="7"/>
  <c r="GG13" i="6"/>
  <c r="GG21" i="6"/>
  <c r="GG30" i="6"/>
  <c r="GG41" i="6"/>
  <c r="GG49" i="6"/>
  <c r="GG57" i="6"/>
  <c r="GF30" i="6" l="1"/>
  <c r="GF13" i="6" l="1"/>
  <c r="GF21" i="6"/>
  <c r="GF41" i="6"/>
  <c r="GF49" i="6"/>
  <c r="GF57" i="6"/>
  <c r="GC13" i="7"/>
  <c r="GD13" i="7"/>
  <c r="GE13" i="7"/>
  <c r="GF13" i="7"/>
  <c r="GC18" i="7"/>
  <c r="GD18" i="7"/>
  <c r="GE18" i="7"/>
  <c r="GF18" i="7"/>
  <c r="GC26" i="7"/>
  <c r="GD26" i="7"/>
  <c r="GE26" i="7"/>
  <c r="GF26" i="7"/>
  <c r="GC41" i="7"/>
  <c r="GD41" i="7"/>
  <c r="GE41" i="7"/>
  <c r="GF41" i="7"/>
  <c r="GE41" i="6"/>
  <c r="GE49" i="6"/>
  <c r="GE57" i="6"/>
  <c r="GE13" i="6"/>
  <c r="GE21" i="6"/>
  <c r="GE30" i="6"/>
  <c r="GD41" i="6"/>
  <c r="GD49" i="6"/>
  <c r="GD57" i="6"/>
  <c r="GD13" i="6"/>
  <c r="GD21" i="6"/>
  <c r="GD30" i="6"/>
  <c r="FZ41" i="7"/>
  <c r="GA41" i="7"/>
  <c r="GB41" i="7"/>
  <c r="FZ13" i="7"/>
  <c r="GA13" i="7"/>
  <c r="GB13" i="7"/>
  <c r="FZ18" i="7"/>
  <c r="GA18" i="7"/>
  <c r="GB18" i="7"/>
  <c r="FZ26" i="7"/>
  <c r="GA26" i="7"/>
  <c r="GB26" i="7"/>
  <c r="GC41" i="6"/>
  <c r="GC49" i="6"/>
  <c r="GC57" i="6"/>
  <c r="GC13" i="6"/>
  <c r="GC21" i="6"/>
  <c r="GC30" i="6"/>
  <c r="GB21" i="6" l="1"/>
  <c r="GB13" i="6"/>
  <c r="GB30" i="6"/>
  <c r="GB41" i="6"/>
  <c r="GB49" i="6"/>
  <c r="GB57" i="6"/>
  <c r="GA57" i="6" l="1"/>
  <c r="GA49" i="6"/>
  <c r="GA41" i="6"/>
  <c r="GA13" i="6"/>
  <c r="GA30" i="6"/>
  <c r="GA21" i="6"/>
  <c r="FZ41" i="6"/>
  <c r="FZ49" i="6"/>
  <c r="FZ57" i="6"/>
  <c r="FZ13" i="6"/>
  <c r="FZ21" i="6"/>
  <c r="FZ30" i="6"/>
  <c r="FW41" i="7"/>
  <c r="FX41" i="7"/>
  <c r="FY41" i="7"/>
  <c r="FW13" i="7"/>
  <c r="FX13" i="7"/>
  <c r="FY13" i="7"/>
  <c r="FW18" i="7"/>
  <c r="FX18" i="7"/>
  <c r="FY18" i="7"/>
  <c r="FW26" i="7"/>
  <c r="FX26" i="7"/>
  <c r="FY26" i="7"/>
  <c r="FY30" i="6"/>
  <c r="FY57" i="6"/>
  <c r="FY49" i="6"/>
  <c r="FY41" i="6"/>
  <c r="FY21" i="6"/>
  <c r="FY13" i="6"/>
  <c r="FX57" i="6" l="1"/>
  <c r="FX49" i="6"/>
  <c r="FX41" i="6"/>
  <c r="FX21" i="6"/>
  <c r="FX13" i="6"/>
  <c r="FX30" i="6"/>
  <c r="FP30" i="6"/>
  <c r="FQ30" i="6"/>
  <c r="FR30" i="6"/>
  <c r="FS30" i="6"/>
  <c r="FT30" i="6"/>
  <c r="FU30" i="6"/>
  <c r="FV30" i="6"/>
  <c r="FW30" i="6"/>
  <c r="FO30" i="6"/>
  <c r="FN30" i="6"/>
  <c r="FT41" i="7" l="1"/>
  <c r="FU41" i="7"/>
  <c r="FV41" i="7"/>
  <c r="FT26" i="7"/>
  <c r="FU26" i="7"/>
  <c r="FV26" i="7"/>
  <c r="FT18" i="7"/>
  <c r="FU18" i="7"/>
  <c r="FV18" i="7"/>
  <c r="FT13" i="7"/>
  <c r="FU13" i="7"/>
  <c r="FV13" i="7"/>
  <c r="FW57" i="6"/>
  <c r="FW49" i="6"/>
  <c r="FW41" i="6"/>
  <c r="FW21" i="6" l="1"/>
  <c r="FW13" i="6"/>
  <c r="FV57" i="6"/>
  <c r="FV49" i="6"/>
  <c r="FV41" i="6"/>
  <c r="FV21" i="6"/>
  <c r="FV13" i="6"/>
  <c r="FU57" i="6" l="1"/>
  <c r="FU49" i="6"/>
  <c r="FU41" i="6"/>
  <c r="FU13" i="6"/>
  <c r="FU21" i="6"/>
  <c r="FQ41" i="7"/>
  <c r="FR41" i="7"/>
  <c r="FS41" i="7"/>
  <c r="FQ26" i="7"/>
  <c r="FR26" i="7"/>
  <c r="FS26" i="7"/>
  <c r="FQ18" i="7"/>
  <c r="FR18" i="7"/>
  <c r="FS18" i="7"/>
  <c r="FQ13" i="7"/>
  <c r="FR13" i="7"/>
  <c r="FS13" i="7"/>
  <c r="FT57" i="6"/>
  <c r="FT49" i="6"/>
  <c r="FT41" i="6"/>
  <c r="FT21" i="6" l="1"/>
  <c r="FT13" i="6"/>
  <c r="FS57" i="6" l="1"/>
  <c r="FS49" i="6"/>
  <c r="FS41" i="6"/>
  <c r="FS21" i="6"/>
  <c r="FS13" i="6"/>
  <c r="FR49" i="6"/>
  <c r="FR57" i="6" l="1"/>
  <c r="FR41" i="6" l="1"/>
  <c r="FR21" i="6" l="1"/>
  <c r="FR13" i="6"/>
  <c r="FP41" i="7" l="1"/>
  <c r="FO41" i="7"/>
  <c r="FN41" i="7"/>
  <c r="FP18" i="7"/>
  <c r="FO18" i="7"/>
  <c r="FN18" i="7"/>
  <c r="FP13" i="7"/>
  <c r="FO13" i="7"/>
  <c r="FN13" i="7"/>
  <c r="FO26" i="7" l="1"/>
  <c r="FP26" i="7"/>
  <c r="FN26" i="7"/>
  <c r="FQ57" i="6" l="1"/>
  <c r="FQ49" i="6"/>
  <c r="FQ41" i="6"/>
  <c r="FQ13" i="6"/>
  <c r="FQ21" i="6"/>
  <c r="FP57" i="6" l="1"/>
  <c r="FP49" i="6"/>
  <c r="FP41" i="6"/>
  <c r="FP21" i="6"/>
  <c r="FP13" i="6"/>
  <c r="FO41" i="6"/>
  <c r="FO49" i="6"/>
  <c r="FO57" i="6"/>
  <c r="FO13" i="6"/>
  <c r="FO21" i="6"/>
  <c r="FK41" i="7"/>
  <c r="FL41" i="7"/>
  <c r="FM41" i="7"/>
  <c r="FK13" i="7"/>
  <c r="FL13" i="7"/>
  <c r="FM13" i="7"/>
  <c r="FK18" i="7"/>
  <c r="FL18" i="7"/>
  <c r="FM18" i="7"/>
  <c r="FN41" i="6"/>
  <c r="FN49" i="6"/>
  <c r="FN57" i="6"/>
  <c r="FN13" i="6"/>
  <c r="FN21" i="6"/>
  <c r="FM41" i="6"/>
  <c r="FM49" i="6"/>
  <c r="FM57" i="6"/>
  <c r="FM13" i="6"/>
  <c r="FM21" i="6"/>
  <c r="FM30" i="6"/>
  <c r="FK26" i="7" l="1"/>
  <c r="FL26" i="7"/>
  <c r="FM26" i="7"/>
  <c r="FL41" i="6"/>
  <c r="FL49" i="6"/>
  <c r="FL57" i="6"/>
  <c r="FL13" i="6"/>
  <c r="FL21" i="6"/>
  <c r="FL30" i="6"/>
  <c r="FH41" i="7"/>
  <c r="FI41" i="7"/>
  <c r="FJ41" i="7"/>
  <c r="FH13" i="7"/>
  <c r="FI13" i="7"/>
  <c r="FJ13" i="7"/>
  <c r="FH18" i="7"/>
  <c r="FI18" i="7"/>
  <c r="FJ18" i="7"/>
  <c r="FI26" i="7" l="1"/>
  <c r="FH26" i="7"/>
  <c r="FJ26" i="7"/>
  <c r="FK41" i="6" l="1"/>
  <c r="FK49" i="6"/>
  <c r="FK57" i="6"/>
  <c r="FK13" i="6"/>
  <c r="FK21" i="6"/>
  <c r="FK30" i="6"/>
  <c r="FJ41" i="6"/>
  <c r="FJ49" i="6"/>
  <c r="FJ57" i="6"/>
  <c r="FJ13" i="6"/>
  <c r="FJ21" i="6"/>
  <c r="FJ30" i="6"/>
  <c r="B57" i="6" l="1"/>
  <c r="C57" i="6"/>
  <c r="D57" i="6"/>
  <c r="E57" i="6"/>
  <c r="F57" i="6"/>
  <c r="G57" i="6"/>
  <c r="H57" i="6"/>
  <c r="I57" i="6"/>
  <c r="J57" i="6"/>
  <c r="K57" i="6"/>
  <c r="L57" i="6"/>
  <c r="M57" i="6"/>
  <c r="N57" i="6"/>
  <c r="O57" i="6"/>
  <c r="P57" i="6"/>
  <c r="Q57" i="6"/>
  <c r="R57" i="6"/>
  <c r="S57" i="6"/>
  <c r="T57" i="6"/>
  <c r="U57" i="6"/>
  <c r="V57" i="6"/>
  <c r="W57" i="6"/>
  <c r="X57" i="6"/>
  <c r="Y57" i="6"/>
  <c r="Z57" i="6"/>
  <c r="AA57" i="6"/>
  <c r="AB57" i="6"/>
  <c r="AC57" i="6"/>
  <c r="AD57" i="6"/>
  <c r="AE57" i="6"/>
  <c r="AF57" i="6"/>
  <c r="AG57" i="6"/>
  <c r="AH57" i="6"/>
  <c r="AI57" i="6"/>
  <c r="AJ57" i="6"/>
  <c r="AK57" i="6"/>
  <c r="AL57" i="6"/>
  <c r="AM57" i="6"/>
  <c r="AN57" i="6"/>
  <c r="AO57" i="6"/>
  <c r="AP57" i="6"/>
  <c r="AQ57" i="6"/>
  <c r="AR57" i="6"/>
  <c r="AS57" i="6"/>
  <c r="AT57" i="6"/>
  <c r="AU57" i="6"/>
  <c r="AV57" i="6"/>
  <c r="AW57" i="6"/>
  <c r="AX57" i="6"/>
  <c r="AY57" i="6"/>
  <c r="AZ57" i="6"/>
  <c r="BA57" i="6"/>
  <c r="BB57" i="6"/>
  <c r="BC57" i="6"/>
  <c r="BD57" i="6"/>
  <c r="BE57" i="6"/>
  <c r="BF57" i="6"/>
  <c r="BG57" i="6"/>
  <c r="BH57" i="6"/>
  <c r="BI57" i="6"/>
  <c r="BJ57" i="6"/>
  <c r="BK57" i="6"/>
  <c r="BL57" i="6"/>
  <c r="BM57" i="6"/>
  <c r="BN57" i="6"/>
  <c r="BO57" i="6"/>
  <c r="BP57" i="6"/>
  <c r="BQ57" i="6"/>
  <c r="BR57" i="6"/>
  <c r="BS57" i="6"/>
  <c r="BT57" i="6"/>
  <c r="BU57" i="6"/>
  <c r="BV57" i="6"/>
  <c r="BW57" i="6"/>
  <c r="BX57" i="6"/>
  <c r="BY57" i="6"/>
  <c r="BZ57" i="6"/>
  <c r="CA57" i="6"/>
  <c r="CB57" i="6"/>
  <c r="CC57" i="6"/>
  <c r="CD57" i="6"/>
  <c r="CE57" i="6"/>
  <c r="CF57" i="6"/>
  <c r="CG57" i="6"/>
  <c r="CH57" i="6"/>
  <c r="CI57" i="6"/>
  <c r="CJ57" i="6"/>
  <c r="CK57" i="6"/>
  <c r="CL57" i="6"/>
  <c r="CM57" i="6"/>
  <c r="CN57" i="6"/>
  <c r="CO57" i="6"/>
  <c r="CP57" i="6"/>
  <c r="CQ57" i="6"/>
  <c r="CR57" i="6"/>
  <c r="CS57" i="6"/>
  <c r="CT57" i="6"/>
  <c r="CU57" i="6"/>
  <c r="CV57" i="6"/>
  <c r="CW57" i="6"/>
  <c r="CX57" i="6"/>
  <c r="CY57" i="6"/>
  <c r="CZ57" i="6"/>
  <c r="DA57" i="6"/>
  <c r="DB57" i="6"/>
  <c r="DC57" i="6"/>
  <c r="DD57" i="6"/>
  <c r="DE57" i="6"/>
  <c r="DF57" i="6"/>
  <c r="DG57" i="6"/>
  <c r="DH57" i="6"/>
  <c r="DI57" i="6"/>
  <c r="DJ57" i="6"/>
  <c r="DK57" i="6"/>
  <c r="DL57" i="6"/>
  <c r="DM57" i="6"/>
  <c r="DN57" i="6"/>
  <c r="DO57" i="6"/>
  <c r="DP57" i="6"/>
  <c r="DQ57" i="6"/>
  <c r="DR57" i="6"/>
  <c r="DS57" i="6"/>
  <c r="DT57" i="6"/>
  <c r="DU57" i="6"/>
  <c r="DV57" i="6"/>
  <c r="DW57" i="6"/>
  <c r="DX57" i="6"/>
  <c r="DY57" i="6"/>
  <c r="DZ57" i="6"/>
  <c r="EA57" i="6"/>
  <c r="EB57" i="6"/>
  <c r="EC57" i="6"/>
  <c r="ED57" i="6"/>
  <c r="EE57" i="6"/>
  <c r="EF57" i="6"/>
  <c r="EG57" i="6"/>
  <c r="EH57" i="6"/>
  <c r="EI57" i="6"/>
  <c r="EJ57" i="6"/>
  <c r="EK57" i="6"/>
  <c r="EL57" i="6"/>
  <c r="EM57" i="6"/>
  <c r="EN57" i="6"/>
  <c r="EO57" i="6"/>
  <c r="EP57" i="6"/>
  <c r="EQ57" i="6"/>
  <c r="ER57" i="6"/>
  <c r="ES57" i="6"/>
  <c r="ET57" i="6"/>
  <c r="EU57" i="6"/>
  <c r="EV57" i="6"/>
  <c r="EW57" i="6"/>
  <c r="EX57" i="6"/>
  <c r="EY57" i="6"/>
  <c r="EZ57" i="6"/>
  <c r="FA57" i="6"/>
  <c r="FB57" i="6"/>
  <c r="FC57" i="6"/>
  <c r="FD57" i="6"/>
  <c r="FE57" i="6"/>
  <c r="FF57" i="6"/>
  <c r="FG57" i="6"/>
  <c r="FH57" i="6"/>
  <c r="FI57" i="6"/>
  <c r="B30" i="6"/>
  <c r="C30" i="6"/>
  <c r="D30" i="6"/>
  <c r="E30" i="6"/>
  <c r="F30" i="6"/>
  <c r="G30" i="6"/>
  <c r="H30" i="6"/>
  <c r="I30" i="6"/>
  <c r="J30" i="6"/>
  <c r="K30" i="6"/>
  <c r="L30" i="6"/>
  <c r="M30" i="6"/>
  <c r="N30" i="6"/>
  <c r="O30" i="6"/>
  <c r="P30" i="6"/>
  <c r="Q30" i="6"/>
  <c r="R30" i="6"/>
  <c r="S30" i="6"/>
  <c r="T30" i="6"/>
  <c r="U30" i="6"/>
  <c r="V30" i="6"/>
  <c r="W30" i="6"/>
  <c r="X30" i="6"/>
  <c r="Y30" i="6"/>
  <c r="Z30" i="6"/>
  <c r="AA30" i="6"/>
  <c r="AB30" i="6"/>
  <c r="AC30" i="6"/>
  <c r="AD30" i="6"/>
  <c r="AE30" i="6"/>
  <c r="AF30" i="6"/>
  <c r="AG30" i="6"/>
  <c r="AH30" i="6"/>
  <c r="AI30" i="6"/>
  <c r="AJ30" i="6"/>
  <c r="AK30" i="6"/>
  <c r="AL30" i="6"/>
  <c r="AM30" i="6"/>
  <c r="AN30" i="6"/>
  <c r="AO30" i="6"/>
  <c r="AP30" i="6"/>
  <c r="AQ30" i="6"/>
  <c r="AR30" i="6"/>
  <c r="AS30" i="6"/>
  <c r="AT30" i="6"/>
  <c r="AU30" i="6"/>
  <c r="AV30" i="6"/>
  <c r="AW30" i="6"/>
  <c r="AX30" i="6"/>
  <c r="AY30" i="6"/>
  <c r="AZ30" i="6"/>
  <c r="BA30" i="6"/>
  <c r="BB30" i="6"/>
  <c r="BC30" i="6"/>
  <c r="BD30" i="6"/>
  <c r="BE30" i="6"/>
  <c r="BF30" i="6"/>
  <c r="BG30" i="6"/>
  <c r="BH30" i="6"/>
  <c r="BI30" i="6"/>
  <c r="BJ30" i="6"/>
  <c r="BK30" i="6"/>
  <c r="BL30" i="6"/>
  <c r="BM30" i="6"/>
  <c r="BN30" i="6"/>
  <c r="BO30" i="6"/>
  <c r="BP30" i="6"/>
  <c r="BQ30" i="6"/>
  <c r="BR30" i="6"/>
  <c r="BS30" i="6"/>
  <c r="BT30" i="6"/>
  <c r="BU30" i="6"/>
  <c r="BV30" i="6"/>
  <c r="BW30" i="6"/>
  <c r="BX30" i="6"/>
  <c r="BY30" i="6"/>
  <c r="BZ30" i="6"/>
  <c r="CA30" i="6"/>
  <c r="CB30" i="6"/>
  <c r="CC30" i="6"/>
  <c r="CD30" i="6"/>
  <c r="CE30" i="6"/>
  <c r="CF30" i="6"/>
  <c r="CG30" i="6"/>
  <c r="CH30" i="6"/>
  <c r="CI30" i="6"/>
  <c r="CJ30" i="6"/>
  <c r="CK30" i="6"/>
  <c r="CL30" i="6"/>
  <c r="CM30" i="6"/>
  <c r="CN30" i="6"/>
  <c r="CO30" i="6"/>
  <c r="CP30" i="6"/>
  <c r="CQ30" i="6"/>
  <c r="CR30" i="6"/>
  <c r="CS30" i="6"/>
  <c r="CT30" i="6"/>
  <c r="CU30" i="6"/>
  <c r="CV30" i="6"/>
  <c r="CW30" i="6"/>
  <c r="CX30" i="6"/>
  <c r="CY30" i="6"/>
  <c r="CZ30" i="6"/>
  <c r="DA30" i="6"/>
  <c r="DB30" i="6"/>
  <c r="DC30" i="6"/>
  <c r="DD30" i="6"/>
  <c r="DE30" i="6"/>
  <c r="DF30" i="6"/>
  <c r="DG30" i="6"/>
  <c r="DH30" i="6"/>
  <c r="DI30" i="6"/>
  <c r="DJ30" i="6"/>
  <c r="DK30" i="6"/>
  <c r="DL30" i="6"/>
  <c r="DM30" i="6"/>
  <c r="DN30" i="6"/>
  <c r="DO30" i="6"/>
  <c r="DP30" i="6"/>
  <c r="DQ30" i="6"/>
  <c r="DR30" i="6"/>
  <c r="DS30" i="6"/>
  <c r="DT30" i="6"/>
  <c r="DU30" i="6"/>
  <c r="DV30" i="6"/>
  <c r="DW30" i="6"/>
  <c r="DX30" i="6"/>
  <c r="DY30" i="6"/>
  <c r="DZ30" i="6"/>
  <c r="EA30" i="6"/>
  <c r="EB30" i="6"/>
  <c r="EC30" i="6"/>
  <c r="ED30" i="6"/>
  <c r="EE30" i="6"/>
  <c r="EF30" i="6"/>
  <c r="EG30" i="6"/>
  <c r="EH30" i="6"/>
  <c r="EI30" i="6"/>
  <c r="EJ30" i="6"/>
  <c r="EK30" i="6"/>
  <c r="EL30" i="6"/>
  <c r="EM30" i="6"/>
  <c r="EN30" i="6"/>
  <c r="EO30" i="6"/>
  <c r="EP30" i="6"/>
  <c r="EQ30" i="6"/>
  <c r="ER30" i="6"/>
  <c r="ES30" i="6"/>
  <c r="ET30" i="6"/>
  <c r="EU30" i="6"/>
  <c r="EV30" i="6"/>
  <c r="EW30" i="6"/>
  <c r="EX30" i="6"/>
  <c r="EY30" i="6"/>
  <c r="EZ30" i="6"/>
  <c r="FA30" i="6"/>
  <c r="FB30" i="6"/>
  <c r="FC30" i="6"/>
  <c r="FD30" i="6"/>
  <c r="FE30" i="6"/>
  <c r="FF30" i="6"/>
  <c r="FG30" i="6"/>
  <c r="FH30" i="6"/>
  <c r="FI30" i="6"/>
  <c r="FI41" i="6"/>
  <c r="FI49" i="6"/>
  <c r="FI13" i="6"/>
  <c r="FI21" i="6"/>
  <c r="FG41" i="7"/>
  <c r="FE41" i="7"/>
  <c r="FF41" i="7"/>
  <c r="FE13" i="7"/>
  <c r="FF13" i="7"/>
  <c r="FG13" i="7"/>
  <c r="FE18" i="7"/>
  <c r="FF18" i="7"/>
  <c r="FG18" i="7"/>
  <c r="FH41" i="6"/>
  <c r="FH49" i="6"/>
  <c r="FH13" i="6"/>
  <c r="FH21" i="6"/>
  <c r="FG26" i="7" l="1"/>
  <c r="FE26" i="7"/>
  <c r="FF26" i="7"/>
  <c r="FG41" i="6" l="1"/>
  <c r="FG49" i="6"/>
  <c r="FG13" i="6" l="1"/>
  <c r="FG21" i="6"/>
  <c r="B13" i="6"/>
  <c r="C13" i="6"/>
  <c r="D13" i="6"/>
  <c r="E13" i="6"/>
  <c r="F13" i="6"/>
  <c r="G13" i="6"/>
  <c r="H13" i="6"/>
  <c r="I13" i="6"/>
  <c r="J13" i="6"/>
  <c r="K13" i="6"/>
  <c r="L13" i="6"/>
  <c r="M13" i="6"/>
  <c r="N13" i="6"/>
  <c r="O13" i="6"/>
  <c r="P13" i="6"/>
  <c r="Q13" i="6"/>
  <c r="R13" i="6"/>
  <c r="S13" i="6"/>
  <c r="T13" i="6"/>
  <c r="U13" i="6"/>
  <c r="V13" i="6"/>
  <c r="W13" i="6"/>
  <c r="X13" i="6"/>
  <c r="Y13" i="6"/>
  <c r="Z13" i="6"/>
  <c r="AA13" i="6"/>
  <c r="AB13" i="6"/>
  <c r="AC13" i="6"/>
  <c r="AD13" i="6"/>
  <c r="AE13" i="6"/>
  <c r="AF13" i="6"/>
  <c r="AG13" i="6"/>
  <c r="AH13" i="6"/>
  <c r="AI13" i="6"/>
  <c r="AJ13" i="6"/>
  <c r="AK13" i="6"/>
  <c r="AL13" i="6"/>
  <c r="AM13" i="6"/>
  <c r="AN13" i="6"/>
  <c r="AO13" i="6"/>
  <c r="AP13" i="6"/>
  <c r="AQ13" i="6"/>
  <c r="AR13" i="6"/>
  <c r="AS13" i="6"/>
  <c r="AT13" i="6"/>
  <c r="AU13" i="6"/>
  <c r="AV13" i="6"/>
  <c r="AW13" i="6"/>
  <c r="AX13" i="6"/>
  <c r="AY13" i="6"/>
  <c r="AZ13" i="6"/>
  <c r="BA13" i="6"/>
  <c r="BB13" i="6"/>
  <c r="BC13" i="6"/>
  <c r="BD13" i="6"/>
  <c r="BE13" i="6"/>
  <c r="BF13" i="6"/>
  <c r="BG13" i="6"/>
  <c r="BH13" i="6"/>
  <c r="BI13" i="6"/>
  <c r="BJ13" i="6"/>
  <c r="BK13" i="6"/>
  <c r="BL13" i="6"/>
  <c r="BM13" i="6"/>
  <c r="BN13" i="6"/>
  <c r="BO13" i="6"/>
  <c r="BP13" i="6"/>
  <c r="BQ13" i="6"/>
  <c r="BR13" i="6"/>
  <c r="BS13" i="6"/>
  <c r="BT13" i="6"/>
  <c r="BU13" i="6"/>
  <c r="BV13" i="6"/>
  <c r="BW13" i="6"/>
  <c r="BX13" i="6"/>
  <c r="BY13" i="6"/>
  <c r="BZ13" i="6"/>
  <c r="CA13" i="6"/>
  <c r="CB13" i="6"/>
  <c r="CC13" i="6"/>
  <c r="CD13" i="6"/>
  <c r="CE13" i="6"/>
  <c r="CF13" i="6"/>
  <c r="CG13" i="6"/>
  <c r="CH13" i="6"/>
  <c r="CI13" i="6"/>
  <c r="CJ13" i="6"/>
  <c r="CK13" i="6"/>
  <c r="CL13" i="6"/>
  <c r="CM13" i="6"/>
  <c r="CN13" i="6"/>
  <c r="CO13" i="6"/>
  <c r="CP13" i="6"/>
  <c r="CQ13" i="6"/>
  <c r="CR13" i="6"/>
  <c r="CS13" i="6"/>
  <c r="CT13" i="6"/>
  <c r="CU13" i="6"/>
  <c r="CV13" i="6"/>
  <c r="CW13" i="6"/>
  <c r="CX13" i="6"/>
  <c r="CY13" i="6"/>
  <c r="CZ13" i="6"/>
  <c r="DA13" i="6"/>
  <c r="DB13" i="6"/>
  <c r="DC13" i="6"/>
  <c r="DD13" i="6"/>
  <c r="DE13" i="6"/>
  <c r="DF13" i="6"/>
  <c r="DG13" i="6"/>
  <c r="DH13" i="6"/>
  <c r="DI13" i="6"/>
  <c r="DJ13" i="6"/>
  <c r="DK13" i="6"/>
  <c r="DL13" i="6"/>
  <c r="DM13" i="6"/>
  <c r="DN13" i="6"/>
  <c r="DO13" i="6"/>
  <c r="DP13" i="6"/>
  <c r="DQ13" i="6"/>
  <c r="DR13" i="6"/>
  <c r="DS13" i="6"/>
  <c r="DT13" i="6"/>
  <c r="DU13" i="6"/>
  <c r="DV13" i="6"/>
  <c r="DW13" i="6"/>
  <c r="DX13" i="6"/>
  <c r="DY13" i="6"/>
  <c r="DZ13" i="6"/>
  <c r="EA13" i="6"/>
  <c r="EB13" i="6"/>
  <c r="EC13" i="6"/>
  <c r="ED13" i="6"/>
  <c r="EE13" i="6"/>
  <c r="EF13" i="6"/>
  <c r="EG13" i="6"/>
  <c r="EH13" i="6"/>
  <c r="EI13" i="6"/>
  <c r="EJ13" i="6"/>
  <c r="EK13" i="6"/>
  <c r="EL13" i="6"/>
  <c r="EM13" i="6"/>
  <c r="EN13" i="6"/>
  <c r="EO13" i="6"/>
  <c r="EP13" i="6"/>
  <c r="EQ13" i="6"/>
  <c r="ER13" i="6"/>
  <c r="ES13" i="6"/>
  <c r="ET13" i="6"/>
  <c r="EU13" i="6"/>
  <c r="EV13" i="6"/>
  <c r="EW13" i="6"/>
  <c r="EX13" i="6"/>
  <c r="EY13" i="6"/>
  <c r="EZ13" i="6"/>
  <c r="FA13" i="6"/>
  <c r="FB13" i="6"/>
  <c r="FC13" i="6"/>
  <c r="FD13" i="6"/>
  <c r="FE13" i="6"/>
  <c r="FF13" i="6"/>
  <c r="FF41" i="6"/>
  <c r="FF49" i="6"/>
  <c r="FF21" i="6"/>
  <c r="FB13" i="7"/>
  <c r="FC13" i="7"/>
  <c r="FD13" i="7"/>
  <c r="FB18" i="7"/>
  <c r="FC18" i="7"/>
  <c r="FD18" i="7"/>
  <c r="FB41" i="7"/>
  <c r="FC41" i="7"/>
  <c r="FD41" i="7"/>
  <c r="FA41" i="7"/>
  <c r="EZ41" i="7"/>
  <c r="EY41" i="7"/>
  <c r="EX41" i="7"/>
  <c r="EW41" i="7"/>
  <c r="EV41" i="7"/>
  <c r="EU41" i="7"/>
  <c r="ET41" i="7"/>
  <c r="ES41" i="7"/>
  <c r="ER41" i="7"/>
  <c r="EQ41" i="7"/>
  <c r="EP41" i="7"/>
  <c r="EO41" i="7"/>
  <c r="EN41" i="7"/>
  <c r="EM41" i="7"/>
  <c r="EL41" i="7"/>
  <c r="EK41" i="7"/>
  <c r="EJ41" i="7"/>
  <c r="EI41" i="7"/>
  <c r="EH41" i="7"/>
  <c r="EG41" i="7"/>
  <c r="EF41" i="7"/>
  <c r="EE41" i="7"/>
  <c r="ED41" i="7"/>
  <c r="EC41" i="7"/>
  <c r="EB41" i="7"/>
  <c r="EA41" i="7"/>
  <c r="DZ41" i="7"/>
  <c r="DY41" i="7"/>
  <c r="DX41" i="7"/>
  <c r="DW41" i="7"/>
  <c r="DV41" i="7"/>
  <c r="DU41" i="7"/>
  <c r="DT41" i="7"/>
  <c r="DS41" i="7"/>
  <c r="DR41" i="7"/>
  <c r="DQ41" i="7"/>
  <c r="DP41" i="7"/>
  <c r="DO41" i="7"/>
  <c r="DN41" i="7"/>
  <c r="DM41" i="7"/>
  <c r="DL41" i="7"/>
  <c r="DK41" i="7"/>
  <c r="DJ41" i="7"/>
  <c r="DI41" i="7"/>
  <c r="DH41" i="7"/>
  <c r="DG41" i="7"/>
  <c r="DF41" i="7"/>
  <c r="DE41" i="7"/>
  <c r="DD41" i="7"/>
  <c r="DC41" i="7"/>
  <c r="DB41" i="7"/>
  <c r="DA41" i="7"/>
  <c r="CZ41" i="7"/>
  <c r="CY41" i="7"/>
  <c r="CX41" i="7"/>
  <c r="CW41" i="7"/>
  <c r="CV41" i="7"/>
  <c r="CU41" i="7"/>
  <c r="CT41" i="7"/>
  <c r="CS41" i="7"/>
  <c r="CR41" i="7"/>
  <c r="CQ41" i="7"/>
  <c r="CP41" i="7"/>
  <c r="CO41" i="7"/>
  <c r="CN41" i="7"/>
  <c r="CM41" i="7"/>
  <c r="CL41" i="7"/>
  <c r="CK41" i="7"/>
  <c r="CJ41" i="7"/>
  <c r="CI41" i="7"/>
  <c r="CH41" i="7"/>
  <c r="CG41" i="7"/>
  <c r="CF41" i="7"/>
  <c r="CE41" i="7"/>
  <c r="CD41" i="7"/>
  <c r="CC41" i="7"/>
  <c r="CB41" i="7"/>
  <c r="CA41" i="7"/>
  <c r="BZ41" i="7"/>
  <c r="BY41" i="7"/>
  <c r="BX41" i="7"/>
  <c r="BW41" i="7"/>
  <c r="BV41" i="7"/>
  <c r="BU41" i="7"/>
  <c r="BT41" i="7"/>
  <c r="BS41" i="7"/>
  <c r="BR41" i="7"/>
  <c r="BQ41" i="7"/>
  <c r="BP41" i="7"/>
  <c r="BO41" i="7"/>
  <c r="BN41" i="7"/>
  <c r="BM41" i="7"/>
  <c r="BL41" i="7"/>
  <c r="BK41" i="7"/>
  <c r="BJ41" i="7"/>
  <c r="BI41" i="7"/>
  <c r="BH41" i="7"/>
  <c r="BG41" i="7"/>
  <c r="BF41" i="7"/>
  <c r="BE41" i="7"/>
  <c r="BD41" i="7"/>
  <c r="BC41" i="7"/>
  <c r="BB41" i="7"/>
  <c r="BA41" i="7"/>
  <c r="AZ41" i="7"/>
  <c r="AY41" i="7"/>
  <c r="AX41" i="7"/>
  <c r="AW41" i="7"/>
  <c r="AV41" i="7"/>
  <c r="AU41" i="7"/>
  <c r="AT41" i="7"/>
  <c r="AS41" i="7"/>
  <c r="AR41" i="7"/>
  <c r="AQ41" i="7"/>
  <c r="AP41" i="7"/>
  <c r="AO41" i="7"/>
  <c r="AN41" i="7"/>
  <c r="AM41" i="7"/>
  <c r="AL41" i="7"/>
  <c r="AK41" i="7"/>
  <c r="AJ41" i="7"/>
  <c r="AI41" i="7"/>
  <c r="AH41" i="7"/>
  <c r="AG41" i="7"/>
  <c r="AF41" i="7"/>
  <c r="AE41" i="7"/>
  <c r="AD41" i="7"/>
  <c r="AC41" i="7"/>
  <c r="AB41" i="7"/>
  <c r="AA41" i="7"/>
  <c r="Z41" i="7"/>
  <c r="Y41" i="7"/>
  <c r="X41" i="7"/>
  <c r="W41" i="7"/>
  <c r="V41" i="7"/>
  <c r="U41" i="7"/>
  <c r="T41" i="7"/>
  <c r="S41" i="7"/>
  <c r="R41" i="7"/>
  <c r="Q41" i="7"/>
  <c r="P41" i="7"/>
  <c r="O41" i="7"/>
  <c r="N41" i="7"/>
  <c r="M41" i="7"/>
  <c r="L41" i="7"/>
  <c r="K41" i="7"/>
  <c r="J41" i="7"/>
  <c r="I41" i="7"/>
  <c r="H41" i="7"/>
  <c r="G41" i="7"/>
  <c r="F41" i="7"/>
  <c r="E41" i="7"/>
  <c r="D41" i="7"/>
  <c r="C41" i="7"/>
  <c r="B41" i="7"/>
  <c r="FA18" i="7"/>
  <c r="EZ18" i="7"/>
  <c r="EY18" i="7"/>
  <c r="EX18" i="7"/>
  <c r="EW18" i="7"/>
  <c r="EV18" i="7"/>
  <c r="EU18" i="7"/>
  <c r="ET18" i="7"/>
  <c r="ES18" i="7"/>
  <c r="ER18" i="7"/>
  <c r="EQ18" i="7"/>
  <c r="EP18" i="7"/>
  <c r="EO18" i="7"/>
  <c r="EN18" i="7"/>
  <c r="EM18" i="7"/>
  <c r="EL18" i="7"/>
  <c r="EK18" i="7"/>
  <c r="EJ18" i="7"/>
  <c r="EI18" i="7"/>
  <c r="EH18" i="7"/>
  <c r="EG18" i="7"/>
  <c r="EF18" i="7"/>
  <c r="EE18" i="7"/>
  <c r="ED18" i="7"/>
  <c r="EC18" i="7"/>
  <c r="EB18" i="7"/>
  <c r="EA18" i="7"/>
  <c r="DZ18" i="7"/>
  <c r="DY18" i="7"/>
  <c r="DX18" i="7"/>
  <c r="DW18" i="7"/>
  <c r="DV18" i="7"/>
  <c r="DU18" i="7"/>
  <c r="DT18" i="7"/>
  <c r="DS18" i="7"/>
  <c r="DR18" i="7"/>
  <c r="DQ18" i="7"/>
  <c r="DP18" i="7"/>
  <c r="DO18" i="7"/>
  <c r="DN18" i="7"/>
  <c r="DM18" i="7"/>
  <c r="DL18" i="7"/>
  <c r="DK18" i="7"/>
  <c r="DJ18" i="7"/>
  <c r="DI18" i="7"/>
  <c r="DH18" i="7"/>
  <c r="DG18" i="7"/>
  <c r="DF18" i="7"/>
  <c r="DE18" i="7"/>
  <c r="DD18" i="7"/>
  <c r="DC18" i="7"/>
  <c r="DB18" i="7"/>
  <c r="DA18" i="7"/>
  <c r="CZ18" i="7"/>
  <c r="CY18" i="7"/>
  <c r="CX18" i="7"/>
  <c r="CW18" i="7"/>
  <c r="CV18" i="7"/>
  <c r="CU18" i="7"/>
  <c r="CT18" i="7"/>
  <c r="CS18" i="7"/>
  <c r="CR18" i="7"/>
  <c r="CQ18" i="7"/>
  <c r="CP18" i="7"/>
  <c r="CO18" i="7"/>
  <c r="CN18" i="7"/>
  <c r="CM18" i="7"/>
  <c r="CL18" i="7"/>
  <c r="CK18" i="7"/>
  <c r="CJ18" i="7"/>
  <c r="CI18" i="7"/>
  <c r="CH18" i="7"/>
  <c r="CG18" i="7"/>
  <c r="CF18" i="7"/>
  <c r="CE18" i="7"/>
  <c r="CD18" i="7"/>
  <c r="CC18" i="7"/>
  <c r="CB18" i="7"/>
  <c r="CA18" i="7"/>
  <c r="BZ18" i="7"/>
  <c r="BY18" i="7"/>
  <c r="BX18" i="7"/>
  <c r="BW18" i="7"/>
  <c r="BV18" i="7"/>
  <c r="BU18" i="7"/>
  <c r="BT18" i="7"/>
  <c r="BS18" i="7"/>
  <c r="BR18" i="7"/>
  <c r="BQ18" i="7"/>
  <c r="BP18" i="7"/>
  <c r="BO18" i="7"/>
  <c r="BN18" i="7"/>
  <c r="BM18" i="7"/>
  <c r="BL18" i="7"/>
  <c r="BK18" i="7"/>
  <c r="BJ18" i="7"/>
  <c r="BI18" i="7"/>
  <c r="BH18" i="7"/>
  <c r="BG18" i="7"/>
  <c r="BF18" i="7"/>
  <c r="BE18" i="7"/>
  <c r="BD18" i="7"/>
  <c r="BC18" i="7"/>
  <c r="BB18" i="7"/>
  <c r="BA18" i="7"/>
  <c r="AZ18" i="7"/>
  <c r="AY18" i="7"/>
  <c r="AX18" i="7"/>
  <c r="AW18" i="7"/>
  <c r="AV18" i="7"/>
  <c r="AU18" i="7"/>
  <c r="AT18" i="7"/>
  <c r="AS18" i="7"/>
  <c r="AR18" i="7"/>
  <c r="AQ18" i="7"/>
  <c r="AP18" i="7"/>
  <c r="AO18" i="7"/>
  <c r="AN18" i="7"/>
  <c r="AM18" i="7"/>
  <c r="AL18" i="7"/>
  <c r="AK18" i="7"/>
  <c r="AJ18" i="7"/>
  <c r="AI18" i="7"/>
  <c r="AH18" i="7"/>
  <c r="AG18" i="7"/>
  <c r="AF18" i="7"/>
  <c r="AE18" i="7"/>
  <c r="AD18" i="7"/>
  <c r="AC18" i="7"/>
  <c r="AB18" i="7"/>
  <c r="AA18" i="7"/>
  <c r="Z18" i="7"/>
  <c r="Y18" i="7"/>
  <c r="X18" i="7"/>
  <c r="W18" i="7"/>
  <c r="V18" i="7"/>
  <c r="U18" i="7"/>
  <c r="T18" i="7"/>
  <c r="S18" i="7"/>
  <c r="R18" i="7"/>
  <c r="Q18" i="7"/>
  <c r="P18" i="7"/>
  <c r="O18" i="7"/>
  <c r="N18" i="7"/>
  <c r="M18" i="7"/>
  <c r="L18" i="7"/>
  <c r="K18" i="7"/>
  <c r="J18" i="7"/>
  <c r="I18" i="7"/>
  <c r="H18" i="7"/>
  <c r="G18" i="7"/>
  <c r="F18" i="7"/>
  <c r="E18" i="7"/>
  <c r="D18" i="7"/>
  <c r="C18" i="7"/>
  <c r="FA13" i="7"/>
  <c r="EZ13" i="7"/>
  <c r="EY13" i="7"/>
  <c r="EX13" i="7"/>
  <c r="EW13" i="7"/>
  <c r="EV13" i="7"/>
  <c r="EU13" i="7"/>
  <c r="ET13" i="7"/>
  <c r="ES13" i="7"/>
  <c r="ER13" i="7"/>
  <c r="EQ13" i="7"/>
  <c r="EP13" i="7"/>
  <c r="EO13" i="7"/>
  <c r="EN13" i="7"/>
  <c r="EM13" i="7"/>
  <c r="EL13" i="7"/>
  <c r="EK13" i="7"/>
  <c r="EJ13" i="7"/>
  <c r="EI13" i="7"/>
  <c r="EH13" i="7"/>
  <c r="EG13" i="7"/>
  <c r="EF13" i="7"/>
  <c r="EE13" i="7"/>
  <c r="ED13" i="7"/>
  <c r="EC13" i="7"/>
  <c r="EB13" i="7"/>
  <c r="EA13" i="7"/>
  <c r="DZ13" i="7"/>
  <c r="DY13" i="7"/>
  <c r="DX13" i="7"/>
  <c r="DW13" i="7"/>
  <c r="DV13" i="7"/>
  <c r="DU13" i="7"/>
  <c r="DT13" i="7"/>
  <c r="DS13" i="7"/>
  <c r="DR13" i="7"/>
  <c r="DQ13" i="7"/>
  <c r="DP13" i="7"/>
  <c r="DO13" i="7"/>
  <c r="DN13" i="7"/>
  <c r="DM13" i="7"/>
  <c r="DL13" i="7"/>
  <c r="DK13" i="7"/>
  <c r="DJ13" i="7"/>
  <c r="DI13" i="7"/>
  <c r="DH13" i="7"/>
  <c r="DG13" i="7"/>
  <c r="DF13" i="7"/>
  <c r="DE13" i="7"/>
  <c r="DD13" i="7"/>
  <c r="DC13" i="7"/>
  <c r="DB13" i="7"/>
  <c r="DA13" i="7"/>
  <c r="CZ13" i="7"/>
  <c r="CY13" i="7"/>
  <c r="CX13" i="7"/>
  <c r="CW13" i="7"/>
  <c r="CV13" i="7"/>
  <c r="CU13" i="7"/>
  <c r="CT13" i="7"/>
  <c r="CS13" i="7"/>
  <c r="CR13" i="7"/>
  <c r="CQ13" i="7"/>
  <c r="CP13" i="7"/>
  <c r="CO13" i="7"/>
  <c r="CN13" i="7"/>
  <c r="CM13" i="7"/>
  <c r="CL13" i="7"/>
  <c r="CK13" i="7"/>
  <c r="CJ13" i="7"/>
  <c r="CI13" i="7"/>
  <c r="CH13" i="7"/>
  <c r="CG13" i="7"/>
  <c r="CF13" i="7"/>
  <c r="CE13" i="7"/>
  <c r="CD13" i="7"/>
  <c r="CC13" i="7"/>
  <c r="CB13" i="7"/>
  <c r="CA13" i="7"/>
  <c r="BZ13" i="7"/>
  <c r="BY13" i="7"/>
  <c r="BX13" i="7"/>
  <c r="BW13" i="7"/>
  <c r="BV13" i="7"/>
  <c r="BU13" i="7"/>
  <c r="BT13" i="7"/>
  <c r="BS13" i="7"/>
  <c r="BR13" i="7"/>
  <c r="BQ13" i="7"/>
  <c r="BP13" i="7"/>
  <c r="BO13" i="7"/>
  <c r="BN13" i="7"/>
  <c r="BM13" i="7"/>
  <c r="BL13" i="7"/>
  <c r="BK13" i="7"/>
  <c r="BJ13" i="7"/>
  <c r="BI13" i="7"/>
  <c r="BH13" i="7"/>
  <c r="BG13" i="7"/>
  <c r="BF13" i="7"/>
  <c r="BE13" i="7"/>
  <c r="BD13" i="7"/>
  <c r="BC13" i="7"/>
  <c r="BB13" i="7"/>
  <c r="BA13" i="7"/>
  <c r="AZ13" i="7"/>
  <c r="AY13" i="7"/>
  <c r="AX13" i="7"/>
  <c r="AW13" i="7"/>
  <c r="AV13" i="7"/>
  <c r="AU13" i="7"/>
  <c r="AT13" i="7"/>
  <c r="AS13" i="7"/>
  <c r="AR13" i="7"/>
  <c r="AQ13" i="7"/>
  <c r="AP13" i="7"/>
  <c r="AO13" i="7"/>
  <c r="AN13" i="7"/>
  <c r="AM13" i="7"/>
  <c r="AL13" i="7"/>
  <c r="AK13" i="7"/>
  <c r="AJ13" i="7"/>
  <c r="AI13" i="7"/>
  <c r="AH13" i="7"/>
  <c r="AG13" i="7"/>
  <c r="AF13" i="7"/>
  <c r="AE13" i="7"/>
  <c r="AD13" i="7"/>
  <c r="AC13" i="7"/>
  <c r="AB13" i="7"/>
  <c r="AA13" i="7"/>
  <c r="Z13" i="7"/>
  <c r="Y13" i="7"/>
  <c r="X13" i="7"/>
  <c r="W13" i="7"/>
  <c r="V13" i="7"/>
  <c r="U13" i="7"/>
  <c r="T13" i="7"/>
  <c r="S13" i="7"/>
  <c r="R13" i="7"/>
  <c r="Q13" i="7"/>
  <c r="P13" i="7"/>
  <c r="O13" i="7"/>
  <c r="N13" i="7"/>
  <c r="M13" i="7"/>
  <c r="L13" i="7"/>
  <c r="K13" i="7"/>
  <c r="J13" i="7"/>
  <c r="I13" i="7"/>
  <c r="H13" i="7"/>
  <c r="G13" i="7"/>
  <c r="F13" i="7"/>
  <c r="E13" i="7"/>
  <c r="D13" i="7"/>
  <c r="C13" i="7"/>
  <c r="B13" i="7"/>
  <c r="FE41" i="6"/>
  <c r="FE49" i="6"/>
  <c r="FE21" i="6"/>
  <c r="FD41" i="6"/>
  <c r="FD49" i="6"/>
  <c r="FD21" i="6"/>
  <c r="D26" i="7" l="1"/>
  <c r="L26" i="7"/>
  <c r="T26" i="7"/>
  <c r="AB26" i="7"/>
  <c r="AJ26" i="7"/>
  <c r="AR26" i="7"/>
  <c r="AZ26" i="7"/>
  <c r="BH26" i="7"/>
  <c r="BP26" i="7"/>
  <c r="BX26" i="7"/>
  <c r="CF26" i="7"/>
  <c r="CN26" i="7"/>
  <c r="CV26" i="7"/>
  <c r="DD26" i="7"/>
  <c r="DL26" i="7"/>
  <c r="EB26" i="7"/>
  <c r="EJ26" i="7"/>
  <c r="ER26" i="7"/>
  <c r="DT26" i="7"/>
  <c r="EZ26" i="7"/>
  <c r="G26" i="7"/>
  <c r="O26" i="7"/>
  <c r="W26" i="7"/>
  <c r="AE26" i="7"/>
  <c r="AM26" i="7"/>
  <c r="AU26" i="7"/>
  <c r="BC26" i="7"/>
  <c r="BK26" i="7"/>
  <c r="BS26" i="7"/>
  <c r="CA26" i="7"/>
  <c r="CI26" i="7"/>
  <c r="CQ26" i="7"/>
  <c r="CY26" i="7"/>
  <c r="DG26" i="7"/>
  <c r="DO26" i="7"/>
  <c r="DW26" i="7"/>
  <c r="EE26" i="7"/>
  <c r="EM26" i="7"/>
  <c r="EU26" i="7"/>
  <c r="FC26" i="7"/>
  <c r="I26" i="7"/>
  <c r="Q26" i="7"/>
  <c r="Y26" i="7"/>
  <c r="AG26" i="7"/>
  <c r="AO26" i="7"/>
  <c r="AW26" i="7"/>
  <c r="BE26" i="7"/>
  <c r="BM26" i="7"/>
  <c r="BU26" i="7"/>
  <c r="CC26" i="7"/>
  <c r="CK26" i="7"/>
  <c r="CS26" i="7"/>
  <c r="DA26" i="7"/>
  <c r="DI26" i="7"/>
  <c r="DQ26" i="7"/>
  <c r="DY26" i="7"/>
  <c r="EG26" i="7"/>
  <c r="EO26" i="7"/>
  <c r="EW26" i="7"/>
  <c r="J26" i="7"/>
  <c r="R26" i="7"/>
  <c r="Z26" i="7"/>
  <c r="AH26" i="7"/>
  <c r="AP26" i="7"/>
  <c r="AX26" i="7"/>
  <c r="BF26" i="7"/>
  <c r="BN26" i="7"/>
  <c r="BV26" i="7"/>
  <c r="CD26" i="7"/>
  <c r="CL26" i="7"/>
  <c r="CT26" i="7"/>
  <c r="DB26" i="7"/>
  <c r="DJ26" i="7"/>
  <c r="DR26" i="7"/>
  <c r="DZ26" i="7"/>
  <c r="EH26" i="7"/>
  <c r="EP26" i="7"/>
  <c r="EX26" i="7"/>
  <c r="H26" i="7"/>
  <c r="P26" i="7"/>
  <c r="X26" i="7"/>
  <c r="AF26" i="7"/>
  <c r="AN26" i="7"/>
  <c r="AV26" i="7"/>
  <c r="BD26" i="7"/>
  <c r="BL26" i="7"/>
  <c r="BT26" i="7"/>
  <c r="CB26" i="7"/>
  <c r="CJ26" i="7"/>
  <c r="CR26" i="7"/>
  <c r="CZ26" i="7"/>
  <c r="DH26" i="7"/>
  <c r="DP26" i="7"/>
  <c r="DX26" i="7"/>
  <c r="EF26" i="7"/>
  <c r="EN26" i="7"/>
  <c r="EV26" i="7"/>
  <c r="FD26" i="7"/>
  <c r="C26" i="7"/>
  <c r="K26" i="7"/>
  <c r="S26" i="7"/>
  <c r="AA26" i="7"/>
  <c r="AI26" i="7"/>
  <c r="AQ26" i="7"/>
  <c r="AY26" i="7"/>
  <c r="BG26" i="7"/>
  <c r="BO26" i="7"/>
  <c r="BW26" i="7"/>
  <c r="CE26" i="7"/>
  <c r="CM26" i="7"/>
  <c r="CU26" i="7"/>
  <c r="DC26" i="7"/>
  <c r="DK26" i="7"/>
  <c r="DS26" i="7"/>
  <c r="EA26" i="7"/>
  <c r="EI26" i="7"/>
  <c r="EQ26" i="7"/>
  <c r="EY26" i="7"/>
  <c r="F26" i="7"/>
  <c r="N26" i="7"/>
  <c r="V26" i="7"/>
  <c r="AD26" i="7"/>
  <c r="AL26" i="7"/>
  <c r="AT26" i="7"/>
  <c r="BB26" i="7"/>
  <c r="BJ26" i="7"/>
  <c r="BR26" i="7"/>
  <c r="BZ26" i="7"/>
  <c r="CH26" i="7"/>
  <c r="CP26" i="7"/>
  <c r="CX26" i="7"/>
  <c r="DF26" i="7"/>
  <c r="DN26" i="7"/>
  <c r="DV26" i="7"/>
  <c r="ED26" i="7"/>
  <c r="EL26" i="7"/>
  <c r="ET26" i="7"/>
  <c r="FB26" i="7"/>
  <c r="E26" i="7"/>
  <c r="M26" i="7"/>
  <c r="U26" i="7"/>
  <c r="AC26" i="7"/>
  <c r="AK26" i="7"/>
  <c r="AS26" i="7"/>
  <c r="BA26" i="7"/>
  <c r="BI26" i="7"/>
  <c r="BQ26" i="7"/>
  <c r="BY26" i="7"/>
  <c r="CG26" i="7"/>
  <c r="CO26" i="7"/>
  <c r="CW26" i="7"/>
  <c r="DE26" i="7"/>
  <c r="DM26" i="7"/>
  <c r="DU26" i="7"/>
  <c r="EC26" i="7"/>
  <c r="EK26" i="7"/>
  <c r="ES26" i="7"/>
  <c r="FA26" i="7"/>
  <c r="FC49" i="6"/>
  <c r="FC41" i="6"/>
  <c r="FC21" i="6"/>
  <c r="FB41" i="6"/>
  <c r="FB49" i="6"/>
  <c r="FB21" i="6"/>
  <c r="FA21" i="6"/>
  <c r="FA41" i="6"/>
  <c r="FA49" i="6"/>
  <c r="EZ49" i="6" l="1"/>
  <c r="EZ41" i="6"/>
  <c r="EZ21" i="6"/>
  <c r="EY41" i="6"/>
  <c r="EY49" i="6"/>
  <c r="EY21" i="6"/>
  <c r="EW41" i="6" l="1"/>
  <c r="EX41" i="6"/>
  <c r="EW49" i="6"/>
  <c r="EX49" i="6"/>
  <c r="EX21" i="6"/>
  <c r="EW21" i="6"/>
  <c r="EV21" i="6"/>
  <c r="EV41" i="6"/>
  <c r="EV49" i="6"/>
  <c r="EU41" i="6"/>
  <c r="EU49" i="6"/>
  <c r="EU21" i="6"/>
  <c r="B49" i="6"/>
  <c r="ET49" i="6"/>
  <c r="ES49" i="6"/>
  <c r="ER49" i="6"/>
  <c r="EQ49" i="6"/>
  <c r="EP49" i="6"/>
  <c r="EO49" i="6"/>
  <c r="EN49" i="6"/>
  <c r="EM49" i="6"/>
  <c r="EL49" i="6"/>
  <c r="EK49" i="6"/>
  <c r="EJ49" i="6"/>
  <c r="EI49" i="6"/>
  <c r="EH49" i="6"/>
  <c r="EG49" i="6"/>
  <c r="EF49" i="6"/>
  <c r="EE49" i="6"/>
  <c r="ED49" i="6"/>
  <c r="EC49" i="6"/>
  <c r="EB49" i="6"/>
  <c r="EA49" i="6"/>
  <c r="DZ49" i="6"/>
  <c r="DY49" i="6"/>
  <c r="DX49" i="6"/>
  <c r="DW49" i="6"/>
  <c r="DV49" i="6"/>
  <c r="DU49" i="6"/>
  <c r="DT49" i="6"/>
  <c r="DS49" i="6"/>
  <c r="DR49" i="6"/>
  <c r="DQ49" i="6"/>
  <c r="DP49" i="6"/>
  <c r="DO49" i="6"/>
  <c r="DN49" i="6"/>
  <c r="DM49" i="6"/>
  <c r="DL49" i="6"/>
  <c r="DK49" i="6"/>
  <c r="DJ49" i="6"/>
  <c r="DI49" i="6"/>
  <c r="DH49" i="6"/>
  <c r="DG49" i="6"/>
  <c r="DF49" i="6"/>
  <c r="DE49" i="6"/>
  <c r="DD49" i="6"/>
  <c r="DC49" i="6"/>
  <c r="DB49" i="6"/>
  <c r="DA49" i="6"/>
  <c r="CZ49" i="6"/>
  <c r="CY49" i="6"/>
  <c r="CX49" i="6"/>
  <c r="CW49" i="6"/>
  <c r="CV49" i="6"/>
  <c r="CU49" i="6"/>
  <c r="CT49" i="6"/>
  <c r="CS49" i="6"/>
  <c r="CR49" i="6"/>
  <c r="CQ49" i="6"/>
  <c r="CP49" i="6"/>
  <c r="CO49" i="6"/>
  <c r="CN49" i="6"/>
  <c r="CM49" i="6"/>
  <c r="CL49" i="6"/>
  <c r="CK49" i="6"/>
  <c r="CJ49" i="6"/>
  <c r="CI49" i="6"/>
  <c r="CH49" i="6"/>
  <c r="CG49" i="6"/>
  <c r="CF49" i="6"/>
  <c r="CE49" i="6"/>
  <c r="CD49" i="6"/>
  <c r="CC49" i="6"/>
  <c r="CB49" i="6"/>
  <c r="CA49" i="6"/>
  <c r="BZ49" i="6"/>
  <c r="BY49" i="6"/>
  <c r="BX49" i="6"/>
  <c r="BW49" i="6"/>
  <c r="BV49" i="6"/>
  <c r="BU49" i="6"/>
  <c r="BT49" i="6"/>
  <c r="BS49" i="6"/>
  <c r="BR49" i="6"/>
  <c r="BQ49" i="6"/>
  <c r="BP49" i="6"/>
  <c r="BO49" i="6"/>
  <c r="BN49" i="6"/>
  <c r="BM49" i="6"/>
  <c r="BL49" i="6"/>
  <c r="BK49" i="6"/>
  <c r="BJ49" i="6"/>
  <c r="BI49" i="6"/>
  <c r="BH49" i="6"/>
  <c r="BG49" i="6"/>
  <c r="BF49" i="6"/>
  <c r="BE49" i="6"/>
  <c r="BD49" i="6"/>
  <c r="BC49" i="6"/>
  <c r="BB49" i="6"/>
  <c r="BA49" i="6"/>
  <c r="AZ49" i="6"/>
  <c r="AY49" i="6"/>
  <c r="AX49" i="6"/>
  <c r="AW49" i="6"/>
  <c r="AV49" i="6"/>
  <c r="AU49" i="6"/>
  <c r="AT49" i="6"/>
  <c r="AS49" i="6"/>
  <c r="AR49" i="6"/>
  <c r="AQ49" i="6"/>
  <c r="AP49" i="6"/>
  <c r="AO49" i="6"/>
  <c r="AN49" i="6"/>
  <c r="AM49" i="6"/>
  <c r="AL49" i="6"/>
  <c r="AK49" i="6"/>
  <c r="AJ49" i="6"/>
  <c r="AI49" i="6"/>
  <c r="AH49" i="6"/>
  <c r="AG49" i="6"/>
  <c r="AF49" i="6"/>
  <c r="AE49" i="6"/>
  <c r="AD49" i="6"/>
  <c r="AC49" i="6"/>
  <c r="AB49" i="6"/>
  <c r="AA49" i="6"/>
  <c r="Z49" i="6"/>
  <c r="Y49" i="6"/>
  <c r="X49" i="6"/>
  <c r="W49" i="6"/>
  <c r="V49" i="6"/>
  <c r="U49" i="6"/>
  <c r="T49" i="6"/>
  <c r="S49" i="6"/>
  <c r="R49" i="6"/>
  <c r="Q49" i="6"/>
  <c r="P49" i="6"/>
  <c r="O49" i="6"/>
  <c r="N49" i="6"/>
  <c r="M49" i="6"/>
  <c r="L49" i="6"/>
  <c r="K49" i="6"/>
  <c r="J49" i="6"/>
  <c r="I49" i="6"/>
  <c r="H49" i="6"/>
  <c r="G49" i="6"/>
  <c r="F49" i="6"/>
  <c r="E49" i="6"/>
  <c r="D49" i="6"/>
  <c r="C49" i="6"/>
  <c r="ET41" i="6"/>
  <c r="ET21" i="6"/>
  <c r="ES41" i="6"/>
  <c r="ES21" i="6"/>
  <c r="B21" i="6"/>
  <c r="C21" i="6"/>
  <c r="D21" i="6"/>
  <c r="E21" i="6"/>
  <c r="F21" i="6"/>
  <c r="G21" i="6"/>
  <c r="H21" i="6"/>
  <c r="I21" i="6"/>
  <c r="J21" i="6"/>
  <c r="K21" i="6"/>
  <c r="L21" i="6"/>
  <c r="M21" i="6"/>
  <c r="N21" i="6"/>
  <c r="O21" i="6"/>
  <c r="P21" i="6"/>
  <c r="Q21" i="6"/>
  <c r="R21" i="6"/>
  <c r="S21" i="6"/>
  <c r="T21" i="6"/>
  <c r="U21" i="6"/>
  <c r="V21" i="6"/>
  <c r="W21" i="6"/>
  <c r="X21" i="6"/>
  <c r="Y21" i="6"/>
  <c r="Z21" i="6"/>
  <c r="AA21" i="6"/>
  <c r="AB21" i="6"/>
  <c r="AC21" i="6"/>
  <c r="AD21" i="6"/>
  <c r="AE21" i="6"/>
  <c r="AF21" i="6"/>
  <c r="AG21" i="6"/>
  <c r="AH21" i="6"/>
  <c r="AI21" i="6"/>
  <c r="AJ21" i="6"/>
  <c r="AK21" i="6"/>
  <c r="AL21" i="6"/>
  <c r="AM21" i="6"/>
  <c r="AN21" i="6"/>
  <c r="AO21" i="6"/>
  <c r="AP21" i="6"/>
  <c r="AQ21" i="6"/>
  <c r="AR21" i="6"/>
  <c r="AS21" i="6"/>
  <c r="AT21" i="6"/>
  <c r="AU21" i="6"/>
  <c r="AV21" i="6"/>
  <c r="AW21" i="6"/>
  <c r="AX21" i="6"/>
  <c r="AY21" i="6"/>
  <c r="AZ21" i="6"/>
  <c r="BA21" i="6"/>
  <c r="BB21" i="6"/>
  <c r="BC21" i="6"/>
  <c r="BD21" i="6"/>
  <c r="BE21" i="6"/>
  <c r="BF21" i="6"/>
  <c r="BG21" i="6"/>
  <c r="BH21" i="6"/>
  <c r="BI21" i="6"/>
  <c r="BJ21" i="6"/>
  <c r="BK21" i="6"/>
  <c r="BL21" i="6"/>
  <c r="BM21" i="6"/>
  <c r="BN21" i="6"/>
  <c r="BO21" i="6"/>
  <c r="BP21" i="6"/>
  <c r="BQ21" i="6"/>
  <c r="BR21" i="6"/>
  <c r="BS21" i="6"/>
  <c r="BT21" i="6"/>
  <c r="BU21" i="6"/>
  <c r="BV21" i="6"/>
  <c r="BW21" i="6"/>
  <c r="BX21" i="6"/>
  <c r="BY21" i="6"/>
  <c r="BZ21" i="6"/>
  <c r="CA21" i="6"/>
  <c r="CB21" i="6"/>
  <c r="CC21" i="6"/>
  <c r="CD21" i="6"/>
  <c r="CE21" i="6"/>
  <c r="CF21" i="6"/>
  <c r="CG21" i="6"/>
  <c r="CH21" i="6"/>
  <c r="CI21" i="6"/>
  <c r="CJ21" i="6"/>
  <c r="CK21" i="6"/>
  <c r="CL21" i="6"/>
  <c r="CM21" i="6"/>
  <c r="CN21" i="6"/>
  <c r="CO21" i="6"/>
  <c r="CP21" i="6"/>
  <c r="CQ21" i="6"/>
  <c r="CR21" i="6"/>
  <c r="CS21" i="6"/>
  <c r="CT21" i="6"/>
  <c r="CU21" i="6"/>
  <c r="CV21" i="6"/>
  <c r="CW21" i="6"/>
  <c r="CX21" i="6"/>
  <c r="CY21" i="6"/>
  <c r="CZ21" i="6"/>
  <c r="DA21" i="6"/>
  <c r="DB21" i="6"/>
  <c r="DC21" i="6"/>
  <c r="DD21" i="6"/>
  <c r="DE21" i="6"/>
  <c r="DF21" i="6"/>
  <c r="DG21" i="6"/>
  <c r="DH21" i="6"/>
  <c r="DI21" i="6"/>
  <c r="DJ21" i="6"/>
  <c r="DK21" i="6"/>
  <c r="DL21" i="6"/>
  <c r="DM21" i="6"/>
  <c r="DN21" i="6"/>
  <c r="DO21" i="6"/>
  <c r="DP21" i="6"/>
  <c r="DQ21" i="6"/>
  <c r="DR21" i="6"/>
  <c r="DS21" i="6"/>
  <c r="DT21" i="6"/>
  <c r="DU21" i="6"/>
  <c r="DV21" i="6"/>
  <c r="DW21" i="6"/>
  <c r="DX21" i="6"/>
  <c r="DY21" i="6"/>
  <c r="DZ21" i="6"/>
  <c r="EA21" i="6"/>
  <c r="EB21" i="6"/>
  <c r="EC21" i="6"/>
  <c r="ED21" i="6"/>
  <c r="EE21" i="6"/>
  <c r="EF21" i="6"/>
  <c r="EG21" i="6"/>
  <c r="EH21" i="6"/>
  <c r="EI21" i="6"/>
  <c r="EJ21" i="6"/>
  <c r="EK21" i="6"/>
  <c r="EL21" i="6"/>
  <c r="EM21" i="6"/>
  <c r="EN21" i="6"/>
  <c r="EO21" i="6"/>
  <c r="EP21" i="6"/>
  <c r="EQ21" i="6"/>
  <c r="ER21" i="6"/>
  <c r="ER41" i="6" l="1"/>
  <c r="EQ41" i="6"/>
  <c r="EP41" i="6" l="1"/>
  <c r="EO41" i="6"/>
  <c r="EN41" i="6"/>
  <c r="EM41" i="6"/>
  <c r="EL41" i="6"/>
  <c r="EK41" i="6"/>
  <c r="EJ41" i="6"/>
  <c r="EI41" i="6"/>
  <c r="EH41" i="6"/>
  <c r="EG41" i="6"/>
  <c r="EF41" i="6"/>
  <c r="EE41" i="6"/>
  <c r="ED41" i="6"/>
  <c r="EC41" i="6"/>
  <c r="EB41" i="6"/>
  <c r="EA41" i="6"/>
  <c r="DZ41" i="6"/>
  <c r="DY41" i="6"/>
  <c r="DX41" i="6"/>
  <c r="DW41" i="6"/>
  <c r="DV41" i="6"/>
  <c r="DU41" i="6"/>
  <c r="DT41" i="6"/>
  <c r="DS41" i="6"/>
  <c r="DR41" i="6"/>
  <c r="DQ41" i="6"/>
  <c r="DP41" i="6"/>
  <c r="DO41" i="6"/>
  <c r="DN41" i="6"/>
  <c r="DM41" i="6"/>
  <c r="DL41" i="6"/>
  <c r="DK41" i="6"/>
  <c r="DJ41" i="6"/>
  <c r="DI41" i="6"/>
  <c r="DH41" i="6"/>
  <c r="DG41" i="6"/>
  <c r="DF41" i="6"/>
  <c r="DE41" i="6"/>
  <c r="DD41" i="6"/>
  <c r="DC41" i="6"/>
  <c r="DB41" i="6"/>
  <c r="DA41" i="6"/>
  <c r="CZ41" i="6"/>
  <c r="CY41" i="6"/>
  <c r="CX41" i="6"/>
  <c r="CW41" i="6"/>
  <c r="CV41" i="6"/>
  <c r="CU41" i="6"/>
  <c r="CT41" i="6"/>
  <c r="CS41" i="6"/>
  <c r="CR41" i="6"/>
  <c r="CQ41" i="6"/>
  <c r="CP41" i="6"/>
  <c r="CO41" i="6"/>
  <c r="CN41" i="6"/>
  <c r="CM41" i="6"/>
  <c r="CL41" i="6"/>
  <c r="CK41" i="6"/>
  <c r="CJ41" i="6"/>
  <c r="CI41" i="6"/>
  <c r="CH41" i="6"/>
  <c r="CG41" i="6"/>
  <c r="CF41" i="6"/>
  <c r="CE41" i="6"/>
  <c r="CD41" i="6"/>
  <c r="CC41" i="6"/>
  <c r="CB41" i="6"/>
  <c r="CA41" i="6"/>
  <c r="BZ41" i="6"/>
  <c r="BY41" i="6"/>
  <c r="BX41" i="6"/>
  <c r="BW41" i="6"/>
  <c r="BV41" i="6"/>
  <c r="BU41" i="6"/>
  <c r="BT41" i="6"/>
  <c r="BS41" i="6"/>
  <c r="BR41" i="6"/>
  <c r="BQ41" i="6"/>
  <c r="BP41" i="6"/>
  <c r="BO41" i="6"/>
  <c r="BN41" i="6"/>
  <c r="BM41" i="6"/>
  <c r="BL41" i="6"/>
  <c r="BK41" i="6"/>
  <c r="BJ41" i="6"/>
  <c r="BI41" i="6"/>
  <c r="BH41" i="6"/>
  <c r="BG41" i="6"/>
  <c r="BF41" i="6"/>
  <c r="BE41" i="6"/>
  <c r="BD41" i="6"/>
  <c r="BC41" i="6"/>
  <c r="BB41" i="6"/>
  <c r="BA41" i="6"/>
  <c r="AZ41" i="6"/>
  <c r="AY41" i="6"/>
  <c r="AX41" i="6"/>
  <c r="AW41" i="6"/>
  <c r="AV41" i="6"/>
  <c r="AU41" i="6"/>
  <c r="AT41" i="6"/>
  <c r="AS41" i="6"/>
  <c r="AR41" i="6"/>
  <c r="AQ41" i="6"/>
  <c r="AP41" i="6"/>
  <c r="AO41" i="6"/>
  <c r="AN41" i="6"/>
  <c r="AM41" i="6"/>
  <c r="AL41" i="6"/>
  <c r="AK41" i="6"/>
  <c r="AJ41" i="6"/>
  <c r="AI41" i="6"/>
  <c r="AH41" i="6"/>
  <c r="AG41" i="6"/>
  <c r="AF41" i="6"/>
  <c r="AE41" i="6"/>
  <c r="AD41" i="6"/>
  <c r="AC41" i="6"/>
  <c r="AB41" i="6"/>
  <c r="AA41" i="6"/>
  <c r="Z41" i="6"/>
  <c r="Y41" i="6"/>
  <c r="X41" i="6"/>
  <c r="W41" i="6"/>
  <c r="V41" i="6"/>
  <c r="U41" i="6"/>
  <c r="T41" i="6"/>
  <c r="S41" i="6"/>
  <c r="R41" i="6"/>
  <c r="Q41" i="6"/>
  <c r="P41" i="6"/>
  <c r="O41" i="6"/>
  <c r="N41" i="6"/>
  <c r="M41" i="6"/>
  <c r="L41" i="6"/>
  <c r="K41" i="6"/>
  <c r="J41" i="6"/>
  <c r="I41" i="6"/>
  <c r="H41" i="6"/>
  <c r="G41" i="6"/>
  <c r="F41" i="6"/>
  <c r="E41" i="6"/>
  <c r="D41" i="6"/>
  <c r="C41" i="6"/>
  <c r="B41" i="6"/>
  <c r="B26" i="7" l="1"/>
  <c r="B18" i="7"/>
</calcChain>
</file>

<file path=xl/sharedStrings.xml><?xml version="1.0" encoding="utf-8"?>
<sst xmlns="http://schemas.openxmlformats.org/spreadsheetml/2006/main" count="6778" uniqueCount="1669">
  <si>
    <t xml:space="preserve">Publication dates </t>
  </si>
  <si>
    <t>Data period</t>
  </si>
  <si>
    <t>Revisions and changes</t>
  </si>
  <si>
    <t>Domestic installations</t>
  </si>
  <si>
    <t xml:space="preserve">Further information </t>
  </si>
  <si>
    <t xml:space="preserve">The data tables and accompanying cover sheet, contents, and commentary have recently been edited to meet legal accessibility regulations 
To provide feedback please contact </t>
  </si>
  <si>
    <t>energy.stats@energysecurity.gov.uk</t>
  </si>
  <si>
    <t>Some cells in the tables refer to notes which can be found in the notes worksheet
Note markers are presented in square brackets, for example [Note 1]</t>
  </si>
  <si>
    <t>Details on data sources and methodology used to compile this release can be found in the 'Notes' sheet.</t>
  </si>
  <si>
    <t xml:space="preserve">Links to additional further information in cells below </t>
  </si>
  <si>
    <t>Energy statistics revisions policy (opens in a new window)</t>
  </si>
  <si>
    <t xml:space="preserve">Contact details </t>
  </si>
  <si>
    <t xml:space="preserve">Statistical enquiries </t>
  </si>
  <si>
    <t>William Spry</t>
  </si>
  <si>
    <t>fitstatistics@energysecurity.gov.uk</t>
  </si>
  <si>
    <t>07825 194608</t>
  </si>
  <si>
    <t xml:space="preserve">Media enquiries </t>
  </si>
  <si>
    <t>newsdesk@energysecurity.gov.uk</t>
  </si>
  <si>
    <t>020 7215 1000</t>
  </si>
  <si>
    <t>Contents</t>
  </si>
  <si>
    <t>This worksheet contains one table</t>
  </si>
  <si>
    <t xml:space="preserve">This table includes a list of worksheets in this workbook with links to those worksheets </t>
  </si>
  <si>
    <t>Description</t>
  </si>
  <si>
    <t>Cover Sheet</t>
  </si>
  <si>
    <t>Front page with general details, sources and contacts</t>
  </si>
  <si>
    <t>This page</t>
  </si>
  <si>
    <t>Commentary</t>
  </si>
  <si>
    <t>Brief notes on trends and main points from this release</t>
  </si>
  <si>
    <t>Notes</t>
  </si>
  <si>
    <t>Notes to the data tables and details on data sources and methodologies</t>
  </si>
  <si>
    <t>Table 2 - by Accreditation</t>
  </si>
  <si>
    <t>Solar photovoltaics deployment by scheme/mount type and UK nations</t>
  </si>
  <si>
    <t>Table 3 - domestic installations by parliamentary constituency</t>
  </si>
  <si>
    <t>Domestic solar photovoltaic deployment by parliamentary constituency</t>
  </si>
  <si>
    <t>Main trends in the latest month</t>
  </si>
  <si>
    <t>Methodology notes</t>
  </si>
  <si>
    <t>The figure for deployment within the latest month should always be taken as provisional - it is likely to be revised as further data are received on newly operational sites. See the revisions note on the cover sheet for further details.</t>
  </si>
  <si>
    <t>The time series contains significant step changes for capacity in March for the years 2013 to 2017. This is due to various RO capacity deadlines as well as changes to FITs rates in those months.</t>
  </si>
  <si>
    <t xml:space="preserve">This worksheet contains two tables arranged vertically and separated by a blank row.
</t>
  </si>
  <si>
    <t xml:space="preserve">The first table contains notes to Tables 1, 2 and 3, the second table contains details regarding data sources and methodology employed in compiling this publication.
</t>
  </si>
  <si>
    <t xml:space="preserve">Note </t>
  </si>
  <si>
    <t>Note 1</t>
  </si>
  <si>
    <t>Total cumulative capacity figures are revised as DESNZ receives data on new installations. DESNZ may not be notified of new capacity until several months after installation.</t>
  </si>
  <si>
    <t>Note 2</t>
  </si>
  <si>
    <t xml:space="preserve">In previous years, solar PV capacity was modelled. This figure represents the residual of this above what was commissioned under RO/FITs in 2009. </t>
  </si>
  <si>
    <t>Note 3</t>
  </si>
  <si>
    <t>Installations that are recorded as being on domestic properties by the MCS or OFGEM in the Central FiTs Register (CFR). The breakdown by parliamentary constituencies is based on the recorded postcode and a look-up table published by the Office for National Statistics (ONS).</t>
  </si>
  <si>
    <t>Note 4</t>
  </si>
  <si>
    <t xml:space="preserve">Prior to August 2025, Table 2 was produced on a quarterly basis, two months in arrears; this was because data on CFR schemes were compiled on a quarterly basis (using data to the end of the latest quarter, i.e. March, June, September, December). </t>
  </si>
  <si>
    <t>Note 5</t>
  </si>
  <si>
    <t>Schemes supported by the Contracts for Difference from the date that CfD support started. Some installations may have come online prior to this date, in which case they are shown in the unaccredited line until the start of the CfD contract. The full capacity of the installation is reported here which may be equal to or larger than the capacity recorded in the CfD register (link below).</t>
  </si>
  <si>
    <t>Note 6</t>
  </si>
  <si>
    <t>Includes small-scale schemes registered on the Microgeneration Certification Scheme (MCS), but not yet confirmed on FiTs.  Prior to the closure of FITs to new entrants in March 2019, around 10 per cent of MCS schemes never obtain FiT accreditation, so will always be included in this. Since the closure of FiTs, all MCS installations are counted as unaccredited, except a small number of FiTs installations which qualified for a grace period. This line also includes large-scale schemes identified as being operational, but not accredited on the Renewables Obligation.</t>
  </si>
  <si>
    <t>Note 7</t>
  </si>
  <si>
    <t>Includes small-scale schemes registered on the Microgeneration Certification Scheme (MCS), but not accredited on the NI Renewables Obligation.  Also includes any large-scale schemes identified as being operational, but not accredited on the Renewables Obligation.</t>
  </si>
  <si>
    <t>Note 8</t>
  </si>
  <si>
    <t>Data sources</t>
  </si>
  <si>
    <t>Link</t>
  </si>
  <si>
    <t>Major Power Producer survey</t>
  </si>
  <si>
    <t>This is a monthly survey conducted by us. All companies which operate a portfolio of more than 50 MW capacity are included in the survey. Where possible, TIC is used but DNC is used where this is not available. Figures may differ slightly from other sources such as the REPD and RO.</t>
  </si>
  <si>
    <t>Monthly FiT deployment tables</t>
  </si>
  <si>
    <t>Statistics presented in the monthly FITs deployment table show the number of installations and capacity installed, broken down by technology type. These schemes have been registered on the Microgeneration Certification Scheme - MCS Installation Database or accredited through the ROOFiT scheme. Not all the schemes in the table will have completed registration for a Feed-in tariff, there is no guarantee that all installations will be eligible for or decide to apply for the FITs. Schemes that registered on the MCS after March 2019 will not be registered for FITs at a later date as the scheme has now closed for new entrants. These schemes appear in the unaccredited line as well as those that are awaiting accreditation.
Data in this table are calculated using declared net capacity (DNC) for MCS and total installed capacity (TIC) for ROOFIT.  DNC is used for MCS installations for consistency, since TIC was not collected when the database started.  The difference between TIC and DNC for small scale installations is negligible (in the Jan 2016 extract of solar PV installations there were 461,479 installations with completed and comparable TIC and DNC values, with an average difference of 3.7%).</t>
  </si>
  <si>
    <t>Link (opens in a new window)</t>
  </si>
  <si>
    <t>Register of RO accreditations</t>
  </si>
  <si>
    <t>Installations which are already counted in the MPP survey are excluded. The register of accredited stations publishes data based on DNC and therefore TIC values are extracted from the list of ROCs issued, where available (data available at the same link).  The difference between TIC and DNC for installations at this size is more sizeable, making it important to use TIC where possible (for data in both reports on 22nd Feb 2016, there were 497 installations larger than 50 kW with comparable TIC and DNC values, with an average difference of 17.2%). From April 2013, new RO bands allow us to identify ground versus building mounted installations - installations accredited before this date cannot be split into ground versus building mounted.  Data from the RO in Table 2 relating to installations accredited and the ground versus building mounted split will be updated on a monthly basis, although the data from the most recent quarter will only be added when data from the Central Feed-in Tariff Database is also available (i.e., once a quarter).</t>
  </si>
  <si>
    <t>Renewable Energy Planning Database (REPD)</t>
  </si>
  <si>
    <t>Installations which are already counted in the MPP survey are excluded. In the monthly solar deployment table, we include installations &gt; 150 kW in the REPD that cannot be matched to those in the RO.  The REPD records TIC, but note that the exact size of the installation can change between the planning application and final deployment.</t>
  </si>
  <si>
    <t>Central FiT register (CFR)</t>
  </si>
  <si>
    <t>Data from the CFR will be updated in Table 2 quarterly, in line with the other quality assured analysis carried out on this dataset already.</t>
  </si>
  <si>
    <t>Contracts for Differences (CfD)</t>
  </si>
  <si>
    <t>Information on sites receiving support under CfDs is obtained from the REPD.  Further information on schemes registered for the CfDs is available at:</t>
  </si>
  <si>
    <t>Solar photovoltaics deployment by capacity [note 1]</t>
  </si>
  <si>
    <t>This worksheet contains two tables one on top of each the other, separated by a blank row</t>
  </si>
  <si>
    <t>Freeze panes is active for the first column only. This can be disabled from the "View" ribbon.</t>
  </si>
  <si>
    <t>Units are specified in the top left cell of each table.</t>
  </si>
  <si>
    <t>CUMULATIVE CAPACITY (MW) [note 1]</t>
  </si>
  <si>
    <t>Jan 
2010</t>
  </si>
  <si>
    <t>Feb 
2010</t>
  </si>
  <si>
    <t>Mar 
2010</t>
  </si>
  <si>
    <t>Apr 
2010</t>
  </si>
  <si>
    <t>May 
2010</t>
  </si>
  <si>
    <t>Jun 
2010</t>
  </si>
  <si>
    <t>Jul 
2010</t>
  </si>
  <si>
    <t>Aug 
2010</t>
  </si>
  <si>
    <t>Sep 
2010</t>
  </si>
  <si>
    <t>Oct 
2010</t>
  </si>
  <si>
    <t>Nov 
2010</t>
  </si>
  <si>
    <t>Dec 
2010</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</si>
  <si>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</si>
  <si>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</si>
  <si>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</si>
  <si>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</si>
  <si>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</si>
  <si>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</si>
  <si>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</si>
  <si>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</si>
  <si>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</si>
  <si>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</si>
  <si>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</si>
  <si>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</si>
  <si>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</si>
  <si>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</si>
  <si>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</si>
  <si>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</si>
  <si>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</si>
  <si>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</si>
  <si>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</si>
  <si>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</si>
  <si>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</si>
  <si>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</si>
  <si>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</si>
  <si>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</si>
  <si>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</si>
  <si>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</si>
  <si>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</si>
  <si>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</si>
  <si>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</si>
  <si>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</si>
  <si>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</si>
  <si>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</si>
  <si>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</si>
  <si>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</si>
  <si>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 xml:space="preserve"> 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</si>
  <si>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</si>
  <si>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</si>
  <si>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</si>
  <si>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</si>
  <si>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</si>
  <si>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</si>
  <si>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</si>
  <si>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</si>
  <si>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</si>
  <si>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</si>
  <si>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</si>
  <si>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</si>
  <si>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</si>
  <si>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</si>
  <si>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</si>
  <si>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</si>
  <si>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</si>
  <si>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</si>
  <si>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</si>
  <si>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</si>
  <si>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</si>
  <si>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</si>
  <si>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</si>
  <si>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</si>
  <si>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</si>
  <si>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</si>
  <si>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</si>
  <si>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</si>
  <si>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</si>
  <si>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</si>
  <si>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</si>
  <si>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</si>
  <si>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</si>
  <si>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</si>
  <si>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</si>
  <si>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</si>
  <si>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</si>
  <si>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</si>
  <si>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</si>
  <si>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</si>
  <si>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</si>
  <si>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</si>
  <si>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</si>
  <si>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</si>
  <si>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</si>
  <si>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</si>
  <si>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</si>
  <si>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</si>
  <si>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</si>
  <si>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</si>
  <si>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</si>
  <si>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</si>
  <si>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</si>
  <si>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</si>
  <si>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</si>
  <si>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</si>
  <si>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</si>
  <si>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</si>
  <si>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</si>
  <si>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</si>
  <si>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</si>
  <si>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</si>
  <si>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</si>
  <si>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</si>
  <si>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</si>
  <si>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</si>
  <si>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</si>
  <si>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</si>
  <si>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</si>
  <si>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</si>
  <si>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</si>
  <si>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</si>
  <si>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</si>
  <si>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</si>
  <si>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</si>
  <si>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</si>
  <si>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</si>
  <si>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</si>
  <si>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</si>
  <si>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</si>
  <si>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</si>
  <si>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</si>
  <si>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</si>
  <si>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</si>
  <si>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</si>
  <si>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</si>
  <si>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</si>
  <si>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</si>
  <si>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</si>
  <si>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</si>
  <si>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</si>
  <si>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</si>
  <si>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</si>
  <si>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</si>
  <si>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</si>
  <si>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</si>
  <si>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</si>
  <si>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</si>
  <si>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</si>
  <si>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</si>
  <si>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</si>
  <si>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</si>
  <si>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</si>
  <si>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</si>
  <si>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</si>
  <si>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</si>
  <si>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</si>
  <si>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</si>
  <si>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</si>
  <si>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</si>
  <si>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</si>
  <si>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</si>
  <si>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</si>
  <si>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</si>
  <si>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</si>
  <si>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</si>
  <si>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</si>
  <si>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</si>
  <si>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</si>
  <si>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</si>
  <si>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</si>
  <si>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</si>
  <si>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</si>
  <si>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</si>
  <si>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</si>
  <si>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</si>
  <si>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</si>
  <si>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</si>
  <si>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</si>
  <si>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</si>
  <si>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</si>
  <si>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</si>
  <si>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</si>
  <si>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</si>
  <si>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</si>
  <si>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</si>
  <si>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</si>
  <si>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</si>
  <si>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</si>
  <si>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</si>
  <si>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</si>
  <si>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</si>
  <si>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</si>
  <si>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GB</t>
  </si>
  <si>
    <t>TOTAL</t>
  </si>
  <si>
    <t>NI</t>
  </si>
  <si>
    <t>UK</t>
  </si>
  <si>
    <t>Pre 2009 estimate [note 2]</t>
  </si>
  <si>
    <t>of which: domestic [note 3]</t>
  </si>
  <si>
    <t>CUMULATIVE COUNT</t>
  </si>
  <si>
    <t>Sep 
2021</t>
  </si>
  <si>
    <t>Solar photovoltaics deployment by supporting scheme [note 4]</t>
  </si>
  <si>
    <t>Jul
2021</t>
  </si>
  <si>
    <t>Aug 
2022</t>
  </si>
  <si>
    <t>FiTs (standalone)</t>
  </si>
  <si>
    <t>FITs (not standalone)</t>
  </si>
  <si>
    <t>RO (ground mounted)</t>
  </si>
  <si>
    <t>RO (not ground mounted)</t>
  </si>
  <si>
    <t>CfDs (ground-mounted) [note 5]</t>
  </si>
  <si>
    <t>Unaccredited [note 6]</t>
  </si>
  <si>
    <t>Unaccredited [note 7]</t>
  </si>
  <si>
    <t>Unaccredited (includes pre 2009 estimate) [note 6]</t>
  </si>
  <si>
    <t>Dec
20232</t>
  </si>
  <si>
    <t>This spreadsheet contains one table</t>
  </si>
  <si>
    <t>Total may not equal sum of components due to rounding.</t>
  </si>
  <si>
    <t>Constituency Code</t>
  </si>
  <si>
    <t>Country/Region</t>
  </si>
  <si>
    <t>Constituency</t>
  </si>
  <si>
    <t>Installed capacity (MW)</t>
  </si>
  <si>
    <t>Number of installations</t>
  </si>
  <si>
    <t>All constituencies</t>
  </si>
  <si>
    <t>All countries</t>
  </si>
  <si>
    <t>Unallocated</t>
  </si>
  <si>
    <t>E92000001</t>
  </si>
  <si>
    <t>England</t>
  </si>
  <si>
    <t>E12000001</t>
  </si>
  <si>
    <t>North East</t>
  </si>
  <si>
    <t>E14001101</t>
  </si>
  <si>
    <t>Bishop Auckland</t>
  </si>
  <si>
    <t>E14001106</t>
  </si>
  <si>
    <t>Blaydon and Consett</t>
  </si>
  <si>
    <t>E14001107</t>
  </si>
  <si>
    <t>Blyth and Ashington</t>
  </si>
  <si>
    <t>E14001173</t>
  </si>
  <si>
    <t>City of Durham</t>
  </si>
  <si>
    <t>E14001183</t>
  </si>
  <si>
    <t>Cramlington and Killingworth</t>
  </si>
  <si>
    <t>E14001190</t>
  </si>
  <si>
    <t>Darlington</t>
  </si>
  <si>
    <t>E14001211</t>
  </si>
  <si>
    <t>Easington</t>
  </si>
  <si>
    <t>E14001244</t>
  </si>
  <si>
    <t>Gateshead Central and Whickham</t>
  </si>
  <si>
    <t>E14001272</t>
  </si>
  <si>
    <t>Hartlepool</t>
  </si>
  <si>
    <t>E14001285</t>
  </si>
  <si>
    <t>Hexham</t>
  </si>
  <si>
    <t>E14001295</t>
  </si>
  <si>
    <t>Houghton and Sunderland South</t>
  </si>
  <si>
    <t>E14001307</t>
  </si>
  <si>
    <t>Jarrow and Gateshead East</t>
  </si>
  <si>
    <t>E14001367</t>
  </si>
  <si>
    <t>Middlesbrough and Thornaby East</t>
  </si>
  <si>
    <t>E14001368</t>
  </si>
  <si>
    <t>Middlesbrough South and East Cleveland</t>
  </si>
  <si>
    <t>E14001377</t>
  </si>
  <si>
    <t>Newcastle upon Tyne Central and West</t>
  </si>
  <si>
    <t>E14001378</t>
  </si>
  <si>
    <t>Newcastle upon Tyne East and Wallsend</t>
  </si>
  <si>
    <t>E14001379</t>
  </si>
  <si>
    <t>Newcastle upon Tyne North</t>
  </si>
  <si>
    <t>E14001382</t>
  </si>
  <si>
    <t>Newton Aycliffe and Spennymoor</t>
  </si>
  <si>
    <t>E14001389</t>
  </si>
  <si>
    <t>North Durham</t>
  </si>
  <si>
    <t>E14001397</t>
  </si>
  <si>
    <t>North Northumberland</t>
  </si>
  <si>
    <t>E14001440</t>
  </si>
  <si>
    <t>Redcar</t>
  </si>
  <si>
    <t>E14001492</t>
  </si>
  <si>
    <t>South Shields</t>
  </si>
  <si>
    <t>E14001518</t>
  </si>
  <si>
    <t>Stockton North</t>
  </si>
  <si>
    <t>E14001519</t>
  </si>
  <si>
    <t>Stockton West</t>
  </si>
  <si>
    <t>E14001531</t>
  </si>
  <si>
    <t>Sunderland Central</t>
  </si>
  <si>
    <t>E14001557</t>
  </si>
  <si>
    <t>Tynemouth</t>
  </si>
  <si>
    <t>E14001567</t>
  </si>
  <si>
    <t>Washington and Gateshead South</t>
  </si>
  <si>
    <t>E12000002</t>
  </si>
  <si>
    <t>North West</t>
  </si>
  <si>
    <t>E14001065</t>
  </si>
  <si>
    <t>Altrincham and Sale West</t>
  </si>
  <si>
    <t>E14001070</t>
  </si>
  <si>
    <t>Ashton-under-Lyne</t>
  </si>
  <si>
    <t>E14001076</t>
  </si>
  <si>
    <t>Barrow and Furness</t>
  </si>
  <si>
    <t>E14001091</t>
  </si>
  <si>
    <t>Birkenhead</t>
  </si>
  <si>
    <t>E14001102</t>
  </si>
  <si>
    <t>Blackburn</t>
  </si>
  <si>
    <t>E14001103</t>
  </si>
  <si>
    <t>Blackley and Middleton South</t>
  </si>
  <si>
    <t>E14001104</t>
  </si>
  <si>
    <t>Blackpool North and Fleetwood</t>
  </si>
  <si>
    <t>E14001105</t>
  </si>
  <si>
    <t>Blackpool South</t>
  </si>
  <si>
    <t>E14001110</t>
  </si>
  <si>
    <t>Bolton North East</t>
  </si>
  <si>
    <t>E14001111</t>
  </si>
  <si>
    <t>Bolton South and Walkden</t>
  </si>
  <si>
    <t>E14001112</t>
  </si>
  <si>
    <t>Bolton West</t>
  </si>
  <si>
    <t>E14001113</t>
  </si>
  <si>
    <t>Bootle</t>
  </si>
  <si>
    <t>E14001142</t>
  </si>
  <si>
    <t>Burnley</t>
  </si>
  <si>
    <t>E14001144</t>
  </si>
  <si>
    <t>Bury North</t>
  </si>
  <si>
    <t>E14001145</t>
  </si>
  <si>
    <t>Bury South</t>
  </si>
  <si>
    <t>E14001152</t>
  </si>
  <si>
    <t>Carlisle</t>
  </si>
  <si>
    <t>E14001158</t>
  </si>
  <si>
    <t>Cheadle</t>
  </si>
  <si>
    <t>E14001163</t>
  </si>
  <si>
    <t>Chester North and Neston</t>
  </si>
  <si>
    <t>E14001164</t>
  </si>
  <si>
    <t>Chester South and Eddisbury</t>
  </si>
  <si>
    <t>E14001170</t>
  </si>
  <si>
    <t>Chorley</t>
  </si>
  <si>
    <t>E14001178</t>
  </si>
  <si>
    <t>Congleton</t>
  </si>
  <si>
    <t>E14001185</t>
  </si>
  <si>
    <t>Crewe and Nantwich</t>
  </si>
  <si>
    <t>E14001222</t>
  </si>
  <si>
    <t>Ellesmere Port and Bromborough</t>
  </si>
  <si>
    <t>E14001242</t>
  </si>
  <si>
    <t>Fylde</t>
  </si>
  <si>
    <t>E14001251</t>
  </si>
  <si>
    <t>Gorton and Denton</t>
  </si>
  <si>
    <t>E14001277</t>
  </si>
  <si>
    <t>Hazel Grove</t>
  </si>
  <si>
    <t>E14001286</t>
  </si>
  <si>
    <t>Heywood and Middleton North</t>
  </si>
  <si>
    <t>E14001299</t>
  </si>
  <si>
    <t>Hyndburn</t>
  </si>
  <si>
    <t>E14001317</t>
  </si>
  <si>
    <t>Knowsley</t>
  </si>
  <si>
    <t>E14001318</t>
  </si>
  <si>
    <t>Lancaster and Wyre</t>
  </si>
  <si>
    <t>E14001329</t>
  </si>
  <si>
    <t>Leigh and Atherton</t>
  </si>
  <si>
    <t>E14001337</t>
  </si>
  <si>
    <t>Liverpool Garston</t>
  </si>
  <si>
    <t>E14001338</t>
  </si>
  <si>
    <t>Liverpool Riverside</t>
  </si>
  <si>
    <t>E14001339</t>
  </si>
  <si>
    <t>Liverpool Walton</t>
  </si>
  <si>
    <t>E14001340</t>
  </si>
  <si>
    <t>Liverpool Wavertree</t>
  </si>
  <si>
    <t>E14001341</t>
  </si>
  <si>
    <t>Liverpool West Derby</t>
  </si>
  <si>
    <t>E14001347</t>
  </si>
  <si>
    <t>Macclesfield</t>
  </si>
  <si>
    <t>E14001350</t>
  </si>
  <si>
    <t>Makerfield</t>
  </si>
  <si>
    <t>E14001352</t>
  </si>
  <si>
    <t>Manchester Central</t>
  </si>
  <si>
    <t>E14001353</t>
  </si>
  <si>
    <t>Manchester Rusholme</t>
  </si>
  <si>
    <t>E14001354</t>
  </si>
  <si>
    <t>Manchester Withington</t>
  </si>
  <si>
    <t>E14001361</t>
  </si>
  <si>
    <t>Mid Cheshire</t>
  </si>
  <si>
    <t>E14001372</t>
  </si>
  <si>
    <t>Morecambe and Lunesdale</t>
  </si>
  <si>
    <t>E14001415</t>
  </si>
  <si>
    <t>Oldham East and Saddleworth</t>
  </si>
  <si>
    <t>E14001416</t>
  </si>
  <si>
    <t>Oldham West, Chadderton and Royton</t>
  </si>
  <si>
    <t>E14001422</t>
  </si>
  <si>
    <t>Pendle and Clitheroe</t>
  </si>
  <si>
    <t>E14001424</t>
  </si>
  <si>
    <t>Penrith and Solway</t>
  </si>
  <si>
    <t>E14001433</t>
  </si>
  <si>
    <t>Preston</t>
  </si>
  <si>
    <t>E14001443</t>
  </si>
  <si>
    <t>Ribble Valley</t>
  </si>
  <si>
    <t>E14001446</t>
  </si>
  <si>
    <t>Rochdale</t>
  </si>
  <si>
    <t>E14001450</t>
  </si>
  <si>
    <t>Rossendale and Darwen</t>
  </si>
  <si>
    <t>E14001455</t>
  </si>
  <si>
    <t>Runcorn and Helsby</t>
  </si>
  <si>
    <t>E14001459</t>
  </si>
  <si>
    <t>Salford</t>
  </si>
  <si>
    <t>E14001463</t>
  </si>
  <si>
    <t>Sefton Central</t>
  </si>
  <si>
    <t>E14001491</t>
  </si>
  <si>
    <t>South Ribble</t>
  </si>
  <si>
    <t>E14001504</t>
  </si>
  <si>
    <t>Southport</t>
  </si>
  <si>
    <t>E14001509</t>
  </si>
  <si>
    <t>St Helens North</t>
  </si>
  <si>
    <t>E14001510</t>
  </si>
  <si>
    <t>St Helens South and Whiston</t>
  </si>
  <si>
    <t>E14001515</t>
  </si>
  <si>
    <t>Stalybridge and Hyde</t>
  </si>
  <si>
    <t>E14001517</t>
  </si>
  <si>
    <t>Stockport</t>
  </si>
  <si>
    <t>E14001528</t>
  </si>
  <si>
    <t>Stretford and Urmston</t>
  </si>
  <si>
    <t>E14001539</t>
  </si>
  <si>
    <t>Tatton</t>
  </si>
  <si>
    <t>E14001561</t>
  </si>
  <si>
    <t>Wallasey</t>
  </si>
  <si>
    <t>E14001564</t>
  </si>
  <si>
    <t>Warrington North</t>
  </si>
  <si>
    <t>E14001565</t>
  </si>
  <si>
    <t>Warrington South</t>
  </si>
  <si>
    <t>E14001577</t>
  </si>
  <si>
    <t>West Lancashire</t>
  </si>
  <si>
    <t>E14001580</t>
  </si>
  <si>
    <t>Westmorland and Lonsdale</t>
  </si>
  <si>
    <t>E14001583</t>
  </si>
  <si>
    <t>Whitehaven and Workington</t>
  </si>
  <si>
    <t>E14001584</t>
  </si>
  <si>
    <t>Widnes and Halewood</t>
  </si>
  <si>
    <t>E14001585</t>
  </si>
  <si>
    <t>Wigan</t>
  </si>
  <si>
    <t>E14001589</t>
  </si>
  <si>
    <t>Wirral West</t>
  </si>
  <si>
    <t>E14001598</t>
  </si>
  <si>
    <t>Worsley and Eccles</t>
  </si>
  <si>
    <t>E14001602</t>
  </si>
  <si>
    <t>Wythenshawe and Sale East</t>
  </si>
  <si>
    <t>E12000003</t>
  </si>
  <si>
    <t>Yorkshire and The Humber</t>
  </si>
  <si>
    <t>E14001074</t>
  </si>
  <si>
    <t>Barnsley North</t>
  </si>
  <si>
    <t>E14001075</t>
  </si>
  <si>
    <t>Barnsley South</t>
  </si>
  <si>
    <t>E14001087</t>
  </si>
  <si>
    <t>Beverley and Holderness</t>
  </si>
  <si>
    <t>E14001118</t>
  </si>
  <si>
    <t>Bradford East</t>
  </si>
  <si>
    <t>E14001119</t>
  </si>
  <si>
    <t>Bradford South</t>
  </si>
  <si>
    <t>E14001120</t>
  </si>
  <si>
    <t>Bradford West</t>
  </si>
  <si>
    <t>E14001127</t>
  </si>
  <si>
    <t>Bridlington and The Wolds</t>
  </si>
  <si>
    <t>E14001128</t>
  </si>
  <si>
    <t>Brigg and Immingham</t>
  </si>
  <si>
    <t>E14001147</t>
  </si>
  <si>
    <t>Calder Valley</t>
  </si>
  <si>
    <t>E14001177</t>
  </si>
  <si>
    <t>Colne Valley</t>
  </si>
  <si>
    <t>E14001196</t>
  </si>
  <si>
    <t>Dewsbury and Batley</t>
  </si>
  <si>
    <t>E14001198</t>
  </si>
  <si>
    <t>Doncaster Central</t>
  </si>
  <si>
    <t>E14001199</t>
  </si>
  <si>
    <t>Doncaster East and the Isle of Axholme</t>
  </si>
  <si>
    <t>E14001200</t>
  </si>
  <si>
    <t>Doncaster North</t>
  </si>
  <si>
    <t>E14001250</t>
  </si>
  <si>
    <t>Goole and Pocklington</t>
  </si>
  <si>
    <t>E14001255</t>
  </si>
  <si>
    <t>Great Grimsby and Cleethorpes</t>
  </si>
  <si>
    <t>E14001262</t>
  </si>
  <si>
    <t>Halifax</t>
  </si>
  <si>
    <t>E14001269</t>
  </si>
  <si>
    <t>Harrogate and Knaresborough</t>
  </si>
  <si>
    <t>E14001297</t>
  </si>
  <si>
    <t>Huddersfield</t>
  </si>
  <si>
    <t>E14001308</t>
  </si>
  <si>
    <t>Keighley and Ilkley</t>
  </si>
  <si>
    <t>E14001313</t>
  </si>
  <si>
    <t>Kingston upon Hull East</t>
  </si>
  <si>
    <t>E14001314</t>
  </si>
  <si>
    <t>Kingston upon Hull North and Cottingham</t>
  </si>
  <si>
    <t>E14001315</t>
  </si>
  <si>
    <t>Kingston upon Hull West and Haltemprice</t>
  </si>
  <si>
    <t>E14001319</t>
  </si>
  <si>
    <t>Leeds Central and Headingley</t>
  </si>
  <si>
    <t>E14001320</t>
  </si>
  <si>
    <t>Leeds East</t>
  </si>
  <si>
    <t>E14001321</t>
  </si>
  <si>
    <t>Leeds North East</t>
  </si>
  <si>
    <t>E14001322</t>
  </si>
  <si>
    <t>Leeds North West</t>
  </si>
  <si>
    <t>E14001323</t>
  </si>
  <si>
    <t>Leeds South</t>
  </si>
  <si>
    <t>E14001324</t>
  </si>
  <si>
    <t>Leeds South West and Morley</t>
  </si>
  <si>
    <t>E14001325</t>
  </si>
  <si>
    <t>Leeds West and Pudsey</t>
  </si>
  <si>
    <t>E14001383</t>
  </si>
  <si>
    <t>Normanton and Hemsworth</t>
  </si>
  <si>
    <t>E14001418</t>
  </si>
  <si>
    <t>Ossett and Denby Dale</t>
  </si>
  <si>
    <t>E14001423</t>
  </si>
  <si>
    <t>Penistone and Stocksbridge</t>
  </si>
  <si>
    <t>E14001428</t>
  </si>
  <si>
    <t>Pontefract, Castleford and Knottingley</t>
  </si>
  <si>
    <t>E14001436</t>
  </si>
  <si>
    <t>Rawmarsh and Conisbrough</t>
  </si>
  <si>
    <t>E14001444</t>
  </si>
  <si>
    <t>Richmond and Northallerton</t>
  </si>
  <si>
    <t>E14001451</t>
  </si>
  <si>
    <t>Rother Valley</t>
  </si>
  <si>
    <t>E14001452</t>
  </si>
  <si>
    <t>Rotherham</t>
  </si>
  <si>
    <t>E14001461</t>
  </si>
  <si>
    <t>Scarborough and Whitby</t>
  </si>
  <si>
    <t>E14001462</t>
  </si>
  <si>
    <t>Scunthorpe</t>
  </si>
  <si>
    <t>E14001464</t>
  </si>
  <si>
    <t>Selby</t>
  </si>
  <si>
    <t>E14001466</t>
  </si>
  <si>
    <t>Sheffield Brightside and Hillsborough</t>
  </si>
  <si>
    <t>E14001467</t>
  </si>
  <si>
    <t>Sheffield Central</t>
  </si>
  <si>
    <t>E14001468</t>
  </si>
  <si>
    <t>Sheffield Hallam</t>
  </si>
  <si>
    <t>E14001469</t>
  </si>
  <si>
    <t>Sheffield Heeley</t>
  </si>
  <si>
    <t>E14001470</t>
  </si>
  <si>
    <t>Sheffield South East</t>
  </si>
  <si>
    <t>E14001472</t>
  </si>
  <si>
    <t>Shipley</t>
  </si>
  <si>
    <t>E14001475</t>
  </si>
  <si>
    <t>Skipton and Ripon</t>
  </si>
  <si>
    <t>E14001506</t>
  </si>
  <si>
    <t>Spen Valley</t>
  </si>
  <si>
    <t>E14001544</t>
  </si>
  <si>
    <t>Thirsk and Malton</t>
  </si>
  <si>
    <t>E14001560</t>
  </si>
  <si>
    <t>Wakefield and Rothwell</t>
  </si>
  <si>
    <t>E14001582</t>
  </si>
  <si>
    <t>Wetherby and Easingwold</t>
  </si>
  <si>
    <t>E14001604</t>
  </si>
  <si>
    <t>York Central</t>
  </si>
  <si>
    <t>E14001605</t>
  </si>
  <si>
    <t>York Outer</t>
  </si>
  <si>
    <t>E12000004</t>
  </si>
  <si>
    <t>East Midlands</t>
  </si>
  <si>
    <t>E14001066</t>
  </si>
  <si>
    <t>Amber Valley</t>
  </si>
  <si>
    <t>E14001068</t>
  </si>
  <si>
    <t>Ashfield</t>
  </si>
  <si>
    <t>E14001079</t>
  </si>
  <si>
    <t>Bassetlaw</t>
  </si>
  <si>
    <t>E14001109</t>
  </si>
  <si>
    <t>Bolsover</t>
  </si>
  <si>
    <t>E14001114</t>
  </si>
  <si>
    <t>Boston and Skegness</t>
  </si>
  <si>
    <t>E14001140</t>
  </si>
  <si>
    <t>Broxtowe</t>
  </si>
  <si>
    <t>E14001165</t>
  </si>
  <si>
    <t>Chesterfield</t>
  </si>
  <si>
    <t>E14001179</t>
  </si>
  <si>
    <t>Corby and East Northamptonshire</t>
  </si>
  <si>
    <t>E14001192</t>
  </si>
  <si>
    <t>Daventry</t>
  </si>
  <si>
    <t>E14001193</t>
  </si>
  <si>
    <t>Derby North</t>
  </si>
  <si>
    <t>E14001194</t>
  </si>
  <si>
    <t>Derby South</t>
  </si>
  <si>
    <t>E14001195</t>
  </si>
  <si>
    <t>Derbyshire Dales</t>
  </si>
  <si>
    <t>E14001228</t>
  </si>
  <si>
    <t>Erewash</t>
  </si>
  <si>
    <t>E14001243</t>
  </si>
  <si>
    <t>Gainsborough</t>
  </si>
  <si>
    <t>E14001245</t>
  </si>
  <si>
    <t>Gedling</t>
  </si>
  <si>
    <t>E14001253</t>
  </si>
  <si>
    <t>Grantham and Bourne</t>
  </si>
  <si>
    <t>E14001266</t>
  </si>
  <si>
    <t>Harborough, Oadby and Wigston</t>
  </si>
  <si>
    <t>E14001287</t>
  </si>
  <si>
    <t>High Peak</t>
  </si>
  <si>
    <t>E14001288</t>
  </si>
  <si>
    <t>Hinckley and Bosworth</t>
  </si>
  <si>
    <t>E14001311</t>
  </si>
  <si>
    <t>Kettering</t>
  </si>
  <si>
    <t>E14001326</t>
  </si>
  <si>
    <t>Leicester East</t>
  </si>
  <si>
    <t>E14001327</t>
  </si>
  <si>
    <t>Leicester South</t>
  </si>
  <si>
    <t>E14001328</t>
  </si>
  <si>
    <t>Leicester West</t>
  </si>
  <si>
    <t>E14001336</t>
  </si>
  <si>
    <t>Lincoln</t>
  </si>
  <si>
    <t>E14001342</t>
  </si>
  <si>
    <t>Loughborough</t>
  </si>
  <si>
    <t>E14001343</t>
  </si>
  <si>
    <t>Louth and Horncastle</t>
  </si>
  <si>
    <t>E14001355</t>
  </si>
  <si>
    <t>Mansfield</t>
  </si>
  <si>
    <t>E14001357</t>
  </si>
  <si>
    <t>Melton and Syston</t>
  </si>
  <si>
    <t>E14001362</t>
  </si>
  <si>
    <t>Mid Derbyshire</t>
  </si>
  <si>
    <t>E14001364</t>
  </si>
  <si>
    <t>Mid Leicestershire</t>
  </si>
  <si>
    <t>E14001375</t>
  </si>
  <si>
    <t>Newark</t>
  </si>
  <si>
    <t>E14001391</t>
  </si>
  <si>
    <t>North East Derbyshire</t>
  </si>
  <si>
    <t>E14001404</t>
  </si>
  <si>
    <t>North West Leicestershire</t>
  </si>
  <si>
    <t>E14001406</t>
  </si>
  <si>
    <t>Northampton North</t>
  </si>
  <si>
    <t>E14001407</t>
  </si>
  <si>
    <t>Northampton South</t>
  </si>
  <si>
    <t>E14001410</t>
  </si>
  <si>
    <t>Nottingham East</t>
  </si>
  <si>
    <t>E14001411</t>
  </si>
  <si>
    <t>Nottingham North and Kimberley</t>
  </si>
  <si>
    <t>E14001412</t>
  </si>
  <si>
    <t>Nottingham South</t>
  </si>
  <si>
    <t>E14001457</t>
  </si>
  <si>
    <t>Rushcliffe</t>
  </si>
  <si>
    <t>E14001458</t>
  </si>
  <si>
    <t>Rutland and Stamford</t>
  </si>
  <si>
    <t>E14001471</t>
  </si>
  <si>
    <t>Sherwood Forest</t>
  </si>
  <si>
    <t>E14001476</t>
  </si>
  <si>
    <t>Sleaford and North Hykeham</t>
  </si>
  <si>
    <t>E14001483</t>
  </si>
  <si>
    <t>South Derbyshire</t>
  </si>
  <si>
    <t>E14001487</t>
  </si>
  <si>
    <t>South Holland and The Deepings</t>
  </si>
  <si>
    <t>E14001488</t>
  </si>
  <si>
    <t>South Leicestershire</t>
  </si>
  <si>
    <t>E14001490</t>
  </si>
  <si>
    <t>South Northamptonshire</t>
  </si>
  <si>
    <t>E14001571</t>
  </si>
  <si>
    <t>Wellingborough and Rushden</t>
  </si>
  <si>
    <t>E12000005</t>
  </si>
  <si>
    <t>West Midlands</t>
  </si>
  <si>
    <t>E14001064</t>
  </si>
  <si>
    <t>Aldridge-Brownhills</t>
  </si>
  <si>
    <t>E14001092</t>
  </si>
  <si>
    <t>Birmingham Edgbaston</t>
  </si>
  <si>
    <t>E14001093</t>
  </si>
  <si>
    <t>Birmingham Erdington</t>
  </si>
  <si>
    <t>E14001094</t>
  </si>
  <si>
    <t>Birmingham Hall Green and Moseley</t>
  </si>
  <si>
    <t>E14001095</t>
  </si>
  <si>
    <t>Birmingham Hodge Hill and Solihull North</t>
  </si>
  <si>
    <t>E14001096</t>
  </si>
  <si>
    <t>Birmingham Ladywood</t>
  </si>
  <si>
    <t>E14001097</t>
  </si>
  <si>
    <t>Birmingham Northfield</t>
  </si>
  <si>
    <t>E14001098</t>
  </si>
  <si>
    <t>Birmingham Perry Barr</t>
  </si>
  <si>
    <t>E14001099</t>
  </si>
  <si>
    <t>Birmingham Selly Oak</t>
  </si>
  <si>
    <t>E14001100</t>
  </si>
  <si>
    <t>Birmingham Yardley</t>
  </si>
  <si>
    <t>E14001138</t>
  </si>
  <si>
    <t>Bromsgrove</t>
  </si>
  <si>
    <t>E14001143</t>
  </si>
  <si>
    <t>Burton and Uttoxeter</t>
  </si>
  <si>
    <t>E14001150</t>
  </si>
  <si>
    <t>Cannock Chase</t>
  </si>
  <si>
    <t>E14001180</t>
  </si>
  <si>
    <t>Coventry East</t>
  </si>
  <si>
    <t>E14001181</t>
  </si>
  <si>
    <t>Coventry North West</t>
  </si>
  <si>
    <t>E14001182</t>
  </si>
  <si>
    <t>Coventry South</t>
  </si>
  <si>
    <t>E14001203</t>
  </si>
  <si>
    <t>Droitwich and Evesham</t>
  </si>
  <si>
    <t>E14001204</t>
  </si>
  <si>
    <t>Dudley</t>
  </si>
  <si>
    <t>E14001261</t>
  </si>
  <si>
    <t>Halesowen</t>
  </si>
  <si>
    <t>E14001281</t>
  </si>
  <si>
    <t>Hereford and South Herefordshire</t>
  </si>
  <si>
    <t>E14001309</t>
  </si>
  <si>
    <t>Kenilworth and Southam</t>
  </si>
  <si>
    <t>E14001316</t>
  </si>
  <si>
    <t>Kingswinford and South Staffordshire</t>
  </si>
  <si>
    <t>E14001335</t>
  </si>
  <si>
    <t>Lichfield</t>
  </si>
  <si>
    <t>E14001358</t>
  </si>
  <si>
    <t>Meriden and Solihull East</t>
  </si>
  <si>
    <t>E14001380</t>
  </si>
  <si>
    <t>Newcastle-under-Lyme</t>
  </si>
  <si>
    <t>E14001395</t>
  </si>
  <si>
    <t>North Herefordshire</t>
  </si>
  <si>
    <t>E14001398</t>
  </si>
  <si>
    <t>North Shropshire</t>
  </si>
  <si>
    <t>E14001400</t>
  </si>
  <si>
    <t>North Warwickshire and Bedworth</t>
  </si>
  <si>
    <t>E14001413</t>
  </si>
  <si>
    <t>Nuneaton</t>
  </si>
  <si>
    <t>E14001441</t>
  </si>
  <si>
    <t>Redditch</t>
  </si>
  <si>
    <t>E14001453</t>
  </si>
  <si>
    <t>Rugby</t>
  </si>
  <si>
    <t>E14001473</t>
  </si>
  <si>
    <t>Shrewsbury</t>
  </si>
  <si>
    <t>E14001478</t>
  </si>
  <si>
    <t>Smethwick</t>
  </si>
  <si>
    <t>E14001479</t>
  </si>
  <si>
    <t>Solihull West and Shirley</t>
  </si>
  <si>
    <t>E14001493</t>
  </si>
  <si>
    <t>South Shropshire</t>
  </si>
  <si>
    <t>E14001513</t>
  </si>
  <si>
    <t>Stafford</t>
  </si>
  <si>
    <t>E14001514</t>
  </si>
  <si>
    <t>Staffordshire Moorlands</t>
  </si>
  <si>
    <t>E14001520</t>
  </si>
  <si>
    <t>Stoke-on-Trent Central</t>
  </si>
  <si>
    <t>E14001521</t>
  </si>
  <si>
    <t>Stoke-on-Trent North</t>
  </si>
  <si>
    <t>E14001522</t>
  </si>
  <si>
    <t>Stoke-on-Trent South</t>
  </si>
  <si>
    <t>E14001523</t>
  </si>
  <si>
    <t>Stone, Great Wyrley and Penkridge</t>
  </si>
  <si>
    <t>E14001524</t>
  </si>
  <si>
    <t>Stourbridge</t>
  </si>
  <si>
    <t>E14001526</t>
  </si>
  <si>
    <t>Stratford-on-Avon</t>
  </si>
  <si>
    <t>E14001535</t>
  </si>
  <si>
    <t>Sutton Coldfield</t>
  </si>
  <si>
    <t>E14001538</t>
  </si>
  <si>
    <t>Tamworth</t>
  </si>
  <si>
    <t>E14001541</t>
  </si>
  <si>
    <t>Telford</t>
  </si>
  <si>
    <t>E14001543</t>
  </si>
  <si>
    <t>The Wrekin</t>
  </si>
  <si>
    <t>E14001547</t>
  </si>
  <si>
    <t>Tipton and Wednesbury</t>
  </si>
  <si>
    <t>E14001562</t>
  </si>
  <si>
    <t>Walsall and Bloxwich</t>
  </si>
  <si>
    <t>E14001566</t>
  </si>
  <si>
    <t>Warwick and Leamington</t>
  </si>
  <si>
    <t>E14001574</t>
  </si>
  <si>
    <t>West Bromwich</t>
  </si>
  <si>
    <t>E14001579</t>
  </si>
  <si>
    <t>West Worcestershire</t>
  </si>
  <si>
    <t>E14001594</t>
  </si>
  <si>
    <t>Wolverhampton North East</t>
  </si>
  <si>
    <t>E14001595</t>
  </si>
  <si>
    <t>Wolverhampton South East</t>
  </si>
  <si>
    <t>E14001596</t>
  </si>
  <si>
    <t>Wolverhampton West</t>
  </si>
  <si>
    <t>E14001597</t>
  </si>
  <si>
    <t>Worcester</t>
  </si>
  <si>
    <t>E14001601</t>
  </si>
  <si>
    <t>Wyre Forest</t>
  </si>
  <si>
    <t>E12000006</t>
  </si>
  <si>
    <t>East</t>
  </si>
  <si>
    <t>E14001077</t>
  </si>
  <si>
    <t>Basildon and Billericay</t>
  </si>
  <si>
    <t>E14001084</t>
  </si>
  <si>
    <t>Bedford</t>
  </si>
  <si>
    <t>E14001121</t>
  </si>
  <si>
    <t>Braintree</t>
  </si>
  <si>
    <t>E14001125</t>
  </si>
  <si>
    <t>Brentwood and Ongar</t>
  </si>
  <si>
    <t>E14001136</t>
  </si>
  <si>
    <t>Broadland and Fakenham</t>
  </si>
  <si>
    <t>E14001139</t>
  </si>
  <si>
    <t>Broxbourne</t>
  </si>
  <si>
    <t>E14001146</t>
  </si>
  <si>
    <t>Bury St Edmunds and Stowmarket</t>
  </si>
  <si>
    <t>E14001149</t>
  </si>
  <si>
    <t>Cambridge</t>
  </si>
  <si>
    <t>E14001154</t>
  </si>
  <si>
    <t>Castle Point</t>
  </si>
  <si>
    <t>E14001156</t>
  </si>
  <si>
    <t>Central Suffolk and North Ipswich</t>
  </si>
  <si>
    <t>E14001159</t>
  </si>
  <si>
    <t>Chelmsford</t>
  </si>
  <si>
    <t>E14001174</t>
  </si>
  <si>
    <t>Clacton</t>
  </si>
  <si>
    <t>E14001176</t>
  </si>
  <si>
    <t>Colchester</t>
  </si>
  <si>
    <t>E14001206</t>
  </si>
  <si>
    <t>Dunstable and Leighton Buzzard</t>
  </si>
  <si>
    <t>E14001224</t>
  </si>
  <si>
    <t>Ely and East Cambridgeshire</t>
  </si>
  <si>
    <t>E14001226</t>
  </si>
  <si>
    <t>Epping Forest</t>
  </si>
  <si>
    <t>E14001256</t>
  </si>
  <si>
    <t>Great Yarmouth</t>
  </si>
  <si>
    <t>E14001267</t>
  </si>
  <si>
    <t>Harlow</t>
  </si>
  <si>
    <t>E14001268</t>
  </si>
  <si>
    <t>Harpenden and Berkhamsted</t>
  </si>
  <si>
    <t>E14001273</t>
  </si>
  <si>
    <t>Harwich and North Essex</t>
  </si>
  <si>
    <t>E14001278</t>
  </si>
  <si>
    <t>Hemel Hempstead</t>
  </si>
  <si>
    <t>E14001283</t>
  </si>
  <si>
    <t>Hertford and Stortford</t>
  </si>
  <si>
    <t>E14001284</t>
  </si>
  <si>
    <t>Hertsmere</t>
  </si>
  <si>
    <t>E14001289</t>
  </si>
  <si>
    <t>Hitchin</t>
  </si>
  <si>
    <t>E14001298</t>
  </si>
  <si>
    <t>Huntingdon</t>
  </si>
  <si>
    <t>E14001302</t>
  </si>
  <si>
    <t>Ipswich</t>
  </si>
  <si>
    <t>E14001344</t>
  </si>
  <si>
    <t>Lowestoft</t>
  </si>
  <si>
    <t>E14001345</t>
  </si>
  <si>
    <t>Luton North</t>
  </si>
  <si>
    <t>E14001346</t>
  </si>
  <si>
    <t>Luton South and South Bedfordshire</t>
  </si>
  <si>
    <t>E14001351</t>
  </si>
  <si>
    <t>Maldon</t>
  </si>
  <si>
    <t>E14001359</t>
  </si>
  <si>
    <t>Mid Bedfordshire</t>
  </si>
  <si>
    <t>E14001365</t>
  </si>
  <si>
    <t>Mid Norfolk</t>
  </si>
  <si>
    <t>E14001384</t>
  </si>
  <si>
    <t>North Bedfordshire</t>
  </si>
  <si>
    <t>E14001390</t>
  </si>
  <si>
    <t>North East Cambridgeshire</t>
  </si>
  <si>
    <t>E14001393</t>
  </si>
  <si>
    <t>North East Hertfordshire</t>
  </si>
  <si>
    <t>E14001396</t>
  </si>
  <si>
    <t>North Norfolk</t>
  </si>
  <si>
    <t>E14001401</t>
  </si>
  <si>
    <t>North West Cambridgeshire</t>
  </si>
  <si>
    <t>E14001402</t>
  </si>
  <si>
    <t>North West Essex</t>
  </si>
  <si>
    <t>E14001405</t>
  </si>
  <si>
    <t>North West Norfolk</t>
  </si>
  <si>
    <t>E14001408</t>
  </si>
  <si>
    <t>Norwich North</t>
  </si>
  <si>
    <t>E14001409</t>
  </si>
  <si>
    <t>Norwich South</t>
  </si>
  <si>
    <t>E14001425</t>
  </si>
  <si>
    <t>Peterborough</t>
  </si>
  <si>
    <t>E14001437</t>
  </si>
  <si>
    <t>Rayleigh and Wickford</t>
  </si>
  <si>
    <t>E14001480</t>
  </si>
  <si>
    <t>South Basildon and East Thurrock</t>
  </si>
  <si>
    <t>E14001481</t>
  </si>
  <si>
    <t>South Cambridgeshire</t>
  </si>
  <si>
    <t>E14001489</t>
  </si>
  <si>
    <t>South Norfolk</t>
  </si>
  <si>
    <t>E14001494</t>
  </si>
  <si>
    <t>South Suffolk</t>
  </si>
  <si>
    <t>E14001496</t>
  </si>
  <si>
    <t>South West Hertfordshire</t>
  </si>
  <si>
    <t>E14001497</t>
  </si>
  <si>
    <t>South West Norfolk</t>
  </si>
  <si>
    <t>E14001501</t>
  </si>
  <si>
    <t>Southend East and Rochford</t>
  </si>
  <si>
    <t>E14001502</t>
  </si>
  <si>
    <t>Southend West and Leigh</t>
  </si>
  <si>
    <t>E14001507</t>
  </si>
  <si>
    <t>St Albans</t>
  </si>
  <si>
    <t>E14001512</t>
  </si>
  <si>
    <t>St Neots and Mid Cambridgeshire</t>
  </si>
  <si>
    <t>E14001516</t>
  </si>
  <si>
    <t>Stevenage</t>
  </si>
  <si>
    <t>E14001530</t>
  </si>
  <si>
    <t>Suffolk Coastal</t>
  </si>
  <si>
    <t>E14001546</t>
  </si>
  <si>
    <t>Thurrock</t>
  </si>
  <si>
    <t>E14001568</t>
  </si>
  <si>
    <t>Watford</t>
  </si>
  <si>
    <t>E14001569</t>
  </si>
  <si>
    <t>Waveney Valley</t>
  </si>
  <si>
    <t>E14001573</t>
  </si>
  <si>
    <t>Welwyn Hatfield</t>
  </si>
  <si>
    <t>E14001578</t>
  </si>
  <si>
    <t>West Suffolk</t>
  </si>
  <si>
    <t>E14001590</t>
  </si>
  <si>
    <t>Witham</t>
  </si>
  <si>
    <t>E12000007</t>
  </si>
  <si>
    <t>London</t>
  </si>
  <si>
    <t>E14001073</t>
  </si>
  <si>
    <t>Barking</t>
  </si>
  <si>
    <t>E14001081</t>
  </si>
  <si>
    <t>Battersea</t>
  </si>
  <si>
    <t>E14001083</t>
  </si>
  <si>
    <t>Beckenham and Penge</t>
  </si>
  <si>
    <t>E14001085</t>
  </si>
  <si>
    <t>Bermondsey and Old Southwark</t>
  </si>
  <si>
    <t>E14001086</t>
  </si>
  <si>
    <t>Bethnal Green and Stepney</t>
  </si>
  <si>
    <t>E14001089</t>
  </si>
  <si>
    <t>Bexleyheath and Crayford</t>
  </si>
  <si>
    <t>E14001122</t>
  </si>
  <si>
    <t>Brent East</t>
  </si>
  <si>
    <t>E14001123</t>
  </si>
  <si>
    <t>Brent West</t>
  </si>
  <si>
    <t>E14001124</t>
  </si>
  <si>
    <t>Brentford and Isleworth</t>
  </si>
  <si>
    <t>E14001137</t>
  </si>
  <si>
    <t>Bromley and Biggin Hill</t>
  </si>
  <si>
    <t>E14001153</t>
  </si>
  <si>
    <t>Carshalton and Wallington</t>
  </si>
  <si>
    <t>E14001160</t>
  </si>
  <si>
    <t>Chelsea and Fulham</t>
  </si>
  <si>
    <t>E14001167</t>
  </si>
  <si>
    <t>Chingford and Woodford Green</t>
  </si>
  <si>
    <t>E14001169</t>
  </si>
  <si>
    <t>Chipping Barnet</t>
  </si>
  <si>
    <t>E14001172</t>
  </si>
  <si>
    <t>Cities of London and Westminster</t>
  </si>
  <si>
    <t>E14001175</t>
  </si>
  <si>
    <t>Clapham and Brixton Hill</t>
  </si>
  <si>
    <t>E14001186</t>
  </si>
  <si>
    <t>Croydon East</t>
  </si>
  <si>
    <t>E14001187</t>
  </si>
  <si>
    <t>Croydon South</t>
  </si>
  <si>
    <t>E14001188</t>
  </si>
  <si>
    <t>Croydon West</t>
  </si>
  <si>
    <t>E14001189</t>
  </si>
  <si>
    <t>Dagenham and Rainham</t>
  </si>
  <si>
    <t>E14001205</t>
  </si>
  <si>
    <t>Dulwich and West Norwood</t>
  </si>
  <si>
    <t>E14001207</t>
  </si>
  <si>
    <t>Ealing Central and Acton</t>
  </si>
  <si>
    <t>E14001208</t>
  </si>
  <si>
    <t>Ealing North</t>
  </si>
  <si>
    <t>E14001209</t>
  </si>
  <si>
    <t>Ealing Southall</t>
  </si>
  <si>
    <t>E14001213</t>
  </si>
  <si>
    <t>East Ham</t>
  </si>
  <si>
    <t>E14001221</t>
  </si>
  <si>
    <t>Edmonton and Winchmore Hill</t>
  </si>
  <si>
    <t>E14001223</t>
  </si>
  <si>
    <t>Eltham and Chislehurst</t>
  </si>
  <si>
    <t>E14001225</t>
  </si>
  <si>
    <t>Enfield North</t>
  </si>
  <si>
    <t>E14001229</t>
  </si>
  <si>
    <t>Erith and Thamesmead</t>
  </si>
  <si>
    <t>E14001236</t>
  </si>
  <si>
    <t>Feltham and Heston</t>
  </si>
  <si>
    <t>E14001238</t>
  </si>
  <si>
    <t>Finchley and Golders Green</t>
  </si>
  <si>
    <t>E14001257</t>
  </si>
  <si>
    <t>Greenwich and Woolwich</t>
  </si>
  <si>
    <t>E14001259</t>
  </si>
  <si>
    <t>Hackney North and Stoke Newington</t>
  </si>
  <si>
    <t>E14001260</t>
  </si>
  <si>
    <t>Hackney South and Shoreditch</t>
  </si>
  <si>
    <t>E14001264</t>
  </si>
  <si>
    <t>Hammersmith and Chiswick</t>
  </si>
  <si>
    <t>E14001265</t>
  </si>
  <si>
    <t>Hampstead and Highgate</t>
  </si>
  <si>
    <t>E14001270</t>
  </si>
  <si>
    <t>Harrow East</t>
  </si>
  <si>
    <t>E14001271</t>
  </si>
  <si>
    <t>Harrow West</t>
  </si>
  <si>
    <t>E14001276</t>
  </si>
  <si>
    <t>Hayes and Harlington</t>
  </si>
  <si>
    <t>E14001279</t>
  </si>
  <si>
    <t>Hendon</t>
  </si>
  <si>
    <t>E14001290</t>
  </si>
  <si>
    <t>Holborn and St Pancras</t>
  </si>
  <si>
    <t>E14001292</t>
  </si>
  <si>
    <t>Hornchurch and Upminster</t>
  </si>
  <si>
    <t>E14001293</t>
  </si>
  <si>
    <t>Hornsey and Friern Barnet</t>
  </si>
  <si>
    <t>E14001300</t>
  </si>
  <si>
    <t>Ilford North</t>
  </si>
  <si>
    <t>E14001301</t>
  </si>
  <si>
    <t>Ilford South</t>
  </si>
  <si>
    <t>E14001305</t>
  </si>
  <si>
    <t>Islington North</t>
  </si>
  <si>
    <t>E14001306</t>
  </si>
  <si>
    <t>Islington South and Finsbury</t>
  </si>
  <si>
    <t>E14001310</t>
  </si>
  <si>
    <t>Kensington and Bayswater</t>
  </si>
  <si>
    <t>E14001312</t>
  </si>
  <si>
    <t>Kingston and Surbiton</t>
  </si>
  <si>
    <t>E14001331</t>
  </si>
  <si>
    <t>Lewisham East</t>
  </si>
  <si>
    <t>E14001332</t>
  </si>
  <si>
    <t>Lewisham North</t>
  </si>
  <si>
    <t>E14001333</t>
  </si>
  <si>
    <t>Lewisham West and East Dulwich</t>
  </si>
  <si>
    <t>E14001334</t>
  </si>
  <si>
    <t>Leyton and Wanstead</t>
  </si>
  <si>
    <t>E14001371</t>
  </si>
  <si>
    <t>Mitcham and Morden</t>
  </si>
  <si>
    <t>E14001414</t>
  </si>
  <si>
    <t>Old Bexley and Sidcup</t>
  </si>
  <si>
    <t>E14001417</t>
  </si>
  <si>
    <t>Orpington</t>
  </si>
  <si>
    <t>E14001421</t>
  </si>
  <si>
    <t>Peckham</t>
  </si>
  <si>
    <t>E14001430</t>
  </si>
  <si>
    <t>Poplar and Limehouse</t>
  </si>
  <si>
    <t>E14001434</t>
  </si>
  <si>
    <t>Putney</t>
  </si>
  <si>
    <t>E14001435</t>
  </si>
  <si>
    <t>Queen's Park and Maida Vale</t>
  </si>
  <si>
    <t>E14001445</t>
  </si>
  <si>
    <t>Richmond Park</t>
  </si>
  <si>
    <t>E14001448</t>
  </si>
  <si>
    <t>Romford</t>
  </si>
  <si>
    <t>E14001454</t>
  </si>
  <si>
    <t>Ruislip, Northwood and Pinner</t>
  </si>
  <si>
    <t>E14001503</t>
  </si>
  <si>
    <t>Southgate and Wood Green</t>
  </si>
  <si>
    <t>E14001525</t>
  </si>
  <si>
    <t>Stratford and Bow</t>
  </si>
  <si>
    <t>E14001527</t>
  </si>
  <si>
    <t>Streatham and Croydon North</t>
  </si>
  <si>
    <t>E14001534</t>
  </si>
  <si>
    <t>Sutton and Cheam</t>
  </si>
  <si>
    <t>E14001550</t>
  </si>
  <si>
    <t>Tooting</t>
  </si>
  <si>
    <t>E14001553</t>
  </si>
  <si>
    <t>Tottenham</t>
  </si>
  <si>
    <t>E14001556</t>
  </si>
  <si>
    <t>Twickenham</t>
  </si>
  <si>
    <t>E14001558</t>
  </si>
  <si>
    <t>Uxbridge and South Ruislip</t>
  </si>
  <si>
    <t>E14001559</t>
  </si>
  <si>
    <t>Vauxhall and Camberwell Green</t>
  </si>
  <si>
    <t>E14001563</t>
  </si>
  <si>
    <t>Walthamstow</t>
  </si>
  <si>
    <t>E14001576</t>
  </si>
  <si>
    <t>West Ham and Beckton</t>
  </si>
  <si>
    <t>E14001586</t>
  </si>
  <si>
    <t>Wimbledon</t>
  </si>
  <si>
    <t>E12000008</t>
  </si>
  <si>
    <t>South East</t>
  </si>
  <si>
    <t>E14001063</t>
  </si>
  <si>
    <t>Aldershot</t>
  </si>
  <si>
    <t>E14001067</t>
  </si>
  <si>
    <t>Arundel and South Downs</t>
  </si>
  <si>
    <t>E14001069</t>
  </si>
  <si>
    <t>Ashford</t>
  </si>
  <si>
    <t>E14001071</t>
  </si>
  <si>
    <t>Aylesbury</t>
  </si>
  <si>
    <t>E14001072</t>
  </si>
  <si>
    <t>Banbury</t>
  </si>
  <si>
    <t>E14001078</t>
  </si>
  <si>
    <t>Basingstoke</t>
  </si>
  <si>
    <t>E14001082</t>
  </si>
  <si>
    <t>Beaconsfield</t>
  </si>
  <si>
    <t>E14001088</t>
  </si>
  <si>
    <t>Bexhill and Battle</t>
  </si>
  <si>
    <t>E14001090</t>
  </si>
  <si>
    <t>Bicester and Woodstock</t>
  </si>
  <si>
    <t>E14001108</t>
  </si>
  <si>
    <t>Bognor Regis and Littlehampton</t>
  </si>
  <si>
    <t>E14001117</t>
  </si>
  <si>
    <t>Bracknell</t>
  </si>
  <si>
    <t>E14001129</t>
  </si>
  <si>
    <t>Brighton Kemptown and Peacehaven</t>
  </si>
  <si>
    <t>E14001130</t>
  </si>
  <si>
    <t>Brighton Pavilion</t>
  </si>
  <si>
    <t>E14001141</t>
  </si>
  <si>
    <t>Buckingham and Bletchley</t>
  </si>
  <si>
    <t>E14001151</t>
  </si>
  <si>
    <t>Canterbury</t>
  </si>
  <si>
    <t>E14001157</t>
  </si>
  <si>
    <t>Chatham and Aylesford</t>
  </si>
  <si>
    <t>E14001162</t>
  </si>
  <si>
    <t>Chesham and Amersham</t>
  </si>
  <si>
    <t>E14001166</t>
  </si>
  <si>
    <t>Chichester</t>
  </si>
  <si>
    <t>E14001184</t>
  </si>
  <si>
    <t>Crawley</t>
  </si>
  <si>
    <t>E14001191</t>
  </si>
  <si>
    <t>Dartford</t>
  </si>
  <si>
    <t>E14001197</t>
  </si>
  <si>
    <t>Didcot and Wantage</t>
  </si>
  <si>
    <t>E14001201</t>
  </si>
  <si>
    <t>Dorking and Horley</t>
  </si>
  <si>
    <t>E14001202</t>
  </si>
  <si>
    <t>Dover and Deal</t>
  </si>
  <si>
    <t>E14001210</t>
  </si>
  <si>
    <t>Earley and Woodley</t>
  </si>
  <si>
    <t>E14001212</t>
  </si>
  <si>
    <t>East Grinstead and Uckfield</t>
  </si>
  <si>
    <t>E14001214</t>
  </si>
  <si>
    <t>East Hampshire</t>
  </si>
  <si>
    <t>E14001215</t>
  </si>
  <si>
    <t>East Surrey</t>
  </si>
  <si>
    <t>E14001216</t>
  </si>
  <si>
    <t>East Thanet</t>
  </si>
  <si>
    <t>E14001218</t>
  </si>
  <si>
    <t>East Worthing and Shoreham</t>
  </si>
  <si>
    <t>E14001219</t>
  </si>
  <si>
    <t>Eastbourne</t>
  </si>
  <si>
    <t>E14001220</t>
  </si>
  <si>
    <t>Eastleigh</t>
  </si>
  <si>
    <t>E14001227</t>
  </si>
  <si>
    <t>Epsom and Ewell</t>
  </si>
  <si>
    <t>E14001230</t>
  </si>
  <si>
    <t>Esher and Walton</t>
  </si>
  <si>
    <t>E14001233</t>
  </si>
  <si>
    <t>Fareham and Waterlooville</t>
  </si>
  <si>
    <t>E14001234</t>
  </si>
  <si>
    <t>Farnham and Bordon</t>
  </si>
  <si>
    <t>E14001235</t>
  </si>
  <si>
    <t>Faversham and Mid Kent</t>
  </si>
  <si>
    <t>E14001239</t>
  </si>
  <si>
    <t>Folkestone and Hythe</t>
  </si>
  <si>
    <t>E14001246</t>
  </si>
  <si>
    <t>Gillingham and Rainham</t>
  </si>
  <si>
    <t>E14001249</t>
  </si>
  <si>
    <t>Godalming and Ash</t>
  </si>
  <si>
    <t>E14001252</t>
  </si>
  <si>
    <t>Gosport</t>
  </si>
  <si>
    <t>E14001254</t>
  </si>
  <si>
    <t>Gravesham</t>
  </si>
  <si>
    <t>E14001258</t>
  </si>
  <si>
    <t>Guildford</t>
  </si>
  <si>
    <t>E14001263</t>
  </si>
  <si>
    <t>Hamble Valley</t>
  </si>
  <si>
    <t>E14001274</t>
  </si>
  <si>
    <t>Hastings and Rye</t>
  </si>
  <si>
    <t>E14001275</t>
  </si>
  <si>
    <t>Havant</t>
  </si>
  <si>
    <t>E14001280</t>
  </si>
  <si>
    <t>Henley and Thame</t>
  </si>
  <si>
    <t>E14001282</t>
  </si>
  <si>
    <t>Herne Bay and Sandwich</t>
  </si>
  <si>
    <t>E14001294</t>
  </si>
  <si>
    <t>Horsham</t>
  </si>
  <si>
    <t>E14001296</t>
  </si>
  <si>
    <t>Hove and Portslade</t>
  </si>
  <si>
    <t>E14001303</t>
  </si>
  <si>
    <t>Isle of Wight East</t>
  </si>
  <si>
    <t>E14001304</t>
  </si>
  <si>
    <t>Isle of Wight West</t>
  </si>
  <si>
    <t>E14001330</t>
  </si>
  <si>
    <t>Lewes</t>
  </si>
  <si>
    <t>E14001348</t>
  </si>
  <si>
    <t>Maidenhead</t>
  </si>
  <si>
    <t>E14001349</t>
  </si>
  <si>
    <t>Maidstone and Malling</t>
  </si>
  <si>
    <t>E14001360</t>
  </si>
  <si>
    <t>Mid Buckinghamshire</t>
  </si>
  <si>
    <t>E14001366</t>
  </si>
  <si>
    <t>Mid Sussex</t>
  </si>
  <si>
    <t>E14001369</t>
  </si>
  <si>
    <t>Milton Keynes Central</t>
  </si>
  <si>
    <t>E14001370</t>
  </si>
  <si>
    <t>Milton Keynes North</t>
  </si>
  <si>
    <t>E14001373</t>
  </si>
  <si>
    <t>New Forest East</t>
  </si>
  <si>
    <t>E14001374</t>
  </si>
  <si>
    <t>New Forest West</t>
  </si>
  <si>
    <t>E14001376</t>
  </si>
  <si>
    <t>Newbury</t>
  </si>
  <si>
    <t>E14001392</t>
  </si>
  <si>
    <t>North East Hampshire</t>
  </si>
  <si>
    <t>E14001403</t>
  </si>
  <si>
    <t>North West Hampshire</t>
  </si>
  <si>
    <t>E14001419</t>
  </si>
  <si>
    <t>Oxford East</t>
  </si>
  <si>
    <t>E14001420</t>
  </si>
  <si>
    <t>Oxford West and Abingdon</t>
  </si>
  <si>
    <t>E14001431</t>
  </si>
  <si>
    <t>Portsmouth North</t>
  </si>
  <si>
    <t>E14001432</t>
  </si>
  <si>
    <t>Portsmouth South</t>
  </si>
  <si>
    <t>E14001438</t>
  </si>
  <si>
    <t>Reading Central</t>
  </si>
  <si>
    <t>E14001439</t>
  </si>
  <si>
    <t>Reading West and Mid Berkshire</t>
  </si>
  <si>
    <t>E14001442</t>
  </si>
  <si>
    <t>Reigate</t>
  </si>
  <si>
    <t>E14001447</t>
  </si>
  <si>
    <t>Rochester and Strood</t>
  </si>
  <si>
    <t>E14001449</t>
  </si>
  <si>
    <t>Romsey and Southampton North</t>
  </si>
  <si>
    <t>E14001456</t>
  </si>
  <si>
    <t>Runnymede and Weybridge</t>
  </si>
  <si>
    <t>E14001465</t>
  </si>
  <si>
    <t>Sevenoaks</t>
  </si>
  <si>
    <t>E14001474</t>
  </si>
  <si>
    <t>Sittingbourne and Sheppey</t>
  </si>
  <si>
    <t>E14001477</t>
  </si>
  <si>
    <t>Slough</t>
  </si>
  <si>
    <t>E14001499</t>
  </si>
  <si>
    <t>Southampton Itchen</t>
  </si>
  <si>
    <t>E14001500</t>
  </si>
  <si>
    <t>Southampton Test</t>
  </si>
  <si>
    <t>E14001505</t>
  </si>
  <si>
    <t>Spelthorne</t>
  </si>
  <si>
    <t>E14001532</t>
  </si>
  <si>
    <t>Surrey Heath</t>
  </si>
  <si>
    <t>E14001533</t>
  </si>
  <si>
    <t>Sussex Weald</t>
  </si>
  <si>
    <t>E14001549</t>
  </si>
  <si>
    <t>Tonbridge</t>
  </si>
  <si>
    <t>E14001555</t>
  </si>
  <si>
    <t>Tunbridge Wells</t>
  </si>
  <si>
    <t>E14001570</t>
  </si>
  <si>
    <t>Weald of Kent</t>
  </si>
  <si>
    <t>E14001587</t>
  </si>
  <si>
    <t>Winchester</t>
  </si>
  <si>
    <t>E14001588</t>
  </si>
  <si>
    <t>Windsor</t>
  </si>
  <si>
    <t>E14001591</t>
  </si>
  <si>
    <t>Witney</t>
  </si>
  <si>
    <t>E14001592</t>
  </si>
  <si>
    <t>Woking</t>
  </si>
  <si>
    <t>E14001593</t>
  </si>
  <si>
    <t>Wokingham</t>
  </si>
  <si>
    <t>E14001599</t>
  </si>
  <si>
    <t>Worthing West</t>
  </si>
  <si>
    <t>E14001600</t>
  </si>
  <si>
    <t>Wycombe</t>
  </si>
  <si>
    <t>E12000009</t>
  </si>
  <si>
    <t>South West</t>
  </si>
  <si>
    <t>E14001080</t>
  </si>
  <si>
    <t>Bath</t>
  </si>
  <si>
    <t>E14001115</t>
  </si>
  <si>
    <t>Bournemouth East</t>
  </si>
  <si>
    <t>E14001116</t>
  </si>
  <si>
    <t>Bournemouth West</t>
  </si>
  <si>
    <t>E14001126</t>
  </si>
  <si>
    <t>Bridgwater</t>
  </si>
  <si>
    <t>E14001131</t>
  </si>
  <si>
    <t>Bristol Central</t>
  </si>
  <si>
    <t>E14001132</t>
  </si>
  <si>
    <t>Bristol East</t>
  </si>
  <si>
    <t>E14001133</t>
  </si>
  <si>
    <t>Bristol North East</t>
  </si>
  <si>
    <t>E14001134</t>
  </si>
  <si>
    <t>Bristol North West</t>
  </si>
  <si>
    <t>E14001135</t>
  </si>
  <si>
    <t>Bristol South</t>
  </si>
  <si>
    <t>E14001148</t>
  </si>
  <si>
    <t>Camborne and Redruth</t>
  </si>
  <si>
    <t>E14001155</t>
  </si>
  <si>
    <t>Central Devon</t>
  </si>
  <si>
    <t>E14001161</t>
  </si>
  <si>
    <t>Cheltenham</t>
  </si>
  <si>
    <t>E14001168</t>
  </si>
  <si>
    <t>Chippenham</t>
  </si>
  <si>
    <t>E14001171</t>
  </si>
  <si>
    <t>Christchurch</t>
  </si>
  <si>
    <t>E14001217</t>
  </si>
  <si>
    <t>East Wiltshire</t>
  </si>
  <si>
    <t>E14001231</t>
  </si>
  <si>
    <t>Exeter</t>
  </si>
  <si>
    <t>E14001232</t>
  </si>
  <si>
    <t>Exmouth and Exeter East</t>
  </si>
  <si>
    <t>E14001237</t>
  </si>
  <si>
    <t>Filton and Bradley Stoke</t>
  </si>
  <si>
    <t>E14001240</t>
  </si>
  <si>
    <t>Forest of Dean</t>
  </si>
  <si>
    <t>E14001241</t>
  </si>
  <si>
    <t>Frome and East Somerset</t>
  </si>
  <si>
    <t>E14001247</t>
  </si>
  <si>
    <t>Glastonbury and Somerton</t>
  </si>
  <si>
    <t>E14001248</t>
  </si>
  <si>
    <t>Gloucester</t>
  </si>
  <si>
    <t>E14001291</t>
  </si>
  <si>
    <t>Honiton and Sidmouth</t>
  </si>
  <si>
    <t>E14001356</t>
  </si>
  <si>
    <t>Melksham and Devizes</t>
  </si>
  <si>
    <t>E14001363</t>
  </si>
  <si>
    <t>Mid Dorset and North Poole</t>
  </si>
  <si>
    <t>E14001381</t>
  </si>
  <si>
    <t>Newton Abbot</t>
  </si>
  <si>
    <t>E14001385</t>
  </si>
  <si>
    <t>North Cornwall</t>
  </si>
  <si>
    <t>E14001386</t>
  </si>
  <si>
    <t>North Cotswolds</t>
  </si>
  <si>
    <t>E14001387</t>
  </si>
  <si>
    <t>North Devon</t>
  </si>
  <si>
    <t>E14001388</t>
  </si>
  <si>
    <t>North Dorset</t>
  </si>
  <si>
    <t>E14001394</t>
  </si>
  <si>
    <t>North East Somerset and Hanham</t>
  </si>
  <si>
    <t>E14001399</t>
  </si>
  <si>
    <t>North Somerset</t>
  </si>
  <si>
    <t>E14001426</t>
  </si>
  <si>
    <t>Plymouth Moor View</t>
  </si>
  <si>
    <t>E14001427</t>
  </si>
  <si>
    <t>Plymouth Sutton and Devonport</t>
  </si>
  <si>
    <t>E14001429</t>
  </si>
  <si>
    <t>Poole</t>
  </si>
  <si>
    <t>E14001460</t>
  </si>
  <si>
    <t>Salisbury</t>
  </si>
  <si>
    <t>E14001482</t>
  </si>
  <si>
    <t>South Cotswolds</t>
  </si>
  <si>
    <t>E14001484</t>
  </si>
  <si>
    <t>South Devon</t>
  </si>
  <si>
    <t>E14001485</t>
  </si>
  <si>
    <t>South Dorset</t>
  </si>
  <si>
    <t>E14001486</t>
  </si>
  <si>
    <t>South East Cornwall</t>
  </si>
  <si>
    <t>E14001495</t>
  </si>
  <si>
    <t>South West Devon</t>
  </si>
  <si>
    <t>E14001498</t>
  </si>
  <si>
    <t>South West Wiltshire</t>
  </si>
  <si>
    <t>E14001508</t>
  </si>
  <si>
    <t>St Austell and Newquay</t>
  </si>
  <si>
    <t>E14001511</t>
  </si>
  <si>
    <t>St Ives</t>
  </si>
  <si>
    <t>E14001529</t>
  </si>
  <si>
    <t>Stroud</t>
  </si>
  <si>
    <t>E14001536</t>
  </si>
  <si>
    <t>Swindon North</t>
  </si>
  <si>
    <t>E14001537</t>
  </si>
  <si>
    <t>Swindon South</t>
  </si>
  <si>
    <t>E14001540</t>
  </si>
  <si>
    <t>Taunton and Wellington</t>
  </si>
  <si>
    <t>E14001542</t>
  </si>
  <si>
    <t>Tewkesbury</t>
  </si>
  <si>
    <t>E14001545</t>
  </si>
  <si>
    <t>Thornbury and Yate</t>
  </si>
  <si>
    <t>E14001548</t>
  </si>
  <si>
    <t>Tiverton and Minehead</t>
  </si>
  <si>
    <t>E14001551</t>
  </si>
  <si>
    <t>Torbay</t>
  </si>
  <si>
    <t>E14001552</t>
  </si>
  <si>
    <t>Torridge and Tavistock</t>
  </si>
  <si>
    <t>E14001554</t>
  </si>
  <si>
    <t>Truro and Falmouth</t>
  </si>
  <si>
    <t>E14001572</t>
  </si>
  <si>
    <t>Wells and Mendip Hills</t>
  </si>
  <si>
    <t>E14001575</t>
  </si>
  <si>
    <t>West Dorset</t>
  </si>
  <si>
    <t>E14001581</t>
  </si>
  <si>
    <t>Weston-Super-Mare</t>
  </si>
  <si>
    <t>E14001603</t>
  </si>
  <si>
    <t>Yeovil</t>
  </si>
  <si>
    <t>W92000004</t>
  </si>
  <si>
    <t>Wales</t>
  </si>
  <si>
    <t>W07000081</t>
  </si>
  <si>
    <t>Aberafan Maesteg</t>
  </si>
  <si>
    <t>W07000082</t>
  </si>
  <si>
    <t>Alyn and Deeside</t>
  </si>
  <si>
    <t>W07000083</t>
  </si>
  <si>
    <t>Bangor Aberconwy</t>
  </si>
  <si>
    <t>W07000084</t>
  </si>
  <si>
    <t>Blaenau Gwent and Rhymney</t>
  </si>
  <si>
    <t>W07000085</t>
  </si>
  <si>
    <t>Brecon, Radnor and Cwm Tawe</t>
  </si>
  <si>
    <t>W07000086</t>
  </si>
  <si>
    <t>Bridgend</t>
  </si>
  <si>
    <t>W07000087</t>
  </si>
  <si>
    <t>Caerfyrddin</t>
  </si>
  <si>
    <t>W07000088</t>
  </si>
  <si>
    <t>Caerphilly</t>
  </si>
  <si>
    <t>W07000089</t>
  </si>
  <si>
    <t>Cardiff East</t>
  </si>
  <si>
    <t>W07000090</t>
  </si>
  <si>
    <t>Cardiff North</t>
  </si>
  <si>
    <t>W07000091</t>
  </si>
  <si>
    <t>Cardiff South and Penarth</t>
  </si>
  <si>
    <t>W07000092</t>
  </si>
  <si>
    <t>Cardiff West</t>
  </si>
  <si>
    <t>W07000093</t>
  </si>
  <si>
    <t>Ceredigion Preseli</t>
  </si>
  <si>
    <t>W07000094</t>
  </si>
  <si>
    <t>Clwyd East</t>
  </si>
  <si>
    <t>W07000095</t>
  </si>
  <si>
    <t>Clwyd North</t>
  </si>
  <si>
    <t>W07000096</t>
  </si>
  <si>
    <t>Dwyfor Meirionnydd</t>
  </si>
  <si>
    <t>W07000097</t>
  </si>
  <si>
    <t>Gower</t>
  </si>
  <si>
    <t>W07000098</t>
  </si>
  <si>
    <t>Llanelli</t>
  </si>
  <si>
    <t>W07000099</t>
  </si>
  <si>
    <t>Merthyr Tydfil and Aberdare</t>
  </si>
  <si>
    <t>W07000100</t>
  </si>
  <si>
    <t>Mid and South Pembrokeshire</t>
  </si>
  <si>
    <t>W07000101</t>
  </si>
  <si>
    <t>Monmouthshire</t>
  </si>
  <si>
    <t>W07000102</t>
  </si>
  <si>
    <t>Montgomeryshire and Glyndwr</t>
  </si>
  <si>
    <t>W07000103</t>
  </si>
  <si>
    <t>Neath and Swansea East</t>
  </si>
  <si>
    <t>W07000104</t>
  </si>
  <si>
    <t>Newport East</t>
  </si>
  <si>
    <t>W07000105</t>
  </si>
  <si>
    <t>Newport West and Islwyn</t>
  </si>
  <si>
    <t>W07000106</t>
  </si>
  <si>
    <t>Pontypridd</t>
  </si>
  <si>
    <t>W07000107</t>
  </si>
  <si>
    <t>Rhondda and Ogmore</t>
  </si>
  <si>
    <t>W07000108</t>
  </si>
  <si>
    <t>Swansea West</t>
  </si>
  <si>
    <t>W07000109</t>
  </si>
  <si>
    <t>Torfaen</t>
  </si>
  <si>
    <t>W07000110</t>
  </si>
  <si>
    <t>Vale of Glamorgan</t>
  </si>
  <si>
    <t>W07000111</t>
  </si>
  <si>
    <t>Wrexham</t>
  </si>
  <si>
    <t>W07000112</t>
  </si>
  <si>
    <t>Ynys Môn</t>
  </si>
  <si>
    <t>S92000003</t>
  </si>
  <si>
    <t>Scotland</t>
  </si>
  <si>
    <t>S14000060</t>
  </si>
  <si>
    <t>Aberdeen North</t>
  </si>
  <si>
    <t>S14000061</t>
  </si>
  <si>
    <t>Aberdeen South</t>
  </si>
  <si>
    <t>S14000062</t>
  </si>
  <si>
    <t>Aberdeenshire North and Moray East</t>
  </si>
  <si>
    <t>S14000063</t>
  </si>
  <si>
    <t>Airdrie and Shotts</t>
  </si>
  <si>
    <t>S14000064</t>
  </si>
  <si>
    <t>Alloa and Grangemouth</t>
  </si>
  <si>
    <t>S14000065</t>
  </si>
  <si>
    <t>Angus and Perthshire Glens</t>
  </si>
  <si>
    <t>S14000066</t>
  </si>
  <si>
    <t>Arbroath and Broughty Ferry</t>
  </si>
  <si>
    <t>S14000067</t>
  </si>
  <si>
    <t>Argyll, Bute and South Lochaber</t>
  </si>
  <si>
    <t>S14000107</t>
  </si>
  <si>
    <t>Ayr, Carrick and Cumnock</t>
  </si>
  <si>
    <t>S14000068</t>
  </si>
  <si>
    <t>Bathgate and Linlithgow</t>
  </si>
  <si>
    <t>S14000108</t>
  </si>
  <si>
    <t>Berwickshire, Roxburgh and Selkirk</t>
  </si>
  <si>
    <t>S14000069</t>
  </si>
  <si>
    <t>Caithness, Sutherland and Easter Ross</t>
  </si>
  <si>
    <t>S14000109</t>
  </si>
  <si>
    <t>Central Ayrshire</t>
  </si>
  <si>
    <t>S14000070</t>
  </si>
  <si>
    <t>Coatbridge and Bellshill</t>
  </si>
  <si>
    <t>S14000071</t>
  </si>
  <si>
    <t>Cowdenbeath and Kirkcaldy</t>
  </si>
  <si>
    <t>S14000072</t>
  </si>
  <si>
    <t>Cumbernauld and Kirkintilloch</t>
  </si>
  <si>
    <t>S14000073</t>
  </si>
  <si>
    <t>Dumfries and Galloway</t>
  </si>
  <si>
    <t>S14000074</t>
  </si>
  <si>
    <t>Dumfriesshire, Clydesdale and Tweeddale</t>
  </si>
  <si>
    <t>S14000075</t>
  </si>
  <si>
    <t>Dundee Central</t>
  </si>
  <si>
    <t>S14000076</t>
  </si>
  <si>
    <t>Dunfermline and Dollar</t>
  </si>
  <si>
    <t>S14000077</t>
  </si>
  <si>
    <t>East Kilbride and Strathaven</t>
  </si>
  <si>
    <t>S14000021</t>
  </si>
  <si>
    <t>East Renfrewshire</t>
  </si>
  <si>
    <t>S14000078</t>
  </si>
  <si>
    <t>Edinburgh East and Musselburgh</t>
  </si>
  <si>
    <t>S14000079</t>
  </si>
  <si>
    <t>Edinburgh North and Leith</t>
  </si>
  <si>
    <t>S14000080</t>
  </si>
  <si>
    <t>Edinburgh South</t>
  </si>
  <si>
    <t>S14000081</t>
  </si>
  <si>
    <t>Edinburgh South West</t>
  </si>
  <si>
    <t>S14000082</t>
  </si>
  <si>
    <t>Edinburgh West</t>
  </si>
  <si>
    <t>S14000083</t>
  </si>
  <si>
    <t>Falkirk</t>
  </si>
  <si>
    <t>S14000084</t>
  </si>
  <si>
    <t>Glasgow East</t>
  </si>
  <si>
    <t>S14000085</t>
  </si>
  <si>
    <t>Glasgow North</t>
  </si>
  <si>
    <t>S14000086</t>
  </si>
  <si>
    <t>Glasgow North East</t>
  </si>
  <si>
    <t>S14000087</t>
  </si>
  <si>
    <t>Glasgow South</t>
  </si>
  <si>
    <t>S14000088</t>
  </si>
  <si>
    <t>Glasgow South West</t>
  </si>
  <si>
    <t>S14000089</t>
  </si>
  <si>
    <t>Glasgow West</t>
  </si>
  <si>
    <t>S14000090</t>
  </si>
  <si>
    <t>Glenrothes and Mid Fife</t>
  </si>
  <si>
    <t>S14000091</t>
  </si>
  <si>
    <t>Gordon and Buchan</t>
  </si>
  <si>
    <t>S14000092</t>
  </si>
  <si>
    <t>Hamilton and Clyde Valley</t>
  </si>
  <si>
    <t>S14000093</t>
  </si>
  <si>
    <t>Inverclyde and Renfrewshire West</t>
  </si>
  <si>
    <t>S14000094</t>
  </si>
  <si>
    <t>Inverness, Skye and West Ross-shire</t>
  </si>
  <si>
    <t>S14000110</t>
  </si>
  <si>
    <t>Kilmarnock and Loudoun</t>
  </si>
  <si>
    <t>S14000095</t>
  </si>
  <si>
    <t>Livingston</t>
  </si>
  <si>
    <t>S14000096</t>
  </si>
  <si>
    <t>Lothian East</t>
  </si>
  <si>
    <t>S14000097</t>
  </si>
  <si>
    <t>Mid Dunbartonshire</t>
  </si>
  <si>
    <t>S14000045</t>
  </si>
  <si>
    <t>Midlothian</t>
  </si>
  <si>
    <t>S14000098</t>
  </si>
  <si>
    <t>Moray West, Nairn and Strathspey</t>
  </si>
  <si>
    <t>S14000099</t>
  </si>
  <si>
    <t>Motherwell, Wishaw and Carluke</t>
  </si>
  <si>
    <t>S14000027</t>
  </si>
  <si>
    <t>Na h-Eileanan an Iar</t>
  </si>
  <si>
    <t>S14000048</t>
  </si>
  <si>
    <t>North Ayrshire and Arran</t>
  </si>
  <si>
    <t>S14000100</t>
  </si>
  <si>
    <t>North East Fife</t>
  </si>
  <si>
    <t>S14000051</t>
  </si>
  <si>
    <t>Orkney and Shetland</t>
  </si>
  <si>
    <t>S14000101</t>
  </si>
  <si>
    <t>Paisley and Renfrewshire North</t>
  </si>
  <si>
    <t>S14000102</t>
  </si>
  <si>
    <t>Paisley and Renfrewshire South</t>
  </si>
  <si>
    <t>S14000103</t>
  </si>
  <si>
    <t>Perth and Kinross-shire</t>
  </si>
  <si>
    <t>S14000104</t>
  </si>
  <si>
    <t>Rutherglen</t>
  </si>
  <si>
    <t>S14000105</t>
  </si>
  <si>
    <t>Stirling and Strathallan</t>
  </si>
  <si>
    <t>S14000111</t>
  </si>
  <si>
    <t>West Aberdeenshire and Kincardine</t>
  </si>
  <si>
    <t>S14000106</t>
  </si>
  <si>
    <t>West Dunbartonshire</t>
  </si>
  <si>
    <t>N92000002</t>
  </si>
  <si>
    <t>Northern Ireland</t>
  </si>
  <si>
    <t>N05000001</t>
  </si>
  <si>
    <t>Belfast East</t>
  </si>
  <si>
    <t>N05000002</t>
  </si>
  <si>
    <t>Belfast North</t>
  </si>
  <si>
    <t>N05000003</t>
  </si>
  <si>
    <t>Belfast South and Mid Down</t>
  </si>
  <si>
    <t>N05000004</t>
  </si>
  <si>
    <t>Belfast West</t>
  </si>
  <si>
    <t>N05000005</t>
  </si>
  <si>
    <t>East Antrim</t>
  </si>
  <si>
    <t>N05000006</t>
  </si>
  <si>
    <t>East Londonderry</t>
  </si>
  <si>
    <t>N05000007</t>
  </si>
  <si>
    <t>Fermanagh and South Tyrone</t>
  </si>
  <si>
    <t>N05000008</t>
  </si>
  <si>
    <t>Foyle</t>
  </si>
  <si>
    <t>N05000009</t>
  </si>
  <si>
    <t>Lagan Valley</t>
  </si>
  <si>
    <t>N05000010</t>
  </si>
  <si>
    <t>Mid Ulster</t>
  </si>
  <si>
    <t>N05000011</t>
  </si>
  <si>
    <t>Newry and Armagh</t>
  </si>
  <si>
    <t>N05000012</t>
  </si>
  <si>
    <t>North Antrim</t>
  </si>
  <si>
    <t>N05000013</t>
  </si>
  <si>
    <t>North Down</t>
  </si>
  <si>
    <t>N05000014</t>
  </si>
  <si>
    <t>South Antrim</t>
  </si>
  <si>
    <t>N05000015</t>
  </si>
  <si>
    <t>South Down</t>
  </si>
  <si>
    <t>N05000016</t>
  </si>
  <si>
    <t>Strangford</t>
  </si>
  <si>
    <t>N05000017</t>
  </si>
  <si>
    <t>Upper Bann</t>
  </si>
  <si>
    <t>N05000018</t>
  </si>
  <si>
    <t>West Tyrone</t>
  </si>
  <si>
    <t>Nov
2025</t>
  </si>
  <si>
    <t>0 to &lt; 4 kW</t>
  </si>
  <si>
    <t>5 ≤ to &lt; 25 MW</t>
  </si>
  <si>
    <t>10 ≤ to &lt; 50 kW</t>
  </si>
  <si>
    <t>4 ≤ to &lt; 10 kW</t>
  </si>
  <si>
    <t>50 kW ≤ to &lt; 5 MW</t>
  </si>
  <si>
    <r>
      <rPr>
        <sz val="12"/>
        <color rgb="FF000000"/>
        <rFont val="Aptos Narrow"/>
        <family val="2"/>
      </rPr>
      <t>≥</t>
    </r>
    <r>
      <rPr>
        <sz val="12"/>
        <color rgb="FF000000"/>
        <rFont val="Calibri"/>
        <family val="2"/>
      </rPr>
      <t xml:space="preserve"> 25 MW</t>
    </r>
  </si>
  <si>
    <t>Dec
2025</t>
  </si>
  <si>
    <t>Jan
2026</t>
  </si>
  <si>
    <t>After a sharp drop in April 2020 due to Covid-19 lockdown measures, the number of installations recovered by the second half of 2020 and gradually exceeded pre-pandemic levels. Between the closure of RO to new entrants in 2016 and 2021, the median number of new monthly installations was around 3,000 per month. The median over the past 12 months is over 23,000 installations per month.</t>
  </si>
  <si>
    <t>Note 9</t>
  </si>
  <si>
    <t>Parliamentary constituencies, as published by ONS, which were used in the July 2024 General Election.</t>
  </si>
  <si>
    <t>There are a number of different dates that can be used for aggregating FiT scale installations.  These figures are based on the commissioning date of MCS/ROOFIT accredited sites.  These will differ from the statistics published by Ofgem for the CAPs mechanism, which are produced according to when a site applied for ROOFIT accreditation or was registered with MCS. There is a time lag between when an installation is commissioned, accredited for ROOFIT (or registered on MCS), and confirmed on the FIT scheme, which can vary for each installation.</t>
  </si>
  <si>
    <t>Feb
2026</t>
  </si>
  <si>
    <t xml:space="preserve">This publication includes solar installations reported in our own survey of Major Power Producers (MPP), the Renewable Energy Planning Database (REPD), the Microgeneration Certification Scheme database (MCS) and those subsidised by the Renewables Obligation, Feed-in Tariff, and Contracts for Difference. In addition, several plants from Distribution Network Operators (DNO) embedded capacity registers and from Ofgem's REGO (Renewable Energy Guarantee of Origin) dataset are included. However, the statistics do not currently include all unsubsidised solar installations below 150 kW capacity that are not recorded in these data sources. We are reviewing data sources to improve coverage and intend to make use of data from other sources when available.
In this publication, the main version of Table 1 uses the new breakdown of the capacity ranges. See the Cover Sheet for more details. 
</t>
  </si>
  <si>
    <t>Table 1 includes the total number of domestic installations and their combined capacity. These are any installations that are recorded as being on domestic properties by the Microgeneration Certification Scheme (MCS) or Ofgem in the Central FiTs Register (CFR). In addition, Table 3 breaks down the domestic total by parliamentary constituency.</t>
  </si>
  <si>
    <t>Mar
2026</t>
  </si>
  <si>
    <t xml:space="preserve">
We are currently undertaking a review of our data sources. As part of this review, a small change was made in the October 2025 publication to the methodology to use Total Installed Capacity (TIC) for installations on the microgeneration scheme (MCS). In previous years, this data had not always been available therefore Declared Net Capacity (DNC) had been used. However, improvements to the MCS database have allowed us to make this change to bring it in line with our other data sources where we use the TIC where possible. 
Also in October 2025, a correction was made to remove 40,000 installations that had been wrongly recorded as solar PV in our underlying data. The net effect of these two changes was to add around 300 MW to capacity but to reduce from the number of installations by around 40,000 in October's publication. 
Since November 2025 we have been working with external partners to identify operational sites that have potentially not been notified to us through our regular channels. This work involves an array of checks to ensure that the potential additional sites are not in our existing data, under a different name, location or capacity. We have identified approximately 1.2 GW of additional capacity which was included in December's publication of these statistics. These statistics are subject to further revision as data sources are developed.
</t>
  </si>
  <si>
    <t>In Table 2, revisions may occur where a site is commissioned but not yet accredited on the Renewables Obligation (RO), the Central Feed-in-Tariff Register (CFR) or LCCC's Contracts for Difference (CfD) register until several months later. Such revisions are less common now that RO and FiTs have closed to new entrants.
As ever, please reach out to the contact details should you require further information on these changes.</t>
  </si>
  <si>
    <t>In February 2026, we revised the number of sites in Northern Ireland. A group of sites operated by the same organisation had previously been considered one site but are now reported as four individual sites in our Major Power Producer (MPP) survey. Similarly, two sites, also in Northern Ireland, had been included separately at 13.5 MW and 7 MW, but actually make up one 20.5 MW site. This has led to small changes in this publication to the number of installations in tables 1 and 2 for Northern Ireland, however capacity is not affected.
For the December 2025 publication, in response to user needs we added an additional version of Table 1 with a different breakdown of the capacity ranges. The new capacity ranges align better with eligibility criteria for Government schemes such as Contracts for Difference. For each range, the top boundary is moved into the next category. E.g. Currently the 50 kW to ≤ 5 MW includes 5 MW sites. Under the new ranges the 5 MW sites are instead included in the 5 ≤ to &lt; 25 MW band.</t>
  </si>
  <si>
    <t>Glossary and acronyms, DUKES Annex B (opens in a new window)</t>
  </si>
  <si>
    <t>Solar photovoltaics deployment by capacity band</t>
  </si>
  <si>
    <t xml:space="preserve">Table 1 - by Capacity </t>
  </si>
  <si>
    <t>Apr
2026</t>
  </si>
  <si>
    <t>Table 1 as published in April 2026</t>
  </si>
  <si>
    <t>Table 1 - Mar 26</t>
  </si>
  <si>
    <t>Domestic solar photovoltaic deployment by parliamentary constituency - May 2026 [note 8][note 9]</t>
  </si>
  <si>
    <t>May
2026</t>
  </si>
  <si>
    <t>Table 1 as published in May 2026</t>
  </si>
  <si>
    <t>Table 1 - Apr 26</t>
  </si>
  <si>
    <t>Over the course of 2025, a total of 269,000 installations came online, the most new installations in any calendar year. The 2.6 GW of new capacity added in 2025 was the highest annual figure since 2015 when 4.3 GW was added.</t>
  </si>
  <si>
    <t>Solar Photovoltaics deployment in the UK - June 2026</t>
  </si>
  <si>
    <r>
      <t xml:space="preserve">This data was published on </t>
    </r>
    <r>
      <rPr>
        <b/>
        <sz val="12"/>
        <color rgb="FF000000"/>
        <rFont val="Calibri"/>
        <family val="2"/>
      </rPr>
      <t>Thursday 30th July 2026</t>
    </r>
    <r>
      <rPr>
        <sz val="12"/>
        <color rgb="FF000000"/>
        <rFont val="Calibri"/>
        <family val="2"/>
      </rPr>
      <t xml:space="preserve">.
These tables will be updated on </t>
    </r>
    <r>
      <rPr>
        <b/>
        <sz val="12"/>
        <color rgb="FF000000"/>
        <rFont val="Calibri"/>
        <family val="2"/>
      </rPr>
      <t>Thursday 27th August 2026</t>
    </r>
    <r>
      <rPr>
        <sz val="12"/>
        <color rgb="FF000000"/>
        <rFont val="Calibri"/>
        <family val="2"/>
      </rPr>
      <t>.</t>
    </r>
  </si>
  <si>
    <r>
      <t xml:space="preserve">This spreadsheet contains monthly data including </t>
    </r>
    <r>
      <rPr>
        <b/>
        <sz val="12"/>
        <color rgb="FF000000"/>
        <rFont val="Calibri"/>
        <family val="2"/>
      </rPr>
      <t>new data for June 2026</t>
    </r>
    <r>
      <rPr>
        <sz val="12"/>
        <color rgb="FF000000"/>
        <rFont val="Calibri"/>
        <family val="2"/>
      </rPr>
      <t xml:space="preserve"> in Tables 1, 2, and 3.
In addition, the three most recent versions of Table 1 and the most recent version of Tables 2 and 3 are included in sheets towards the end of this file.</t>
    </r>
  </si>
  <si>
    <t>Domestic solar photovoltaic deployment by parliamentary constituency - June 2026 [note 8][note 9]</t>
  </si>
  <si>
    <t>Table 3 - May 26</t>
  </si>
  <si>
    <t>Table 2 - May 26</t>
  </si>
  <si>
    <t>Table 2 as published in June 2026</t>
  </si>
  <si>
    <t>Table 3 as published in June 2026</t>
  </si>
  <si>
    <t>Table 1 - May 26</t>
  </si>
  <si>
    <t>Table 1 as published in June 2026</t>
  </si>
  <si>
    <t>Jun
2026</t>
  </si>
  <si>
    <t>There are now more than two million solar installations in the UK. Provisionally, as of the end of June 2026 there is a total of 22.8 GW of solar capacity in the UK across 2,076,000 installations. This is an increase of 10.9% (2.2 GW) since June 2025. The capacity added over the last 12 months includes Cleve Hill solar farm in July 2025, at 373 MW, this is the largest operational solar farm in the UK.</t>
  </si>
  <si>
    <t>During June 2026, there were 27,391 installations, accounting for 132 MW of capacity. This is the second highest monthly installations on record, behind only March 2026. These numbers are subject to revision in future months.</t>
  </si>
  <si>
    <t>The bulk of Solar PV installations in the UK are domestic but they only account for 30% of the total capacity. Domestic's share of capacity dropped rapidly after the first years of FiT and remained around 25% since 2016. It has crept back up over the last three years, driven by a surge in solar PV installations. In June 2026, 18,000 of the new schemes were installed on a residential building, adding a total of 102 MW.</t>
  </si>
  <si>
    <t>At the end of June 2026, at least 38% of capacity (8.7 GW) came from ground-mounted or standalone solar installations. This includes 35 operational solar farms accredited on Contracts for Difference, 19 of which came online during 2025, and 14 in 2026. This number is expected to increase. In addition, around half of the "unaccredited" capacity is believed to be ground mount so that in total, ground-mount accounts for roughly 59% of total capacity.
Note, five sites gained accreditation on CfD in April 2026. However, these sites had been installed in previous months when they were recorded as "unaccredited". Therefore, there is a reduction in the total amount of unaccredited capacity in April.</t>
  </si>
  <si>
    <t>This spreadsheet is an Accredited Official Statistics publication, by the Department for Energy Security &amp; Net Zero (DESNZ).
The data presented are on capacity and the number of solar photovoltaic schemes installed in the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</si>
</sst>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0.0"/>
    <numFmt numFmtId="165" formatCode="&quot; &quot;* #,##0.0&quot; &quot;;&quot;-&quot;* #,##0.0&quot; &quot;;&quot; &quot;* &quot;-&quot;#&quot; &quot;;&quot; &quot;@&quot; &quot;"/>
    <numFmt numFmtId="166" formatCode="&quot; &quot;* #,##0.00&quot; &quot;;&quot;-&quot;* #,##0.00&quot; &quot;;&quot; &quot;* &quot;-&quot;#&quot; &quot;;&quot; &quot;@&quot; &quot;"/>
    <numFmt numFmtId="167" formatCode="&quot; &quot;* #,##0&quot; &quot;;&quot;-&quot;* #,##0&quot; &quot;;&quot; &quot;* &quot;-&quot;#&quot; &quot;;&quot; &quot;@&quot; &quot;"/>
    <numFmt numFmtId="168" formatCode="0.0%"/>
    <numFmt numFmtId="169" formatCode="0.0"/>
    <numFmt numFmtId="170" formatCode="mmm&quot; &quot;yyyy"/>
    <numFmt numFmtId="171" formatCode="mmmm&quot; &quot;yyyy"/>
    <numFmt numFmtId="172" formatCode="[$-809]dddd&quot;, &quot;mmmm&quot; &quot;dd&quot;, &quot;yyyy"/>
    <numFmt numFmtId="173" formatCode="&quot; &quot;* #,##0&quot; &quot;;[Red]&quot;-&quot;* #,##0&quot; &quot;;&quot; &quot;* &quot;- &quot;;&quot; &quot;@&quot; &quot;"/>
    <numFmt numFmtId="174" formatCode="&quot; &quot;* #,##0.0&quot; &quot;;&quot;-&quot;* #,##0.0&quot; &quot;;&quot; &quot;* &quot;-&quot;#.0&quot; &quot;;&quot; &quot;@&quot; &quot;"/>
    <numFmt numFmtId="175" formatCode="#,##0.0;\-#,##0.0"/>
    <numFmt numFmtId="176" formatCode="_-* #,##0.0_-;\-* #,##0.0_-;_-* &quot;-&quot;??_-;_-@_-"/>
    <numFmt numFmtId="177" formatCode="_-* #,##0_-;\-* #,##0_-;_-* &quot;-&quot;??_-;_-@_-"/>
    <numFmt numFmtId="178" formatCode="#,##0_ ;\-#,##0\ "/>
    <numFmt numFmtId="179" formatCode="0.000"/>
    <numFmt numFmtId="180" formatCode="_-* #,##0.0_-;\-* #,##0.0_-;_-* &quot;-&quot;?_-;_-@_-"/>
    <numFmt numFmtId="181" formatCode="#,##0.000_ ;\-#,##0.000\ "/>
    <numFmt numFmtId="182" formatCode="0.000%"/>
  </numFmts>
  <fonts count="52" x14ac:knownFonts="1">
    <font>
      <sz val="11"/>
      <color rgb="FF000000"/>
      <name val="Calibri"/>
      <family val="2"/>
    </font>
    <font>
      <sz val="14"/>
      <color theme="1"/>
      <name val="Calibri"/>
      <family val="2"/>
      <scheme val="minor"/>
    </font>
    <font>
      <sz val="11"/>
      <color theme="1"/>
      <name val="Calibri"/>
      <family val="2"/>
      <scheme val="minor"/>
    </font>
    <font>
      <sz val="11"/>
      <color rgb="FF000000"/>
      <name val="Calibri"/>
      <family val="2"/>
    </font>
    <font>
      <sz val="11"/>
      <color rgb="FFFFFFFF"/>
      <name val="Calibri"/>
      <family val="2"/>
    </font>
    <font>
      <sz val="11"/>
      <color rgb="FF800080"/>
      <name val="Calibri"/>
      <family val="2"/>
    </font>
    <font>
      <b/>
      <sz val="11"/>
      <color rgb="FF660066"/>
      <name val="Calibri"/>
      <family val="2"/>
    </font>
    <font>
      <b/>
      <sz val="11"/>
      <color rgb="FFFFFFFF"/>
      <name val="Calibri"/>
      <family val="2"/>
    </font>
    <font>
      <i/>
      <sz val="11"/>
      <color rgb="FF808080"/>
      <name val="Calibri"/>
      <family val="2"/>
    </font>
    <font>
      <sz val="11"/>
      <color rgb="FF006100"/>
      <name val="Calibri"/>
      <family val="2"/>
    </font>
    <font>
      <sz val="11"/>
      <color rgb="FF008000"/>
      <name val="Calibri"/>
      <family val="2"/>
    </font>
    <font>
      <b/>
      <sz val="20"/>
      <color rgb="FF000000"/>
      <name val="Calibri"/>
      <family val="2"/>
    </font>
    <font>
      <b/>
      <sz val="16"/>
      <color rgb="FF000000"/>
      <name val="Calibri"/>
      <family val="2"/>
    </font>
    <font>
      <b/>
      <sz val="13"/>
      <color rgb="FF333399"/>
      <name val="Calibri"/>
      <family val="2"/>
    </font>
    <font>
      <b/>
      <sz val="12"/>
      <color rgb="FF000000"/>
      <name val="Calibri"/>
      <family val="2"/>
    </font>
    <font>
      <b/>
      <sz val="11"/>
      <color rgb="FF333399"/>
      <name val="Calibri"/>
      <family val="2"/>
    </font>
    <font>
      <u/>
      <sz val="11"/>
      <color rgb="FF0000FF"/>
      <name val="Calibri"/>
      <family val="2"/>
    </font>
    <font>
      <u/>
      <sz val="12"/>
      <color rgb="FF0000FF"/>
      <name val="Arial"/>
      <family val="2"/>
    </font>
    <font>
      <u/>
      <sz val="10"/>
      <color rgb="FF0000FF"/>
      <name val="MS Sans Serif"/>
    </font>
    <font>
      <u/>
      <sz val="10"/>
      <color rgb="FF0000FF"/>
      <name val="Arial"/>
      <family val="2"/>
    </font>
    <font>
      <sz val="11"/>
      <color rgb="FF993366"/>
      <name val="Calibri"/>
      <family val="2"/>
    </font>
    <font>
      <sz val="11"/>
      <color rgb="FF660066"/>
      <name val="Calibri"/>
      <family val="2"/>
    </font>
    <font>
      <sz val="11"/>
      <color rgb="FF993300"/>
      <name val="Calibri"/>
      <family val="2"/>
    </font>
    <font>
      <sz val="10"/>
      <color rgb="FF000000"/>
      <name val="Arial"/>
      <family val="2"/>
    </font>
    <font>
      <sz val="12"/>
      <color rgb="FF000000"/>
      <name val="Arial"/>
      <family val="2"/>
    </font>
    <font>
      <sz val="12"/>
      <color rgb="FF000000"/>
      <name val="Calibri"/>
      <family val="2"/>
    </font>
    <font>
      <sz val="10"/>
      <color rgb="FF000000"/>
      <name val="MS Sans Serif"/>
    </font>
    <font>
      <b/>
      <sz val="11"/>
      <color rgb="FF333333"/>
      <name val="Calibri"/>
      <family val="2"/>
    </font>
    <font>
      <b/>
      <sz val="18"/>
      <color rgb="FF333399"/>
      <name val="Cambria"/>
      <family val="1"/>
    </font>
    <font>
      <b/>
      <sz val="11"/>
      <color rgb="FF000000"/>
      <name val="Calibri"/>
      <family val="2"/>
    </font>
    <font>
      <sz val="11"/>
      <color rgb="FFFF0000"/>
      <name val="Calibri"/>
      <family val="2"/>
    </font>
    <font>
      <u/>
      <sz val="12"/>
      <color rgb="FF0000FF"/>
      <name val="Calibri"/>
      <family val="2"/>
    </font>
    <font>
      <b/>
      <sz val="14"/>
      <color rgb="FF000000"/>
      <name val="Calibri"/>
      <family val="2"/>
    </font>
    <font>
      <u/>
      <sz val="12"/>
      <color rgb="FF000000"/>
      <name val="Calibri"/>
      <family val="2"/>
    </font>
    <font>
      <sz val="20"/>
      <color rgb="FF000000"/>
      <name val="Calibri"/>
      <family val="2"/>
    </font>
    <font>
      <sz val="8"/>
      <name val="Calibri"/>
      <family val="2"/>
    </font>
    <font>
      <sz val="12"/>
      <color rgb="FF000000"/>
      <name val="Calibri"/>
      <family val="2"/>
      <scheme val="minor"/>
    </font>
    <font>
      <u/>
      <sz val="12"/>
      <color rgb="FF0000FF"/>
      <name val="Calibri"/>
      <family val="2"/>
      <scheme val="minor"/>
    </font>
    <font>
      <sz val="12"/>
      <color rgb="FFFF0000"/>
      <name val="Calibri"/>
      <family val="2"/>
    </font>
    <font>
      <i/>
      <sz val="12"/>
      <color rgb="FF000000"/>
      <name val="Calibri"/>
      <family val="2"/>
    </font>
    <font>
      <sz val="14"/>
      <color theme="1"/>
      <name val="Calibri"/>
      <family val="2"/>
      <scheme val="minor"/>
    </font>
    <font>
      <b/>
      <sz val="22"/>
      <color theme="1"/>
      <name val="Calibri"/>
      <family val="2"/>
      <scheme val="minor"/>
    </font>
    <font>
      <b/>
      <sz val="22"/>
      <name val="Calibri"/>
      <family val="2"/>
    </font>
    <font>
      <sz val="12"/>
      <name val="Calibri"/>
      <family val="2"/>
    </font>
    <font>
      <b/>
      <sz val="18"/>
      <name val="Calibri"/>
      <family val="2"/>
    </font>
    <font>
      <b/>
      <sz val="16"/>
      <name val="Calibri"/>
      <family val="2"/>
    </font>
    <font>
      <b/>
      <sz val="20"/>
      <name val="Calibri"/>
      <family val="2"/>
    </font>
    <font>
      <b/>
      <sz val="14"/>
      <name val="Calibri"/>
      <family val="2"/>
    </font>
    <font>
      <b/>
      <sz val="12"/>
      <color theme="1"/>
      <name val="Calibri"/>
      <family val="2"/>
      <scheme val="minor"/>
    </font>
    <font>
      <sz val="12"/>
      <color theme="1"/>
      <name val="Calibri"/>
      <family val="2"/>
      <scheme val="minor"/>
    </font>
    <font>
      <sz val="12"/>
      <color theme="1"/>
      <name val="Calibri"/>
      <family val="2"/>
    </font>
    <font>
      <sz val="12"/>
      <color rgb="FF000000"/>
      <name val="Aptos Narrow"/>
      <family val="2"/>
    </font>
  </fonts>
  <fills count="20">
    <fill>
      <patternFill patternType="none"/>
    </fill>
    <fill>
      <patternFill patternType="gray125"/>
    </fill>
    <fill>
      <patternFill patternType="solid">
        <fgColor rgb="FFFFFFFF"/>
        <bgColor rgb="FFFFFFFF"/>
      </patternFill>
    </fill>
    <fill>
      <patternFill patternType="solid">
        <fgColor rgb="FFFFCC99"/>
        <bgColor rgb="FFFFCC99"/>
      </patternFill>
    </fill>
    <fill>
      <patternFill patternType="solid">
        <fgColor rgb="FFFFFFCC"/>
        <bgColor rgb="FFFFFFCC"/>
      </patternFill>
    </fill>
    <fill>
      <patternFill patternType="solid">
        <fgColor rgb="FFCCFFFF"/>
        <bgColor rgb="FFCCFFFF"/>
      </patternFill>
    </fill>
    <fill>
      <patternFill patternType="solid">
        <fgColor rgb="FFC0C0C0"/>
        <bgColor rgb="FFC0C0C0"/>
      </patternFill>
    </fill>
    <fill>
      <patternFill patternType="solid">
        <fgColor rgb="FFFF8080"/>
        <bgColor rgb="FFFF8080"/>
      </patternFill>
    </fill>
    <fill>
      <patternFill patternType="solid">
        <fgColor rgb="FFFFFF99"/>
        <bgColor rgb="FFFFFF99"/>
      </patternFill>
    </fill>
    <fill>
      <patternFill patternType="solid">
        <fgColor rgb="FF99CCFF"/>
        <bgColor rgb="FF99CCFF"/>
      </patternFill>
    </fill>
    <fill>
      <patternFill patternType="solid">
        <fgColor rgb="FF000080"/>
        <bgColor rgb="FF000080"/>
      </patternFill>
    </fill>
    <fill>
      <patternFill patternType="solid">
        <fgColor rgb="FF339966"/>
        <bgColor rgb="FF339966"/>
      </patternFill>
    </fill>
    <fill>
      <patternFill patternType="solid">
        <fgColor rgb="FF666699"/>
        <bgColor rgb="FF666699"/>
      </patternFill>
    </fill>
    <fill>
      <patternFill patternType="solid">
        <fgColor rgb="FFFF6600"/>
        <bgColor rgb="FFFF6600"/>
      </patternFill>
    </fill>
    <fill>
      <patternFill patternType="solid">
        <fgColor rgb="FFFF99CC"/>
        <bgColor rgb="FFFF99CC"/>
      </patternFill>
    </fill>
    <fill>
      <patternFill patternType="solid">
        <fgColor rgb="FF969696"/>
        <bgColor rgb="FF969696"/>
      </patternFill>
    </fill>
    <fill>
      <patternFill patternType="solid">
        <fgColor rgb="FFC6EFCE"/>
        <bgColor rgb="FFC6EFCE"/>
      </patternFill>
    </fill>
    <fill>
      <patternFill patternType="solid">
        <fgColor rgb="FFCCFFCC"/>
        <bgColor rgb="FFCCFFCC"/>
      </patternFill>
    </fill>
    <fill>
      <patternFill patternType="solid">
        <fgColor rgb="FFFDE9D9"/>
        <bgColor rgb="FFFDE9D9"/>
      </patternFill>
    </fill>
    <fill>
      <patternFill patternType="solid">
        <fgColor theme="0"/>
        <bgColor indexed="64"/>
      </patternFill>
    </fill>
  </fills>
  <borders count="55">
    <border>
      <left/>
      <right/>
      <top/>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thick">
        <color rgb="FFC0C0C0"/>
      </bottom>
      <diagonal/>
    </border>
    <border>
      <left/>
      <right/>
      <top/>
      <bottom style="medium">
        <color rgb="FFCCFFFF"/>
      </bottom>
      <diagonal/>
    </border>
    <border>
      <left/>
      <right/>
      <top/>
      <bottom style="double">
        <color rgb="FF660066"/>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CCFFFF"/>
      </top>
      <bottom style="double">
        <color rgb="FFCCFFFF"/>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diagonal/>
    </border>
    <border>
      <left/>
      <right/>
      <top/>
      <bottom style="thin">
        <color indexed="64"/>
      </bottom>
      <diagonal/>
    </border>
    <border>
      <left/>
      <right style="thin">
        <color indexed="64"/>
      </right>
      <top style="thin">
        <color rgb="FF000000"/>
      </top>
      <bottom style="double">
        <color rgb="FF000000"/>
      </bottom>
      <diagonal/>
    </border>
    <border>
      <left style="thin">
        <color rgb="FF000000"/>
      </left>
      <right/>
      <top style="thin">
        <color rgb="FF000000"/>
      </top>
      <bottom style="double">
        <color indexed="64"/>
      </bottom>
      <diagonal/>
    </border>
    <border>
      <left/>
      <right/>
      <top style="thin">
        <color rgb="FF000000"/>
      </top>
      <bottom style="double">
        <color indexed="64"/>
      </bottom>
      <diagonal/>
    </border>
    <border>
      <left/>
      <right style="thin">
        <color rgb="FF000000"/>
      </right>
      <top style="thin">
        <color rgb="FF000000"/>
      </top>
      <bottom style="double">
        <color indexed="64"/>
      </bottom>
      <diagonal/>
    </border>
    <border>
      <left style="thin">
        <color indexed="64"/>
      </left>
      <right/>
      <top/>
      <bottom/>
      <diagonal/>
    </border>
    <border>
      <left style="thin">
        <color indexed="64"/>
      </left>
      <right/>
      <top style="thin">
        <color rgb="FF000000"/>
      </top>
      <bottom style="double">
        <color rgb="FF000000"/>
      </bottom>
      <diagonal/>
    </border>
    <border>
      <left style="thin">
        <color indexed="64"/>
      </left>
      <right/>
      <top style="thin">
        <color rgb="FF000000"/>
      </top>
      <bottom/>
      <diagonal/>
    </border>
    <border>
      <left style="thin">
        <color indexed="64"/>
      </left>
      <right/>
      <top/>
      <bottom style="thin">
        <color indexed="64"/>
      </bottom>
      <diagonal/>
    </border>
    <border>
      <left style="thin">
        <color indexed="64"/>
      </left>
      <right/>
      <top style="thin">
        <color rgb="FF000000"/>
      </top>
      <bottom style="double">
        <color indexed="64"/>
      </bottom>
      <diagonal/>
    </border>
    <border>
      <left/>
      <right style="thin">
        <color indexed="64"/>
      </right>
      <top/>
      <bottom style="thin">
        <color rgb="FF000000"/>
      </bottom>
      <diagonal/>
    </border>
    <border>
      <left/>
      <right style="thin">
        <color indexed="64"/>
      </right>
      <top/>
      <bottom/>
      <diagonal/>
    </border>
    <border>
      <left/>
      <right style="thin">
        <color indexed="64"/>
      </right>
      <top style="thin">
        <color rgb="FF000000"/>
      </top>
      <bottom style="double">
        <color indexed="64"/>
      </bottom>
      <diagonal/>
    </border>
    <border>
      <left style="thin">
        <color rgb="FF000000"/>
      </left>
      <right/>
      <top/>
      <bottom style="thin">
        <color indexed="64"/>
      </bottom>
      <diagonal/>
    </border>
    <border>
      <left/>
      <right style="thin">
        <color rgb="FF000000"/>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
      <left/>
      <right style="thin">
        <color indexed="64"/>
      </right>
      <top style="double">
        <color indexed="64"/>
      </top>
      <bottom style="thin">
        <color indexed="64"/>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rgb="FF000000"/>
      </top>
      <bottom style="medium">
        <color indexed="64"/>
      </bottom>
      <diagonal/>
    </border>
    <border>
      <left/>
      <right style="thin">
        <color indexed="64"/>
      </right>
      <top style="thin">
        <color rgb="FF000000"/>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indexed="64"/>
      </right>
      <top style="double">
        <color rgb="FF000000"/>
      </top>
      <bottom style="thin">
        <color indexed="64"/>
      </bottom>
      <diagonal/>
    </border>
    <border>
      <left/>
      <right style="thin">
        <color indexed="64"/>
      </right>
      <top style="thin">
        <color rgb="FF000000"/>
      </top>
      <bottom style="thin">
        <color rgb="FF000000"/>
      </bottom>
      <diagonal/>
    </border>
    <border>
      <left/>
      <right style="thin">
        <color indexed="64"/>
      </right>
      <top style="thin">
        <color indexed="64"/>
      </top>
      <bottom/>
      <diagonal/>
    </border>
    <border>
      <left/>
      <right style="thin">
        <color indexed="64"/>
      </right>
      <top style="double">
        <color rgb="FF000000"/>
      </top>
      <bottom/>
      <diagonal/>
    </border>
    <border>
      <left/>
      <right style="thin">
        <color rgb="FF000000"/>
      </right>
      <top style="thin">
        <color indexed="64"/>
      </top>
      <bottom style="thin">
        <color rgb="FF000000"/>
      </bottom>
      <diagonal/>
    </border>
    <border>
      <left/>
      <right/>
      <top style="thin">
        <color indexed="64"/>
      </top>
      <bottom/>
      <diagonal/>
    </border>
  </borders>
  <cellStyleXfs count="121">
    <xf numFmtId="0" fontId="0" fillId="0" borderId="0"/>
    <xf numFmtId="166" fontId="3" fillId="0" borderId="0" applyFont="0" applyFill="0" applyBorder="0" applyAlignment="0" applyProtection="0"/>
    <xf numFmtId="9" fontId="3" fillId="0" borderId="0" applyFont="0" applyFill="0" applyBorder="0" applyAlignment="0" applyProtection="0"/>
    <xf numFmtId="0" fontId="11" fillId="0" borderId="0" applyNumberFormat="0" applyFill="0" applyBorder="0" applyProtection="0">
      <alignment vertical="center"/>
    </xf>
    <xf numFmtId="0" fontId="12" fillId="0" borderId="0" applyNumberFormat="0" applyFill="0" applyBorder="0" applyAlignment="0" applyProtection="0"/>
    <xf numFmtId="0" fontId="14" fillId="0" borderId="0" applyNumberFormat="0" applyFill="0" applyBorder="0" applyAlignment="0" applyProtection="0"/>
    <xf numFmtId="0" fontId="9" fillId="16" borderId="0" applyNumberFormat="0" applyBorder="0" applyAlignment="0" applyProtection="0"/>
    <xf numFmtId="0" fontId="3" fillId="2" borderId="0" applyNumberFormat="0" applyFont="0" applyBorder="0" applyAlignment="0" applyProtection="0"/>
    <xf numFmtId="0" fontId="3" fillId="3" borderId="0" applyNumberFormat="0" applyFont="0" applyBorder="0" applyAlignment="0" applyProtection="0"/>
    <xf numFmtId="0" fontId="3" fillId="4" borderId="0" applyNumberFormat="0" applyFont="0" applyBorder="0" applyAlignment="0" applyProtection="0"/>
    <xf numFmtId="0" fontId="3" fillId="2" borderId="0" applyNumberFormat="0" applyFont="0" applyBorder="0" applyAlignment="0" applyProtection="0"/>
    <xf numFmtId="0" fontId="3" fillId="5" borderId="0" applyNumberFormat="0" applyFont="0" applyBorder="0" applyAlignment="0" applyProtection="0"/>
    <xf numFmtId="0" fontId="3" fillId="3" borderId="0" applyNumberFormat="0" applyFont="0" applyBorder="0" applyAlignment="0" applyProtection="0"/>
    <xf numFmtId="0" fontId="3" fillId="6" borderId="0" applyNumberFormat="0" applyFont="0" applyBorder="0" applyAlignment="0" applyProtection="0"/>
    <xf numFmtId="0" fontId="3" fillId="7" borderId="0" applyNumberFormat="0" applyFont="0" applyBorder="0" applyAlignment="0" applyProtection="0"/>
    <xf numFmtId="0" fontId="3" fillId="8" borderId="0" applyNumberFormat="0" applyFont="0" applyBorder="0" applyAlignment="0" applyProtection="0"/>
    <xf numFmtId="0" fontId="3" fillId="6" borderId="0" applyNumberFormat="0" applyFont="0" applyBorder="0" applyAlignment="0" applyProtection="0"/>
    <xf numFmtId="0" fontId="3" fillId="9" borderId="0" applyNumberFormat="0" applyFont="0" applyBorder="0" applyAlignment="0" applyProtection="0"/>
    <xf numFmtId="0" fontId="3" fillId="3" borderId="0" applyNumberFormat="0" applyFont="0" applyBorder="0" applyAlignment="0" applyProtection="0"/>
    <xf numFmtId="0" fontId="4" fillId="5"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5"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5" borderId="0" applyNumberFormat="0" applyBorder="0" applyAlignment="0" applyProtection="0"/>
    <xf numFmtId="0" fontId="4" fillId="13" borderId="0" applyNumberFormat="0" applyBorder="0" applyAlignment="0" applyProtection="0"/>
    <xf numFmtId="0" fontId="5" fillId="14" borderId="0" applyNumberFormat="0" applyBorder="0" applyAlignment="0" applyProtection="0"/>
    <xf numFmtId="0" fontId="6" fillId="2" borderId="1" applyNumberFormat="0" applyAlignment="0" applyProtection="0"/>
    <xf numFmtId="0" fontId="6" fillId="2" borderId="1" applyNumberFormat="0" applyAlignment="0" applyProtection="0"/>
    <xf numFmtId="0" fontId="6" fillId="2" borderId="1" applyNumberFormat="0" applyAlignment="0" applyProtection="0"/>
    <xf numFmtId="0" fontId="6" fillId="2" borderId="1" applyNumberFormat="0" applyAlignment="0" applyProtection="0"/>
    <xf numFmtId="0" fontId="6" fillId="2" borderId="1" applyNumberFormat="0" applyAlignment="0" applyProtection="0"/>
    <xf numFmtId="0" fontId="6" fillId="2" borderId="1" applyNumberFormat="0" applyAlignment="0" applyProtection="0"/>
    <xf numFmtId="0" fontId="6" fillId="2" borderId="1" applyNumberFormat="0" applyAlignment="0" applyProtection="0"/>
    <xf numFmtId="0" fontId="6" fillId="2" borderId="1" applyNumberFormat="0" applyAlignment="0" applyProtection="0"/>
    <xf numFmtId="0" fontId="7" fillId="15" borderId="2" applyNumberFormat="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8" fillId="0" borderId="0" applyNumberFormat="0" applyFill="0" applyBorder="0" applyAlignment="0" applyProtection="0"/>
    <xf numFmtId="0" fontId="10" fillId="17" borderId="0" applyNumberFormat="0" applyBorder="0" applyAlignment="0" applyProtection="0"/>
    <xf numFmtId="0" fontId="11" fillId="0" borderId="0" applyNumberFormat="0" applyFill="0" applyBorder="0" applyProtection="0">
      <alignment horizontal="left" vertical="center"/>
    </xf>
    <xf numFmtId="0" fontId="13" fillId="0" borderId="3" applyNumberFormat="0" applyFill="0" applyAlignment="0" applyProtection="0"/>
    <xf numFmtId="0" fontId="12" fillId="0" borderId="0" applyNumberFormat="0" applyFill="0" applyBorder="0" applyProtection="0">
      <alignment horizontal="left"/>
    </xf>
    <xf numFmtId="0" fontId="15" fillId="0" borderId="4" applyNumberFormat="0" applyFill="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172" fontId="19" fillId="0" borderId="0" applyFill="0" applyBorder="0" applyAlignment="0" applyProtection="0"/>
    <xf numFmtId="0" fontId="19" fillId="0" borderId="0" applyNumberFormat="0" applyFill="0" applyBorder="0" applyAlignment="0" applyProtection="0"/>
    <xf numFmtId="173" fontId="3" fillId="18" borderId="0" applyFont="0" applyBorder="0" applyProtection="0"/>
    <xf numFmtId="0" fontId="20" fillId="3" borderId="1" applyNumberFormat="0" applyAlignment="0" applyProtection="0"/>
    <xf numFmtId="0" fontId="20" fillId="3" borderId="1" applyNumberFormat="0" applyAlignment="0" applyProtection="0"/>
    <xf numFmtId="0" fontId="20" fillId="3" borderId="1" applyNumberFormat="0" applyAlignment="0" applyProtection="0"/>
    <xf numFmtId="0" fontId="20" fillId="3" borderId="1" applyNumberFormat="0" applyAlignment="0" applyProtection="0"/>
    <xf numFmtId="0" fontId="20" fillId="3" borderId="1" applyNumberFormat="0" applyAlignment="0" applyProtection="0"/>
    <xf numFmtId="0" fontId="20" fillId="3" borderId="1" applyNumberFormat="0" applyAlignment="0" applyProtection="0"/>
    <xf numFmtId="0" fontId="20" fillId="3" borderId="1" applyNumberFormat="0" applyAlignment="0" applyProtection="0"/>
    <xf numFmtId="0" fontId="20" fillId="3" borderId="1" applyNumberFormat="0" applyAlignment="0" applyProtection="0"/>
    <xf numFmtId="0" fontId="21" fillId="0" borderId="5" applyNumberFormat="0" applyFill="0" applyAlignment="0" applyProtection="0"/>
    <xf numFmtId="0" fontId="22" fillId="8" borderId="0" applyNumberFormat="0" applyBorder="0" applyAlignment="0" applyProtection="0"/>
    <xf numFmtId="0" fontId="23" fillId="0" borderId="0" applyNumberFormat="0" applyBorder="0" applyProtection="0"/>
    <xf numFmtId="0" fontId="23" fillId="0" borderId="0" applyNumberFormat="0" applyBorder="0" applyProtection="0"/>
    <xf numFmtId="0" fontId="23" fillId="0" borderId="0" applyNumberFormat="0" applyBorder="0" applyProtection="0"/>
    <xf numFmtId="0" fontId="23" fillId="0" borderId="0" applyNumberFormat="0" applyBorder="0" applyProtection="0"/>
    <xf numFmtId="0" fontId="24" fillId="0" borderId="0" applyNumberFormat="0" applyBorder="0" applyProtection="0"/>
    <xf numFmtId="0" fontId="23" fillId="0" borderId="0" applyNumberFormat="0" applyBorder="0" applyProtection="0"/>
    <xf numFmtId="0" fontId="3" fillId="0" borderId="0" applyNumberFormat="0" applyFont="0" applyBorder="0" applyProtection="0"/>
    <xf numFmtId="0" fontId="3" fillId="0" borderId="0" applyNumberFormat="0" applyFont="0" applyBorder="0" applyProtection="0"/>
    <xf numFmtId="0" fontId="24" fillId="0" borderId="0" applyNumberFormat="0" applyBorder="0" applyProtection="0"/>
    <xf numFmtId="0" fontId="25" fillId="0" borderId="0" applyNumberFormat="0" applyBorder="0" applyProtection="0">
      <alignment vertical="center"/>
    </xf>
    <xf numFmtId="0" fontId="26" fillId="0" borderId="0" applyNumberFormat="0" applyBorder="0" applyProtection="0"/>
    <xf numFmtId="0" fontId="3" fillId="0" borderId="0" applyNumberFormat="0" applyFont="0" applyBorder="0" applyProtection="0"/>
    <xf numFmtId="0" fontId="3" fillId="0" borderId="0" applyNumberFormat="0" applyFont="0" applyBorder="0" applyProtection="0"/>
    <xf numFmtId="0" fontId="23" fillId="0" borderId="0" applyNumberFormat="0" applyBorder="0" applyProtection="0"/>
    <xf numFmtId="0" fontId="23" fillId="0" borderId="0" applyNumberFormat="0" applyBorder="0" applyProtection="0"/>
    <xf numFmtId="0" fontId="23" fillId="0" borderId="0" applyNumberFormat="0" applyBorder="0" applyProtection="0"/>
    <xf numFmtId="0" fontId="23" fillId="0" borderId="0" applyNumberFormat="0" applyBorder="0" applyProtection="0"/>
    <xf numFmtId="0" fontId="3" fillId="4" borderId="6" applyNumberFormat="0" applyFont="0" applyAlignment="0" applyProtection="0"/>
    <xf numFmtId="0" fontId="3" fillId="4" borderId="6" applyNumberFormat="0" applyFont="0" applyAlignment="0" applyProtection="0"/>
    <xf numFmtId="0" fontId="3" fillId="4" borderId="6" applyNumberFormat="0" applyFont="0" applyAlignment="0" applyProtection="0"/>
    <xf numFmtId="0" fontId="3" fillId="4" borderId="6" applyNumberFormat="0" applyFont="0" applyAlignment="0" applyProtection="0"/>
    <xf numFmtId="0" fontId="27" fillId="2" borderId="7" applyNumberFormat="0" applyAlignment="0" applyProtection="0"/>
    <xf numFmtId="0" fontId="27" fillId="2" borderId="7" applyNumberFormat="0" applyAlignment="0" applyProtection="0"/>
    <xf numFmtId="0" fontId="27" fillId="2" borderId="7" applyNumberFormat="0" applyAlignment="0" applyProtection="0"/>
    <xf numFmtId="0" fontId="27" fillId="2" borderId="7" applyNumberFormat="0" applyAlignment="0" applyProtection="0"/>
    <xf numFmtId="0" fontId="27" fillId="2" borderId="7" applyNumberFormat="0" applyAlignment="0" applyProtection="0"/>
    <xf numFmtId="0" fontId="27" fillId="2" borderId="7" applyNumberFormat="0" applyAlignment="0" applyProtection="0"/>
    <xf numFmtId="0" fontId="27" fillId="2" borderId="7" applyNumberFormat="0" applyAlignment="0" applyProtection="0"/>
    <xf numFmtId="0" fontId="27" fillId="2" borderId="7" applyNumberFormat="0" applyAlignment="0" applyProtection="0"/>
    <xf numFmtId="9" fontId="3" fillId="0" borderId="0" applyFont="0" applyFill="0" applyBorder="0" applyAlignment="0" applyProtection="0"/>
    <xf numFmtId="0" fontId="23" fillId="0" borderId="0" applyNumberFormat="0" applyBorder="0" applyProtection="0">
      <alignment horizontal="left" vertical="center"/>
    </xf>
    <xf numFmtId="0" fontId="28" fillId="0" borderId="0" applyNumberFormat="0" applyFill="0" applyBorder="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29" fillId="0" borderId="8" applyNumberFormat="0" applyFill="0" applyAlignment="0" applyProtection="0"/>
    <xf numFmtId="0" fontId="30" fillId="0" borderId="0" applyNumberFormat="0" applyFill="0" applyBorder="0" applyAlignment="0" applyProtection="0"/>
    <xf numFmtId="0" fontId="40" fillId="0" borderId="0"/>
    <xf numFmtId="43" fontId="40" fillId="0" borderId="0"/>
    <xf numFmtId="0" fontId="40" fillId="0" borderId="0"/>
    <xf numFmtId="43" fontId="40" fillId="0" borderId="0"/>
    <xf numFmtId="0" fontId="1" fillId="0" borderId="0"/>
    <xf numFmtId="43" fontId="1" fillId="0" borderId="0"/>
    <xf numFmtId="43" fontId="1" fillId="0" borderId="0"/>
    <xf numFmtId="43" fontId="1" fillId="0" borderId="0"/>
    <xf numFmtId="43" fontId="1" fillId="0" borderId="0"/>
  </cellStyleXfs>
  <cellXfs count="216">
    <xf numFmtId="0" fontId="0" fillId="0" borderId="0" xfId="0"/>
    <xf numFmtId="0" fontId="0" fillId="2" borderId="0" xfId="0" applyFill="1"/>
    <xf numFmtId="0" fontId="25" fillId="2" borderId="0" xfId="78" applyFont="1" applyFill="1" applyAlignment="1">
      <alignment vertical="center" wrapText="1"/>
    </xf>
    <xf numFmtId="0" fontId="12" fillId="2" borderId="0" xfId="4" applyFill="1" applyAlignment="1">
      <alignment horizontal="left"/>
    </xf>
    <xf numFmtId="0" fontId="12" fillId="2" borderId="0" xfId="4" applyFill="1" applyAlignment="1"/>
    <xf numFmtId="0" fontId="31" fillId="2" borderId="0" xfId="54" applyFont="1" applyFill="1" applyAlignment="1">
      <alignment vertical="center" wrapText="1"/>
    </xf>
    <xf numFmtId="0" fontId="25" fillId="2" borderId="0" xfId="0" applyFont="1" applyFill="1"/>
    <xf numFmtId="0" fontId="32" fillId="2" borderId="0" xfId="5" applyFont="1" applyFill="1"/>
    <xf numFmtId="0" fontId="25" fillId="2" borderId="0" xfId="78" applyFont="1" applyFill="1" applyAlignment="1">
      <alignment vertical="center"/>
    </xf>
    <xf numFmtId="0" fontId="25" fillId="2" borderId="0" xfId="78" applyFont="1" applyFill="1" applyAlignment="1">
      <alignment wrapText="1"/>
    </xf>
    <xf numFmtId="0" fontId="23" fillId="2" borderId="0" xfId="0" applyFont="1" applyFill="1"/>
    <xf numFmtId="0" fontId="11" fillId="2" borderId="0" xfId="49" applyFill="1">
      <alignment horizontal="left" vertical="center"/>
    </xf>
    <xf numFmtId="0" fontId="23" fillId="2" borderId="0" xfId="71" applyFill="1"/>
    <xf numFmtId="0" fontId="25" fillId="2" borderId="0" xfId="80" applyFill="1">
      <alignment vertical="center"/>
    </xf>
    <xf numFmtId="0" fontId="12" fillId="2" borderId="0" xfId="51" applyFill="1">
      <alignment horizontal="left"/>
    </xf>
    <xf numFmtId="0" fontId="33" fillId="2" borderId="0" xfId="54" applyFont="1" applyFill="1" applyAlignment="1"/>
    <xf numFmtId="0" fontId="33" fillId="2" borderId="0" xfId="54" applyFont="1" applyFill="1"/>
    <xf numFmtId="0" fontId="11" fillId="2" borderId="0" xfId="3" applyFill="1">
      <alignment vertical="center"/>
    </xf>
    <xf numFmtId="0" fontId="34" fillId="2" borderId="0" xfId="0" applyFont="1" applyFill="1"/>
    <xf numFmtId="0" fontId="25" fillId="2" borderId="0" xfId="0" applyFont="1" applyFill="1" applyAlignment="1">
      <alignment vertical="center"/>
    </xf>
    <xf numFmtId="170" fontId="25" fillId="2" borderId="0" xfId="0" applyNumberFormat="1" applyFont="1" applyFill="1" applyAlignment="1">
      <alignment horizontal="center" vertical="center"/>
    </xf>
    <xf numFmtId="0" fontId="14" fillId="2" borderId="9" xfId="0" applyFont="1" applyFill="1" applyBorder="1" applyAlignment="1">
      <alignment horizontal="left" vertical="center"/>
    </xf>
    <xf numFmtId="170" fontId="14" fillId="2" borderId="10" xfId="0" applyNumberFormat="1" applyFont="1" applyFill="1" applyBorder="1" applyAlignment="1">
      <alignment horizontal="center" vertical="center" wrapText="1"/>
    </xf>
    <xf numFmtId="170" fontId="14" fillId="2" borderId="11" xfId="0" applyNumberFormat="1" applyFont="1" applyFill="1" applyBorder="1" applyAlignment="1">
      <alignment horizontal="center" vertical="center" wrapText="1"/>
    </xf>
    <xf numFmtId="170" fontId="14" fillId="2" borderId="9" xfId="0" applyNumberFormat="1" applyFont="1" applyFill="1" applyBorder="1" applyAlignment="1">
      <alignment horizontal="center" vertical="center" wrapText="1"/>
    </xf>
    <xf numFmtId="0" fontId="14" fillId="2" borderId="0" xfId="0" applyFont="1" applyFill="1"/>
    <xf numFmtId="165" fontId="25" fillId="2" borderId="12" xfId="0" applyNumberFormat="1" applyFont="1" applyFill="1" applyBorder="1" applyAlignment="1">
      <alignment horizontal="left"/>
    </xf>
    <xf numFmtId="165" fontId="25" fillId="2" borderId="0" xfId="1" applyNumberFormat="1" applyFont="1" applyFill="1"/>
    <xf numFmtId="165" fontId="25" fillId="2" borderId="12" xfId="1" applyNumberFormat="1" applyFont="1" applyFill="1" applyBorder="1"/>
    <xf numFmtId="165" fontId="25" fillId="2" borderId="13" xfId="1" applyNumberFormat="1" applyFont="1" applyFill="1" applyBorder="1"/>
    <xf numFmtId="0" fontId="25" fillId="2" borderId="0" xfId="0" applyFont="1" applyFill="1" applyAlignment="1">
      <alignment horizontal="center"/>
    </xf>
    <xf numFmtId="165" fontId="25" fillId="2" borderId="12" xfId="0" applyNumberFormat="1" applyFont="1" applyFill="1" applyBorder="1" applyAlignment="1">
      <alignment horizontal="left" indent="2"/>
    </xf>
    <xf numFmtId="165" fontId="14" fillId="2" borderId="14" xfId="0" applyNumberFormat="1" applyFont="1" applyFill="1" applyBorder="1" applyAlignment="1">
      <alignment horizontal="left" indent="2"/>
    </xf>
    <xf numFmtId="165" fontId="25" fillId="2" borderId="9" xfId="0" applyNumberFormat="1" applyFont="1" applyFill="1" applyBorder="1" applyAlignment="1">
      <alignment horizontal="left" indent="2"/>
    </xf>
    <xf numFmtId="165" fontId="14" fillId="2" borderId="17" xfId="0" applyNumberFormat="1" applyFont="1" applyFill="1" applyBorder="1" applyAlignment="1">
      <alignment horizontal="left" indent="2"/>
    </xf>
    <xf numFmtId="165" fontId="14" fillId="2" borderId="0" xfId="0" applyNumberFormat="1" applyFont="1" applyFill="1" applyAlignment="1">
      <alignment horizontal="left" indent="2"/>
    </xf>
    <xf numFmtId="168" fontId="25" fillId="2" borderId="0" xfId="2" applyNumberFormat="1" applyFont="1" applyFill="1"/>
    <xf numFmtId="0" fontId="14" fillId="2" borderId="0" xfId="0" applyFont="1" applyFill="1" applyAlignment="1">
      <alignment vertical="center"/>
    </xf>
    <xf numFmtId="167" fontId="25" fillId="2" borderId="0" xfId="1" applyNumberFormat="1" applyFont="1" applyFill="1" applyAlignment="1">
      <alignment horizontal="center"/>
    </xf>
    <xf numFmtId="167" fontId="25" fillId="2" borderId="0" xfId="1" applyNumberFormat="1" applyFont="1" applyFill="1"/>
    <xf numFmtId="3" fontId="25" fillId="2" borderId="0" xfId="0" applyNumberFormat="1" applyFont="1" applyFill="1"/>
    <xf numFmtId="167" fontId="25" fillId="2" borderId="0" xfId="0" applyNumberFormat="1" applyFont="1" applyFill="1"/>
    <xf numFmtId="164" fontId="25" fillId="2" borderId="0" xfId="0" applyNumberFormat="1" applyFont="1" applyFill="1"/>
    <xf numFmtId="170" fontId="14" fillId="2" borderId="18" xfId="0" applyNumberFormat="1" applyFont="1" applyFill="1" applyBorder="1" applyAlignment="1">
      <alignment horizontal="center" vertical="center" wrapText="1"/>
    </xf>
    <xf numFmtId="165" fontId="14" fillId="2" borderId="0" xfId="1" applyNumberFormat="1" applyFont="1" applyFill="1" applyBorder="1"/>
    <xf numFmtId="175" fontId="25" fillId="2" borderId="0" xfId="1" applyNumberFormat="1" applyFont="1" applyFill="1"/>
    <xf numFmtId="175" fontId="25" fillId="2" borderId="11" xfId="1" applyNumberFormat="1" applyFont="1" applyFill="1" applyBorder="1"/>
    <xf numFmtId="175" fontId="25" fillId="2" borderId="10" xfId="1" applyNumberFormat="1" applyFont="1" applyFill="1" applyBorder="1"/>
    <xf numFmtId="175" fontId="25" fillId="2" borderId="9" xfId="1" applyNumberFormat="1" applyFont="1" applyFill="1" applyBorder="1"/>
    <xf numFmtId="175" fontId="25" fillId="2" borderId="12" xfId="1" applyNumberFormat="1" applyFont="1" applyFill="1" applyBorder="1"/>
    <xf numFmtId="175" fontId="25" fillId="2" borderId="13" xfId="1" applyNumberFormat="1" applyFont="1" applyFill="1" applyBorder="1"/>
    <xf numFmtId="175" fontId="14" fillId="2" borderId="15" xfId="1" applyNumberFormat="1" applyFont="1" applyFill="1" applyBorder="1"/>
    <xf numFmtId="175" fontId="14" fillId="2" borderId="16" xfId="1" applyNumberFormat="1" applyFont="1" applyFill="1" applyBorder="1"/>
    <xf numFmtId="175" fontId="14" fillId="2" borderId="19" xfId="1" applyNumberFormat="1" applyFont="1" applyFill="1" applyBorder="1"/>
    <xf numFmtId="175" fontId="14" fillId="2" borderId="14" xfId="1" applyNumberFormat="1" applyFont="1" applyFill="1" applyBorder="1"/>
    <xf numFmtId="37" fontId="25" fillId="2" borderId="0" xfId="1" applyNumberFormat="1" applyFont="1" applyFill="1"/>
    <xf numFmtId="37" fontId="25" fillId="2" borderId="12" xfId="1" applyNumberFormat="1" applyFont="1" applyFill="1" applyBorder="1"/>
    <xf numFmtId="37" fontId="25" fillId="2" borderId="13" xfId="1" applyNumberFormat="1" applyFont="1" applyFill="1" applyBorder="1"/>
    <xf numFmtId="37" fontId="25" fillId="2" borderId="11" xfId="1" applyNumberFormat="1" applyFont="1" applyFill="1" applyBorder="1"/>
    <xf numFmtId="37" fontId="25" fillId="2" borderId="9" xfId="1" applyNumberFormat="1" applyFont="1" applyFill="1" applyBorder="1"/>
    <xf numFmtId="37" fontId="25" fillId="2" borderId="10" xfId="1" applyNumberFormat="1" applyFont="1" applyFill="1" applyBorder="1"/>
    <xf numFmtId="37" fontId="14" fillId="2" borderId="15" xfId="1" applyNumberFormat="1" applyFont="1" applyFill="1" applyBorder="1"/>
    <xf numFmtId="37" fontId="14" fillId="2" borderId="16" xfId="1" applyNumberFormat="1" applyFont="1" applyFill="1" applyBorder="1"/>
    <xf numFmtId="37" fontId="14" fillId="2" borderId="14" xfId="1" applyNumberFormat="1" applyFont="1" applyFill="1" applyBorder="1"/>
    <xf numFmtId="37" fontId="14" fillId="2" borderId="20" xfId="1" applyNumberFormat="1" applyFont="1" applyFill="1" applyBorder="1"/>
    <xf numFmtId="37" fontId="14" fillId="2" borderId="21" xfId="1" applyNumberFormat="1" applyFont="1" applyFill="1" applyBorder="1"/>
    <xf numFmtId="37" fontId="14" fillId="2" borderId="22" xfId="1" applyNumberFormat="1" applyFont="1" applyFill="1" applyBorder="1"/>
    <xf numFmtId="174" fontId="25" fillId="2" borderId="0" xfId="1" applyNumberFormat="1" applyFont="1" applyFill="1" applyAlignment="1">
      <alignment horizontal="center"/>
    </xf>
    <xf numFmtId="169" fontId="25" fillId="2" borderId="0" xfId="1" applyNumberFormat="1" applyFont="1" applyFill="1" applyAlignment="1">
      <alignment horizontal="center"/>
    </xf>
    <xf numFmtId="175" fontId="25" fillId="2" borderId="23" xfId="1" applyNumberFormat="1" applyFont="1" applyFill="1" applyBorder="1"/>
    <xf numFmtId="37" fontId="0" fillId="2" borderId="0" xfId="0" applyNumberFormat="1" applyFill="1"/>
    <xf numFmtId="165" fontId="25" fillId="2" borderId="23" xfId="1" applyNumberFormat="1" applyFont="1" applyFill="1" applyBorder="1"/>
    <xf numFmtId="0" fontId="36" fillId="2" borderId="0" xfId="59" applyFont="1" applyFill="1" applyAlignment="1">
      <alignment vertical="center"/>
    </xf>
    <xf numFmtId="0" fontId="37" fillId="2" borderId="0" xfId="59" applyFont="1" applyFill="1" applyAlignment="1">
      <alignment vertical="center"/>
    </xf>
    <xf numFmtId="0" fontId="36" fillId="2" borderId="0" xfId="80" applyFont="1" applyFill="1">
      <alignment vertical="center"/>
    </xf>
    <xf numFmtId="0" fontId="37" fillId="2" borderId="0" xfId="54" applyFont="1" applyFill="1" applyAlignment="1">
      <alignment vertical="center"/>
    </xf>
    <xf numFmtId="0" fontId="31" fillId="0" borderId="0" xfId="54" applyFont="1" applyFill="1"/>
    <xf numFmtId="37" fontId="25" fillId="2" borderId="23" xfId="1" applyNumberFormat="1" applyFont="1" applyFill="1" applyBorder="1"/>
    <xf numFmtId="37" fontId="14" fillId="2" borderId="27" xfId="1" applyNumberFormat="1" applyFont="1" applyFill="1" applyBorder="1"/>
    <xf numFmtId="165" fontId="25" fillId="2" borderId="0" xfId="1" applyNumberFormat="1" applyFont="1" applyFill="1" applyBorder="1"/>
    <xf numFmtId="170" fontId="14" fillId="2" borderId="28" xfId="0" applyNumberFormat="1" applyFont="1" applyFill="1" applyBorder="1" applyAlignment="1">
      <alignment horizontal="center" vertical="center" wrapText="1"/>
    </xf>
    <xf numFmtId="165" fontId="25" fillId="2" borderId="29" xfId="1" applyNumberFormat="1" applyFont="1" applyFill="1" applyBorder="1"/>
    <xf numFmtId="175" fontId="25" fillId="2" borderId="29" xfId="1" applyNumberFormat="1" applyFont="1" applyFill="1" applyBorder="1"/>
    <xf numFmtId="37" fontId="25" fillId="2" borderId="29" xfId="1" applyNumberFormat="1" applyFont="1" applyFill="1" applyBorder="1"/>
    <xf numFmtId="37" fontId="14" fillId="2" borderId="30" xfId="1" applyNumberFormat="1" applyFont="1" applyFill="1" applyBorder="1"/>
    <xf numFmtId="0" fontId="38" fillId="2" borderId="0" xfId="78" applyFont="1" applyFill="1" applyAlignment="1">
      <alignment vertical="center" wrapText="1"/>
    </xf>
    <xf numFmtId="175" fontId="25" fillId="2" borderId="31" xfId="1" applyNumberFormat="1" applyFont="1" applyFill="1" applyBorder="1"/>
    <xf numFmtId="175" fontId="25" fillId="2" borderId="18" xfId="1" applyNumberFormat="1" applyFont="1" applyFill="1" applyBorder="1"/>
    <xf numFmtId="175" fontId="25" fillId="2" borderId="32" xfId="1" applyNumberFormat="1" applyFont="1" applyFill="1" applyBorder="1"/>
    <xf numFmtId="175" fontId="25" fillId="2" borderId="33" xfId="1" applyNumberFormat="1" applyFont="1" applyFill="1" applyBorder="1"/>
    <xf numFmtId="165" fontId="39" fillId="2" borderId="18" xfId="0" applyNumberFormat="1" applyFont="1" applyFill="1" applyBorder="1" applyAlignment="1">
      <alignment horizontal="left" indent="2"/>
    </xf>
    <xf numFmtId="0" fontId="42" fillId="2" borderId="0" xfId="49" applyFont="1" applyFill="1" applyAlignment="1">
      <alignment horizontal="left" vertical="center" wrapText="1"/>
    </xf>
    <xf numFmtId="0" fontId="43" fillId="2" borderId="0" xfId="78" applyFont="1" applyFill="1" applyAlignment="1">
      <alignment vertical="center" wrapText="1"/>
    </xf>
    <xf numFmtId="0" fontId="44" fillId="2" borderId="0" xfId="4" applyFont="1" applyFill="1" applyAlignment="1">
      <alignment wrapText="1"/>
    </xf>
    <xf numFmtId="0" fontId="45" fillId="2" borderId="0" xfId="4" applyFont="1" applyFill="1" applyAlignment="1">
      <alignment horizontal="left"/>
    </xf>
    <xf numFmtId="0" fontId="45" fillId="2" borderId="0" xfId="4" applyFont="1" applyFill="1" applyAlignment="1"/>
    <xf numFmtId="0" fontId="46" fillId="2" borderId="0" xfId="49" applyFont="1" applyFill="1" applyAlignment="1">
      <alignment horizontal="left" vertical="center" wrapText="1"/>
    </xf>
    <xf numFmtId="171" fontId="45" fillId="2" borderId="0" xfId="4" applyNumberFormat="1" applyFont="1" applyFill="1" applyAlignment="1">
      <alignment horizontal="left" vertical="center"/>
    </xf>
    <xf numFmtId="0" fontId="47" fillId="2" borderId="0" xfId="5" applyFont="1" applyFill="1" applyAlignment="1">
      <alignment wrapText="1"/>
    </xf>
    <xf numFmtId="0" fontId="43" fillId="2" borderId="0" xfId="78" applyFont="1" applyFill="1" applyAlignment="1">
      <alignment wrapText="1"/>
    </xf>
    <xf numFmtId="0" fontId="43" fillId="2" borderId="0" xfId="5" applyFont="1" applyFill="1" applyAlignment="1">
      <alignment wrapText="1"/>
    </xf>
    <xf numFmtId="0" fontId="46" fillId="2" borderId="0" xfId="49" applyFont="1" applyFill="1">
      <alignment horizontal="left" vertical="center"/>
    </xf>
    <xf numFmtId="0" fontId="43" fillId="2" borderId="0" xfId="78" applyFont="1" applyFill="1" applyAlignment="1">
      <alignment vertical="center"/>
    </xf>
    <xf numFmtId="0" fontId="43" fillId="2" borderId="0" xfId="0" applyFont="1" applyFill="1" applyAlignment="1">
      <alignment vertical="center" wrapText="1"/>
    </xf>
    <xf numFmtId="0" fontId="43" fillId="2" borderId="0" xfId="0" applyFont="1" applyFill="1"/>
    <xf numFmtId="0" fontId="37" fillId="2" borderId="0" xfId="54" applyFont="1" applyFill="1" applyAlignment="1">
      <alignment vertical="center" wrapText="1"/>
    </xf>
    <xf numFmtId="0" fontId="41" fillId="19" borderId="0" xfId="114" applyFont="1" applyFill="1" applyAlignment="1">
      <alignment vertical="center"/>
    </xf>
    <xf numFmtId="0" fontId="40" fillId="19" borderId="0" xfId="114" applyFill="1"/>
    <xf numFmtId="0" fontId="0" fillId="19" borderId="0" xfId="0" applyFill="1"/>
    <xf numFmtId="0" fontId="2" fillId="19" borderId="0" xfId="114" applyFont="1" applyFill="1"/>
    <xf numFmtId="0" fontId="48" fillId="19" borderId="18" xfId="114" applyFont="1" applyFill="1" applyBorder="1" applyAlignment="1">
      <alignment horizontal="center" vertical="center"/>
    </xf>
    <xf numFmtId="0" fontId="48" fillId="19" borderId="18" xfId="114" applyFont="1" applyFill="1" applyBorder="1" applyAlignment="1">
      <alignment horizontal="center" vertical="center" wrapText="1"/>
    </xf>
    <xf numFmtId="0" fontId="48" fillId="19" borderId="34" xfId="114" applyFont="1" applyFill="1" applyBorder="1" applyAlignment="1">
      <alignment vertical="center"/>
    </xf>
    <xf numFmtId="176" fontId="48" fillId="19" borderId="34" xfId="114" applyNumberFormat="1" applyFont="1" applyFill="1" applyBorder="1" applyAlignment="1">
      <alignment vertical="center"/>
    </xf>
    <xf numFmtId="177" fontId="48" fillId="19" borderId="34" xfId="114" applyNumberFormat="1" applyFont="1" applyFill="1" applyBorder="1" applyAlignment="1">
      <alignment vertical="center"/>
    </xf>
    <xf numFmtId="0" fontId="49" fillId="19" borderId="35" xfId="114" applyFont="1" applyFill="1" applyBorder="1" applyAlignment="1">
      <alignment vertical="center"/>
    </xf>
    <xf numFmtId="176" fontId="49" fillId="19" borderId="35" xfId="115" applyNumberFormat="1" applyFont="1" applyFill="1" applyBorder="1" applyAlignment="1">
      <alignment vertical="center"/>
    </xf>
    <xf numFmtId="177" fontId="49" fillId="19" borderId="35" xfId="115" applyNumberFormat="1" applyFont="1" applyFill="1" applyBorder="1" applyAlignment="1">
      <alignment vertical="center"/>
    </xf>
    <xf numFmtId="0" fontId="49" fillId="19" borderId="0" xfId="114" applyFont="1" applyFill="1" applyAlignment="1">
      <alignment vertical="center"/>
    </xf>
    <xf numFmtId="169" fontId="0" fillId="2" borderId="0" xfId="0" applyNumberFormat="1" applyFill="1"/>
    <xf numFmtId="43" fontId="0" fillId="2" borderId="0" xfId="0" applyNumberFormat="1" applyFill="1"/>
    <xf numFmtId="37" fontId="25" fillId="2" borderId="0" xfId="1" applyNumberFormat="1" applyFont="1" applyFill="1" applyBorder="1"/>
    <xf numFmtId="37" fontId="14" fillId="2" borderId="24" xfId="1" applyNumberFormat="1" applyFont="1" applyFill="1" applyBorder="1"/>
    <xf numFmtId="37" fontId="25" fillId="2" borderId="0" xfId="1" applyNumberFormat="1" applyFont="1" applyFill="1" applyAlignment="1">
      <alignment horizontal="center"/>
    </xf>
    <xf numFmtId="175" fontId="25" fillId="2" borderId="0" xfId="1" applyNumberFormat="1" applyFont="1" applyFill="1" applyBorder="1"/>
    <xf numFmtId="175" fontId="14" fillId="2" borderId="24" xfId="1" applyNumberFormat="1" applyFont="1" applyFill="1" applyBorder="1"/>
    <xf numFmtId="175" fontId="25" fillId="2" borderId="0" xfId="1" applyNumberFormat="1" applyFont="1" applyFill="1" applyAlignment="1">
      <alignment horizontal="center"/>
    </xf>
    <xf numFmtId="37" fontId="14" fillId="2" borderId="19" xfId="1" applyNumberFormat="1" applyFont="1" applyFill="1" applyBorder="1"/>
    <xf numFmtId="37" fontId="25" fillId="2" borderId="18" xfId="1" applyNumberFormat="1" applyFont="1" applyFill="1" applyBorder="1"/>
    <xf numFmtId="37" fontId="25" fillId="2" borderId="32" xfId="1" applyNumberFormat="1" applyFont="1" applyFill="1" applyBorder="1"/>
    <xf numFmtId="37" fontId="25" fillId="2" borderId="36" xfId="1" applyNumberFormat="1" applyFont="1" applyFill="1" applyBorder="1"/>
    <xf numFmtId="169" fontId="25" fillId="2" borderId="29" xfId="1" applyNumberFormat="1" applyFont="1" applyFill="1" applyBorder="1" applyAlignment="1">
      <alignment horizontal="center"/>
    </xf>
    <xf numFmtId="175" fontId="25" fillId="2" borderId="29" xfId="1" applyNumberFormat="1" applyFont="1" applyFill="1" applyBorder="1" applyAlignment="1">
      <alignment horizontal="center"/>
    </xf>
    <xf numFmtId="37" fontId="25" fillId="2" borderId="29" xfId="1" applyNumberFormat="1" applyFont="1" applyFill="1" applyBorder="1" applyAlignment="1">
      <alignment horizontal="center"/>
    </xf>
    <xf numFmtId="167" fontId="14" fillId="2" borderId="0" xfId="0" applyNumberFormat="1" applyFont="1" applyFill="1"/>
    <xf numFmtId="165" fontId="14" fillId="2" borderId="38" xfId="0" applyNumberFormat="1" applyFont="1" applyFill="1" applyBorder="1" applyAlignment="1">
      <alignment horizontal="left" indent="2"/>
    </xf>
    <xf numFmtId="175" fontId="14" fillId="2" borderId="39" xfId="1" applyNumberFormat="1" applyFont="1" applyFill="1" applyBorder="1"/>
    <xf numFmtId="175" fontId="14" fillId="2" borderId="37" xfId="1" applyNumberFormat="1" applyFont="1" applyFill="1" applyBorder="1"/>
    <xf numFmtId="175" fontId="14" fillId="2" borderId="38" xfId="1" applyNumberFormat="1" applyFont="1" applyFill="1" applyBorder="1"/>
    <xf numFmtId="175" fontId="14" fillId="2" borderId="40" xfId="1" applyNumberFormat="1" applyFont="1" applyFill="1" applyBorder="1"/>
    <xf numFmtId="175" fontId="14" fillId="2" borderId="41" xfId="1" applyNumberFormat="1" applyFont="1" applyFill="1" applyBorder="1"/>
    <xf numFmtId="170" fontId="14" fillId="2" borderId="33" xfId="0" applyNumberFormat="1" applyFont="1" applyFill="1" applyBorder="1" applyAlignment="1">
      <alignment horizontal="center" vertical="center" wrapText="1"/>
    </xf>
    <xf numFmtId="165" fontId="25" fillId="0" borderId="0" xfId="1" applyNumberFormat="1" applyFont="1" applyFill="1" applyBorder="1"/>
    <xf numFmtId="165" fontId="25" fillId="0" borderId="23" xfId="1" applyNumberFormat="1" applyFont="1" applyFill="1" applyBorder="1"/>
    <xf numFmtId="0" fontId="14" fillId="2" borderId="32" xfId="0" applyFont="1" applyFill="1" applyBorder="1" applyAlignment="1">
      <alignment horizontal="left" vertical="center"/>
    </xf>
    <xf numFmtId="170" fontId="14" fillId="2" borderId="31" xfId="0" applyNumberFormat="1" applyFont="1" applyFill="1" applyBorder="1" applyAlignment="1">
      <alignment horizontal="center" vertical="center" wrapText="1"/>
    </xf>
    <xf numFmtId="170" fontId="14" fillId="2" borderId="32" xfId="0" applyNumberFormat="1" applyFont="1" applyFill="1" applyBorder="1" applyAlignment="1">
      <alignment horizontal="center" vertical="center" wrapText="1"/>
    </xf>
    <xf numFmtId="170" fontId="14" fillId="2" borderId="26" xfId="0" applyNumberFormat="1" applyFont="1" applyFill="1" applyBorder="1" applyAlignment="1">
      <alignment horizontal="center" vertical="center" wrapText="1"/>
    </xf>
    <xf numFmtId="37" fontId="14" fillId="2" borderId="42" xfId="1" applyNumberFormat="1" applyFont="1" applyFill="1" applyBorder="1"/>
    <xf numFmtId="37" fontId="14" fillId="2" borderId="43" xfId="1" applyNumberFormat="1" applyFont="1" applyFill="1" applyBorder="1"/>
    <xf numFmtId="37" fontId="14" fillId="2" borderId="17" xfId="1" applyNumberFormat="1" applyFont="1" applyFill="1" applyBorder="1"/>
    <xf numFmtId="37" fontId="14" fillId="2" borderId="25" xfId="1" applyNumberFormat="1" applyFont="1" applyFill="1" applyBorder="1"/>
    <xf numFmtId="37" fontId="14" fillId="2" borderId="44" xfId="1" applyNumberFormat="1" applyFont="1" applyFill="1" applyBorder="1"/>
    <xf numFmtId="178" fontId="0" fillId="2" borderId="0" xfId="0" applyNumberFormat="1" applyFill="1"/>
    <xf numFmtId="1" fontId="0" fillId="2" borderId="0" xfId="0" applyNumberFormat="1" applyFill="1"/>
    <xf numFmtId="174" fontId="25" fillId="2" borderId="0" xfId="1" applyNumberFormat="1" applyFont="1" applyFill="1"/>
    <xf numFmtId="167" fontId="25" fillId="2" borderId="18" xfId="1" applyNumberFormat="1" applyFont="1" applyFill="1" applyBorder="1"/>
    <xf numFmtId="174" fontId="14" fillId="2" borderId="16" xfId="1" applyNumberFormat="1" applyFont="1" applyFill="1" applyBorder="1"/>
    <xf numFmtId="167" fontId="14" fillId="2" borderId="16" xfId="1" applyNumberFormat="1" applyFont="1" applyFill="1" applyBorder="1"/>
    <xf numFmtId="167" fontId="14" fillId="2" borderId="21" xfId="1" applyNumberFormat="1" applyFont="1" applyFill="1" applyBorder="1"/>
    <xf numFmtId="167" fontId="0" fillId="2" borderId="0" xfId="0" applyNumberFormat="1" applyFill="1"/>
    <xf numFmtId="174" fontId="25" fillId="2" borderId="18" xfId="1" applyNumberFormat="1" applyFont="1" applyFill="1" applyBorder="1"/>
    <xf numFmtId="0" fontId="43" fillId="2" borderId="0" xfId="5" applyFont="1" applyFill="1" applyAlignment="1">
      <alignment vertical="center" wrapText="1"/>
    </xf>
    <xf numFmtId="176" fontId="0" fillId="19" borderId="0" xfId="0" applyNumberFormat="1" applyFill="1"/>
    <xf numFmtId="177" fontId="0" fillId="19" borderId="0" xfId="0" applyNumberFormat="1" applyFill="1"/>
    <xf numFmtId="169" fontId="0" fillId="19" borderId="0" xfId="0" applyNumberFormat="1" applyFill="1"/>
    <xf numFmtId="167" fontId="25" fillId="2" borderId="23" xfId="1" applyNumberFormat="1" applyFont="1" applyFill="1" applyBorder="1" applyAlignment="1">
      <alignment horizontal="center"/>
    </xf>
    <xf numFmtId="37" fontId="25" fillId="2" borderId="23" xfId="1" applyNumberFormat="1" applyFont="1" applyFill="1" applyBorder="1" applyAlignment="1">
      <alignment horizontal="center"/>
    </xf>
    <xf numFmtId="37" fontId="25" fillId="2" borderId="26" xfId="1" applyNumberFormat="1" applyFont="1" applyFill="1" applyBorder="1"/>
    <xf numFmtId="174" fontId="25" fillId="2" borderId="23" xfId="1" applyNumberFormat="1" applyFont="1" applyFill="1" applyBorder="1" applyAlignment="1">
      <alignment horizontal="center"/>
    </xf>
    <xf numFmtId="175" fontId="25" fillId="2" borderId="26" xfId="1" applyNumberFormat="1" applyFont="1" applyFill="1" applyBorder="1"/>
    <xf numFmtId="169" fontId="25" fillId="2" borderId="23" xfId="1" applyNumberFormat="1" applyFont="1" applyFill="1" applyBorder="1" applyAlignment="1">
      <alignment horizontal="center"/>
    </xf>
    <xf numFmtId="175" fontId="25" fillId="2" borderId="23" xfId="1" applyNumberFormat="1" applyFont="1" applyFill="1" applyBorder="1" applyAlignment="1">
      <alignment horizontal="center"/>
    </xf>
    <xf numFmtId="179" fontId="0" fillId="19" borderId="0" xfId="0" applyNumberFormat="1" applyFill="1"/>
    <xf numFmtId="37" fontId="14" fillId="2" borderId="37" xfId="1" applyNumberFormat="1" applyFont="1" applyFill="1" applyBorder="1"/>
    <xf numFmtId="43" fontId="25" fillId="2" borderId="0" xfId="0" applyNumberFormat="1" applyFont="1" applyFill="1" applyAlignment="1">
      <alignment vertical="center"/>
    </xf>
    <xf numFmtId="0" fontId="31" fillId="2" borderId="0" xfId="54" applyFont="1" applyFill="1" applyAlignment="1">
      <alignment vertical="center"/>
    </xf>
    <xf numFmtId="174" fontId="25" fillId="2" borderId="0" xfId="1" applyNumberFormat="1" applyFont="1" applyFill="1" applyBorder="1" applyAlignment="1">
      <alignment horizontal="center"/>
    </xf>
    <xf numFmtId="174" fontId="25" fillId="2" borderId="0" xfId="1" applyNumberFormat="1" applyFont="1" applyFill="1" applyBorder="1"/>
    <xf numFmtId="167" fontId="25" fillId="2" borderId="0" xfId="1" applyNumberFormat="1" applyFont="1" applyFill="1" applyAlignment="1">
      <alignment vertical="center"/>
    </xf>
    <xf numFmtId="174" fontId="25" fillId="2" borderId="29" xfId="1" applyNumberFormat="1" applyFont="1" applyFill="1" applyBorder="1"/>
    <xf numFmtId="0" fontId="49" fillId="19" borderId="0" xfId="0" applyFont="1" applyFill="1" applyAlignment="1">
      <alignment vertical="center"/>
    </xf>
    <xf numFmtId="176" fontId="49" fillId="19" borderId="0" xfId="0" applyNumberFormat="1" applyFont="1" applyFill="1" applyAlignment="1">
      <alignment vertical="center"/>
    </xf>
    <xf numFmtId="180" fontId="49" fillId="0" borderId="45" xfId="117" applyNumberFormat="1" applyFont="1" applyBorder="1"/>
    <xf numFmtId="175" fontId="25" fillId="2" borderId="47" xfId="1" applyNumberFormat="1" applyFont="1" applyFill="1" applyBorder="1"/>
    <xf numFmtId="175" fontId="25" fillId="2" borderId="46" xfId="1" applyNumberFormat="1" applyFont="1" applyFill="1" applyBorder="1"/>
    <xf numFmtId="175" fontId="25" fillId="2" borderId="48" xfId="1" applyNumberFormat="1" applyFont="1" applyFill="1" applyBorder="1"/>
    <xf numFmtId="175" fontId="25" fillId="2" borderId="49" xfId="1" applyNumberFormat="1" applyFont="1" applyFill="1" applyBorder="1"/>
    <xf numFmtId="175" fontId="25" fillId="2" borderId="50" xfId="1" applyNumberFormat="1" applyFont="1" applyFill="1" applyBorder="1"/>
    <xf numFmtId="165" fontId="39" fillId="2" borderId="49" xfId="0" applyNumberFormat="1" applyFont="1" applyFill="1" applyBorder="1" applyAlignment="1">
      <alignment horizontal="left" indent="2"/>
    </xf>
    <xf numFmtId="174" fontId="25" fillId="2" borderId="51" xfId="1" applyNumberFormat="1" applyFont="1" applyFill="1" applyBorder="1" applyAlignment="1">
      <alignment horizontal="center"/>
    </xf>
    <xf numFmtId="174" fontId="14" fillId="2" borderId="19" xfId="1" applyNumberFormat="1" applyFont="1" applyFill="1" applyBorder="1"/>
    <xf numFmtId="174" fontId="25" fillId="2" borderId="52" xfId="1" applyNumberFormat="1" applyFont="1" applyFill="1" applyBorder="1" applyAlignment="1">
      <alignment horizontal="center"/>
    </xf>
    <xf numFmtId="174" fontId="25" fillId="2" borderId="29" xfId="1" applyNumberFormat="1" applyFont="1" applyFill="1" applyBorder="1" applyAlignment="1">
      <alignment horizontal="center"/>
    </xf>
    <xf numFmtId="174" fontId="25" fillId="2" borderId="33" xfId="1" applyNumberFormat="1" applyFont="1" applyFill="1" applyBorder="1"/>
    <xf numFmtId="167" fontId="25" fillId="2" borderId="29" xfId="1" applyNumberFormat="1" applyFont="1" applyFill="1" applyBorder="1" applyAlignment="1">
      <alignment vertical="center"/>
    </xf>
    <xf numFmtId="167" fontId="25" fillId="2" borderId="29" xfId="1" applyNumberFormat="1" applyFont="1" applyFill="1" applyBorder="1" applyAlignment="1">
      <alignment horizontal="center"/>
    </xf>
    <xf numFmtId="167" fontId="25" fillId="2" borderId="29" xfId="1" applyNumberFormat="1" applyFont="1" applyFill="1" applyBorder="1"/>
    <xf numFmtId="167" fontId="14" fillId="2" borderId="19" xfId="1" applyNumberFormat="1" applyFont="1" applyFill="1" applyBorder="1"/>
    <xf numFmtId="167" fontId="14" fillId="2" borderId="30" xfId="1" applyNumberFormat="1" applyFont="1" applyFill="1" applyBorder="1"/>
    <xf numFmtId="167" fontId="25" fillId="2" borderId="33" xfId="1" applyNumberFormat="1" applyFont="1" applyFill="1" applyBorder="1"/>
    <xf numFmtId="176" fontId="49" fillId="19" borderId="0" xfId="1" applyNumberFormat="1" applyFont="1" applyFill="1" applyAlignment="1">
      <alignment vertical="center"/>
    </xf>
    <xf numFmtId="177" fontId="49" fillId="19" borderId="0" xfId="1" applyNumberFormat="1" applyFont="1" applyFill="1" applyAlignment="1">
      <alignment vertical="center"/>
    </xf>
    <xf numFmtId="0" fontId="48" fillId="19" borderId="0" xfId="114" applyFont="1" applyFill="1" applyAlignment="1">
      <alignment vertical="center"/>
    </xf>
    <xf numFmtId="0" fontId="50" fillId="2" borderId="0" xfId="0" applyFont="1" applyFill="1" applyAlignment="1">
      <alignment vertical="center" wrapText="1"/>
    </xf>
    <xf numFmtId="0" fontId="50" fillId="2" borderId="0" xfId="78" applyFont="1" applyFill="1" applyAlignment="1">
      <alignment vertical="center" wrapText="1"/>
    </xf>
    <xf numFmtId="181" fontId="0" fillId="2" borderId="0" xfId="0" applyNumberFormat="1" applyFill="1"/>
    <xf numFmtId="165" fontId="25" fillId="2" borderId="53" xfId="0" applyNumberFormat="1" applyFont="1" applyFill="1" applyBorder="1" applyAlignment="1">
      <alignment horizontal="left" indent="2"/>
    </xf>
    <xf numFmtId="166" fontId="25" fillId="2" borderId="0" xfId="1" applyFont="1" applyFill="1"/>
    <xf numFmtId="174" fontId="25" fillId="2" borderId="54" xfId="1" applyNumberFormat="1" applyFont="1" applyFill="1" applyBorder="1"/>
    <xf numFmtId="175" fontId="25" fillId="2" borderId="54" xfId="1" applyNumberFormat="1" applyFont="1" applyFill="1" applyBorder="1"/>
    <xf numFmtId="181" fontId="14" fillId="2" borderId="0" xfId="0" applyNumberFormat="1" applyFont="1" applyFill="1"/>
    <xf numFmtId="0" fontId="31" fillId="0" borderId="0" xfId="54" applyFont="1" applyAlignment="1" applyProtection="1">
      <alignment vertical="center" wrapText="1"/>
    </xf>
    <xf numFmtId="175" fontId="0" fillId="2" borderId="0" xfId="0" applyNumberFormat="1" applyFill="1"/>
    <xf numFmtId="174" fontId="14" fillId="2" borderId="0" xfId="0" applyNumberFormat="1" applyFont="1" applyFill="1"/>
    <xf numFmtId="182" fontId="0" fillId="2" borderId="0" xfId="0" applyNumberFormat="1" applyFill="1"/>
  </cellXfs>
  <cellStyles count="121">
    <cellStyle name="20% - Accent1 2" xfId="7" xr:uid="{00000000-0005-0000-0000-000000000000}"/>
    <cellStyle name="20% - Accent2 2" xfId="8" xr:uid="{00000000-0005-0000-0000-000001000000}"/>
    <cellStyle name="20% - Accent3 2" xfId="9" xr:uid="{00000000-0005-0000-0000-000002000000}"/>
    <cellStyle name="20% - Accent4 2" xfId="10" xr:uid="{00000000-0005-0000-0000-000003000000}"/>
    <cellStyle name="20% - Accent5 2" xfId="11" xr:uid="{00000000-0005-0000-0000-000004000000}"/>
    <cellStyle name="20% - Accent6 2" xfId="12" xr:uid="{00000000-0005-0000-0000-000005000000}"/>
    <cellStyle name="40% - Accent1 2" xfId="13" xr:uid="{00000000-0005-0000-0000-000006000000}"/>
    <cellStyle name="40% - Accent2 2" xfId="14" xr:uid="{00000000-0005-0000-0000-000007000000}"/>
    <cellStyle name="40% - Accent3 2" xfId="15" xr:uid="{00000000-0005-0000-0000-000008000000}"/>
    <cellStyle name="40% - Accent4 2" xfId="16" xr:uid="{00000000-0005-0000-0000-000009000000}"/>
    <cellStyle name="40% - Accent5 2" xfId="17" xr:uid="{00000000-0005-0000-0000-00000A000000}"/>
    <cellStyle name="40% - Accent6 2" xfId="18" xr:uid="{00000000-0005-0000-0000-00000B000000}"/>
    <cellStyle name="60% - Accent1 2" xfId="19" xr:uid="{00000000-0005-0000-0000-00000C000000}"/>
    <cellStyle name="60% - Accent2 2" xfId="20" xr:uid="{00000000-0005-0000-0000-00000D000000}"/>
    <cellStyle name="60% - Accent3 2" xfId="21" xr:uid="{00000000-0005-0000-0000-00000E000000}"/>
    <cellStyle name="60% - Accent4 2" xfId="22" xr:uid="{00000000-0005-0000-0000-00000F000000}"/>
    <cellStyle name="60% - Accent5 2" xfId="23" xr:uid="{00000000-0005-0000-0000-000010000000}"/>
    <cellStyle name="60% - Accent6 2" xfId="24" xr:uid="{00000000-0005-0000-0000-000011000000}"/>
    <cellStyle name="Accent1 2" xfId="25" xr:uid="{00000000-0005-0000-0000-000012000000}"/>
    <cellStyle name="Accent2 2" xfId="26" xr:uid="{00000000-0005-0000-0000-000013000000}"/>
    <cellStyle name="Accent3 2" xfId="27" xr:uid="{00000000-0005-0000-0000-000014000000}"/>
    <cellStyle name="Accent4 2" xfId="28" xr:uid="{00000000-0005-0000-0000-000015000000}"/>
    <cellStyle name="Accent5 2" xfId="29" xr:uid="{00000000-0005-0000-0000-000016000000}"/>
    <cellStyle name="Accent6 2" xfId="30" xr:uid="{00000000-0005-0000-0000-000017000000}"/>
    <cellStyle name="Bad 2" xfId="31" xr:uid="{00000000-0005-0000-0000-000018000000}"/>
    <cellStyle name="Calculation 2" xfId="32" xr:uid="{00000000-0005-0000-0000-000019000000}"/>
    <cellStyle name="Calculation 2 2" xfId="33" xr:uid="{00000000-0005-0000-0000-00001A000000}"/>
    <cellStyle name="Calculation 2 2 2" xfId="34" xr:uid="{00000000-0005-0000-0000-00001B000000}"/>
    <cellStyle name="Calculation 2 2 2 2" xfId="35" xr:uid="{00000000-0005-0000-0000-00001C000000}"/>
    <cellStyle name="Calculation 2 2 3" xfId="36" xr:uid="{00000000-0005-0000-0000-00001D000000}"/>
    <cellStyle name="Calculation 2 3" xfId="37" xr:uid="{00000000-0005-0000-0000-00001E000000}"/>
    <cellStyle name="Calculation 2 3 2" xfId="38" xr:uid="{00000000-0005-0000-0000-00001F000000}"/>
    <cellStyle name="Calculation 2 4" xfId="39" xr:uid="{00000000-0005-0000-0000-000020000000}"/>
    <cellStyle name="Check Cell 2" xfId="40" xr:uid="{00000000-0005-0000-0000-000021000000}"/>
    <cellStyle name="Comma" xfId="1" builtinId="3" customBuiltin="1"/>
    <cellStyle name="Comma 10" xfId="41" xr:uid="{00000000-0005-0000-0000-000023000000}"/>
    <cellStyle name="Comma 2" xfId="42" xr:uid="{00000000-0005-0000-0000-000024000000}"/>
    <cellStyle name="Comma 2 2" xfId="43" xr:uid="{00000000-0005-0000-0000-000025000000}"/>
    <cellStyle name="Comma 3" xfId="44" xr:uid="{00000000-0005-0000-0000-000026000000}"/>
    <cellStyle name="Comma 4" xfId="45" xr:uid="{00000000-0005-0000-0000-000027000000}"/>
    <cellStyle name="Comma 5" xfId="113" xr:uid="{5B26F11A-311F-43E3-B365-F2B29E29AED8}"/>
    <cellStyle name="Comma 5 2" xfId="115" xr:uid="{D2B9B070-9F47-40D3-B893-91670A331C08}"/>
    <cellStyle name="Comma 5 2 2" xfId="117" xr:uid="{65B1A4D3-1B7E-40CA-93D6-C4CE0020DF04}"/>
    <cellStyle name="Comma 5 2 2 2" xfId="120" xr:uid="{E05429CB-8E74-404E-B01C-F33A67E400A1}"/>
    <cellStyle name="Comma 5 2 3" xfId="119" xr:uid="{3BC33AA8-ECF9-47F1-85C8-DA93CC42D207}"/>
    <cellStyle name="Comma 5 3" xfId="118" xr:uid="{17D9E803-47D5-4051-B688-44D4591B4DD1}"/>
    <cellStyle name="Comma 6" xfId="46" xr:uid="{00000000-0005-0000-0000-000028000000}"/>
    <cellStyle name="Explanatory Text 2" xfId="47" xr:uid="{00000000-0005-0000-0000-000029000000}"/>
    <cellStyle name="Good" xfId="6" builtinId="26" customBuiltin="1"/>
    <cellStyle name="Good 2" xfId="48" xr:uid="{00000000-0005-0000-0000-00002B000000}"/>
    <cellStyle name="Heading 1" xfId="3" builtinId="16" customBuiltin="1"/>
    <cellStyle name="Heading 1 2" xfId="49" xr:uid="{00000000-0005-0000-0000-00002D000000}"/>
    <cellStyle name="Heading 2" xfId="4" builtinId="17" customBuiltin="1"/>
    <cellStyle name="Heading 2 2" xfId="50" xr:uid="{00000000-0005-0000-0000-00002F000000}"/>
    <cellStyle name="Heading 2 3" xfId="51" xr:uid="{00000000-0005-0000-0000-000030000000}"/>
    <cellStyle name="Heading 3" xfId="5" builtinId="18" customBuiltin="1"/>
    <cellStyle name="Heading 3 2" xfId="52" xr:uid="{00000000-0005-0000-0000-000032000000}"/>
    <cellStyle name="Heading 4 2" xfId="53" xr:uid="{00000000-0005-0000-0000-000033000000}"/>
    <cellStyle name="Hyperlink" xfId="54" xr:uid="{00000000-0005-0000-0000-000034000000}"/>
    <cellStyle name="Hyperlink 2" xfId="55" xr:uid="{00000000-0005-0000-0000-000035000000}"/>
    <cellStyle name="Hyperlink 2 2" xfId="56" xr:uid="{00000000-0005-0000-0000-000036000000}"/>
    <cellStyle name="Hyperlink 2 3" xfId="57" xr:uid="{00000000-0005-0000-0000-000037000000}"/>
    <cellStyle name="Hyperlink 3" xfId="58" xr:uid="{00000000-0005-0000-0000-000038000000}"/>
    <cellStyle name="Hyperlink 4" xfId="59" xr:uid="{00000000-0005-0000-0000-000039000000}"/>
    <cellStyle name="INDEX_Lookup" xfId="60" xr:uid="{00000000-0005-0000-0000-00003A000000}"/>
    <cellStyle name="Input 2" xfId="61" xr:uid="{00000000-0005-0000-0000-00003B000000}"/>
    <cellStyle name="Input 2 2" xfId="62" xr:uid="{00000000-0005-0000-0000-00003C000000}"/>
    <cellStyle name="Input 2 2 2" xfId="63" xr:uid="{00000000-0005-0000-0000-00003D000000}"/>
    <cellStyle name="Input 2 2 2 2" xfId="64" xr:uid="{00000000-0005-0000-0000-00003E000000}"/>
    <cellStyle name="Input 2 2 3" xfId="65" xr:uid="{00000000-0005-0000-0000-00003F000000}"/>
    <cellStyle name="Input 2 3" xfId="66" xr:uid="{00000000-0005-0000-0000-000040000000}"/>
    <cellStyle name="Input 2 3 2" xfId="67" xr:uid="{00000000-0005-0000-0000-000041000000}"/>
    <cellStyle name="Input 2 4" xfId="68" xr:uid="{00000000-0005-0000-0000-000042000000}"/>
    <cellStyle name="Linked Cell 2" xfId="69" xr:uid="{00000000-0005-0000-0000-000043000000}"/>
    <cellStyle name="Neutral 2" xfId="70" xr:uid="{00000000-0005-0000-0000-000044000000}"/>
    <cellStyle name="Normal" xfId="0" builtinId="0" customBuiltin="1"/>
    <cellStyle name="Normal 10" xfId="71" xr:uid="{00000000-0005-0000-0000-000046000000}"/>
    <cellStyle name="Normal 11" xfId="72" xr:uid="{00000000-0005-0000-0000-000047000000}"/>
    <cellStyle name="Normal 12" xfId="112" xr:uid="{DF589BD1-5864-4817-A970-52733413675E}"/>
    <cellStyle name="Normal 12 2" xfId="114" xr:uid="{30078918-C720-4DB6-8B06-4283FF59C36D}"/>
    <cellStyle name="Normal 12 2 2" xfId="116" xr:uid="{9F1A7892-BAEA-4712-A8EC-0376104B2A4E}"/>
    <cellStyle name="Normal 2" xfId="73" xr:uid="{00000000-0005-0000-0000-000048000000}"/>
    <cellStyle name="Normal 2 2" xfId="74" xr:uid="{00000000-0005-0000-0000-000049000000}"/>
    <cellStyle name="Normal 2 3" xfId="75" xr:uid="{00000000-0005-0000-0000-00004A000000}"/>
    <cellStyle name="Normal 3" xfId="76" xr:uid="{00000000-0005-0000-0000-00004B000000}"/>
    <cellStyle name="Normal 3 2" xfId="77" xr:uid="{00000000-0005-0000-0000-00004C000000}"/>
    <cellStyle name="Normal 4" xfId="78" xr:uid="{00000000-0005-0000-0000-00004D000000}"/>
    <cellStyle name="Normal 4 2" xfId="79" xr:uid="{00000000-0005-0000-0000-00004E000000}"/>
    <cellStyle name="Normal 4 3" xfId="80" xr:uid="{00000000-0005-0000-0000-00004F000000}"/>
    <cellStyle name="Normal 4 3 2" xfId="81" xr:uid="{00000000-0005-0000-0000-000050000000}"/>
    <cellStyle name="Normal 5" xfId="82" xr:uid="{00000000-0005-0000-0000-000051000000}"/>
    <cellStyle name="Normal 6" xfId="83" xr:uid="{00000000-0005-0000-0000-000052000000}"/>
    <cellStyle name="Normal 7" xfId="84" xr:uid="{00000000-0005-0000-0000-000053000000}"/>
    <cellStyle name="Normal 7 2" xfId="85" xr:uid="{00000000-0005-0000-0000-000054000000}"/>
    <cellStyle name="Normal 8" xfId="86" xr:uid="{00000000-0005-0000-0000-000055000000}"/>
    <cellStyle name="Normal 9" xfId="87" xr:uid="{00000000-0005-0000-0000-000056000000}"/>
    <cellStyle name="Note 2" xfId="88" xr:uid="{00000000-0005-0000-0000-000057000000}"/>
    <cellStyle name="Note 2 2" xfId="89" xr:uid="{00000000-0005-0000-0000-000058000000}"/>
    <cellStyle name="Note 2 2 2" xfId="90" xr:uid="{00000000-0005-0000-0000-000059000000}"/>
    <cellStyle name="Note 2 3" xfId="91" xr:uid="{00000000-0005-0000-0000-00005A000000}"/>
    <cellStyle name="Output 2" xfId="92" xr:uid="{00000000-0005-0000-0000-00005B000000}"/>
    <cellStyle name="Output 2 2" xfId="93" xr:uid="{00000000-0005-0000-0000-00005C000000}"/>
    <cellStyle name="Output 2 2 2" xfId="94" xr:uid="{00000000-0005-0000-0000-00005D000000}"/>
    <cellStyle name="Output 2 2 2 2" xfId="95" xr:uid="{00000000-0005-0000-0000-00005E000000}"/>
    <cellStyle name="Output 2 2 3" xfId="96" xr:uid="{00000000-0005-0000-0000-00005F000000}"/>
    <cellStyle name="Output 2 3" xfId="97" xr:uid="{00000000-0005-0000-0000-000060000000}"/>
    <cellStyle name="Output 2 3 2" xfId="98" xr:uid="{00000000-0005-0000-0000-000061000000}"/>
    <cellStyle name="Output 2 4" xfId="99" xr:uid="{00000000-0005-0000-0000-000062000000}"/>
    <cellStyle name="Percent" xfId="2" builtinId="5" customBuiltin="1"/>
    <cellStyle name="Percent 2" xfId="100" xr:uid="{00000000-0005-0000-0000-000064000000}"/>
    <cellStyle name="Source_1_1" xfId="101" xr:uid="{00000000-0005-0000-0000-000065000000}"/>
    <cellStyle name="Title 2" xfId="102" xr:uid="{00000000-0005-0000-0000-000066000000}"/>
    <cellStyle name="Total 2" xfId="103" xr:uid="{00000000-0005-0000-0000-000067000000}"/>
    <cellStyle name="Total 2 2" xfId="104" xr:uid="{00000000-0005-0000-0000-000068000000}"/>
    <cellStyle name="Total 2 2 2" xfId="105" xr:uid="{00000000-0005-0000-0000-000069000000}"/>
    <cellStyle name="Total 2 2 2 2" xfId="106" xr:uid="{00000000-0005-0000-0000-00006A000000}"/>
    <cellStyle name="Total 2 2 3" xfId="107" xr:uid="{00000000-0005-0000-0000-00006B000000}"/>
    <cellStyle name="Total 2 3" xfId="108" xr:uid="{00000000-0005-0000-0000-00006C000000}"/>
    <cellStyle name="Total 2 3 2" xfId="109" xr:uid="{00000000-0005-0000-0000-00006D000000}"/>
    <cellStyle name="Total 2 4" xfId="110" xr:uid="{00000000-0005-0000-0000-00006E000000}"/>
    <cellStyle name="Warning Text 2" xfId="111" xr:uid="{00000000-0005-0000-0000-00006F000000}"/>
  </cellStyles>
  <dxfs count="987">
    <dxf>
      <font>
        <b val="0"/>
        <i val="0"/>
        <strike val="0"/>
        <condense val="0"/>
        <extend val="0"/>
        <outline val="0"/>
        <shadow val="0"/>
        <u val="none"/>
        <vertAlign val="baseline"/>
        <sz val="12"/>
        <color theme="1"/>
        <name val="Calibri"/>
        <family val="2"/>
        <scheme val="minor"/>
      </font>
      <numFmt numFmtId="176" formatCode="_-* #,##0.0_-;\-* #,##0.0_-;_-* &quot;-&quot;??_-;_-@_-"/>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theme="1"/>
        <name val="Calibri"/>
        <family val="2"/>
        <scheme val="minor"/>
      </font>
      <numFmt numFmtId="177"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6" formatCode="_-* #,##0.0_-;\-* #,##0.0_-;_-* &quot;-&quot;??_-;_-@_-"/>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theme="1"/>
        <name val="Calibri"/>
        <family val="2"/>
        <scheme val="minor"/>
      </font>
      <numFmt numFmtId="176"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rgb="FF000000"/>
        <name val="Calibri"/>
        <family val="2"/>
        <scheme val="none"/>
      </font>
      <fill>
        <patternFill patternType="solid">
          <fgColor rgb="FF000000"/>
          <bgColor rgb="FFFFFFFF"/>
        </patternFill>
      </fill>
      <alignment horizontal="general" vertical="center" textRotation="0" wrapText="0" indent="0" justifyLastLine="0" shrinkToFit="0" readingOrder="0"/>
    </dxf>
    <dxf>
      <border>
        <bottom style="thin">
          <color rgb="FF000000"/>
        </bottom>
      </border>
    </dxf>
    <dxf>
      <font>
        <b/>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indexed="64"/>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outline="0">
        <left/>
        <right style="thin">
          <color indexed="64"/>
        </right>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sz val="12"/>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sz val="12"/>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sz val="12"/>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sz val="12"/>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style="thin">
          <color rgb="FF00000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5" formatCode="&quot; &quot;* #,##0.0&quot; &quot;;&quot;-&quot;* #,##0.0&quot; &quot;;&quot; &quot;* &quot;-&quot;#&quot; &quot;;&quot; &quot;@&quot; &quot;"/>
      <fill>
        <patternFill patternType="solid">
          <fgColor rgb="FFFFFFFF"/>
          <bgColor rgb="FFFFFFFF"/>
        </patternFill>
      </fill>
      <alignment horizontal="left" vertical="bottom" textRotation="0" wrapText="0" indent="2" justifyLastLine="0" shrinkToFit="0" readingOrder="0"/>
      <border diagonalUp="0" diagonalDown="0">
        <left/>
        <right style="thin">
          <color rgb="FF000000"/>
        </right>
        <top/>
        <bottom style="thin">
          <color rgb="FF000000"/>
        </bottom>
        <vertical/>
        <horizontal/>
      </border>
    </dxf>
    <dxf>
      <border outline="0">
        <bottom style="medium">
          <color rgb="FF000000"/>
        </bottom>
      </border>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dxf>
    <dxf>
      <border outline="0">
        <bottom style="thin">
          <color rgb="FF000000"/>
        </bottom>
      </border>
    </dxf>
    <dxf>
      <font>
        <b/>
        <i val="0"/>
        <strike val="0"/>
        <condense val="0"/>
        <extend val="0"/>
        <outline val="0"/>
        <shadow val="0"/>
        <u val="none"/>
        <vertAlign val="baseline"/>
        <sz val="12"/>
        <color rgb="FF000000"/>
        <name val="Calibri"/>
        <family val="2"/>
        <scheme val="none"/>
      </font>
      <numFmt numFmtId="170" formatCode="mmm&quot; &quot;yyyy"/>
      <fill>
        <patternFill patternType="solid">
          <fgColor rgb="FFFFFFFF"/>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border diagonalUp="0" diagonalDown="0">
        <left style="thin">
          <color indexed="64"/>
        </left>
        <right/>
        <vertical/>
      </border>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border diagonalUp="0" diagonalDown="0">
        <left/>
        <right style="thin">
          <color indexed="64"/>
        </right>
        <vertical/>
      </border>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border diagonalUp="0" diagonalDown="0" outline="0">
        <left/>
        <right style="thin">
          <color indexed="64"/>
        </right>
      </border>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border diagonalUp="0" diagonalDown="0">
        <left style="thin">
          <color indexed="64"/>
        </left>
        <right/>
        <vertical/>
      </border>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border diagonalUp="0" diagonalDown="0">
        <left style="thin">
          <color indexed="64"/>
        </left>
        <right/>
        <vertical/>
      </border>
    </dxf>
    <dxf>
      <border diagonalUp="0" diagonalDown="0">
        <left style="thin">
          <color indexed="64"/>
        </left>
        <right/>
        <vertical/>
      </border>
    </dxf>
    <dxf>
      <border diagonalUp="0" diagonalDown="0">
        <left style="thin">
          <color indexed="64"/>
        </left>
        <right/>
        <vertical/>
      </border>
    </dxf>
    <dxf>
      <border>
        <bottom style="thin">
          <color rgb="FF000000"/>
        </bottom>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style="thin">
          <color indexed="64"/>
        </right>
        <top/>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style="thin">
          <color indexed="64"/>
        </right>
        <vertic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border diagonalUp="0" diagonalDown="0">
        <left style="thin">
          <color indexed="64"/>
        </left>
        <right/>
        <vertic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indexed="64"/>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style="thin">
          <color indexed="64"/>
        </right>
        <top/>
        <bottom style="thin">
          <color indexed="64"/>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style="thin">
          <color indexed="64"/>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indexed="64"/>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style="thin">
          <color indexed="64"/>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style="thin">
          <color indexed="64"/>
        </right>
        <top/>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style="thin">
          <color indexed="64"/>
        </right>
        <vertic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border diagonalUp="0" diagonalDown="0">
        <left style="thin">
          <color indexed="64"/>
        </left>
        <right/>
        <vertic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indexed="64"/>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style="thin">
          <color indexed="64"/>
        </right>
        <top/>
        <bottom style="thin">
          <color indexed="64"/>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style="thin">
          <color indexed="64"/>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indexed="64"/>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style="thin">
          <color indexed="64"/>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style="thin">
          <color indexed="64"/>
        </right>
        <top/>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style="thin">
          <color indexed="64"/>
        </right>
        <vertic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border diagonalUp="0" diagonalDown="0">
        <left style="thin">
          <color indexed="64"/>
        </left>
        <right/>
        <vertic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indexed="64"/>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style="thin">
          <color indexed="64"/>
        </right>
        <top/>
        <bottom style="thin">
          <color indexed="64"/>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style="thin">
          <color indexed="64"/>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indexed="64"/>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style="thin">
          <color indexed="64"/>
        </right>
        <top/>
        <bottom style="thin">
          <color rgb="FF000000"/>
        </bottom>
        <vertical/>
        <horizontal/>
      </border>
    </dxf>
    <dxf>
      <font>
        <b val="0"/>
        <i val="0"/>
        <strike val="0"/>
        <condense val="0"/>
        <extend val="0"/>
        <outline val="0"/>
        <shadow val="0"/>
        <u val="none"/>
        <vertAlign val="baseline"/>
        <sz val="12"/>
        <color theme="1"/>
        <name val="Calibri"/>
        <family val="2"/>
        <scheme val="minor"/>
      </font>
      <numFmt numFmtId="176" formatCode="_-* #,##0.0_-;\-* #,##0.0_-;_-* &quot;-&quot;??_-;_-@_-"/>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theme="1"/>
        <name val="Calibri"/>
        <family val="2"/>
        <scheme val="minor"/>
      </font>
      <numFmt numFmtId="177" formatCode="_-* #,##0_-;\-* #,##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76" formatCode="_-* #,##0.0_-;\-* #,##0.0_-;_-* &quot;-&quot;??_-;_-@_-"/>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theme="1"/>
        <name val="Calibri"/>
        <family val="2"/>
        <scheme val="minor"/>
      </font>
      <numFmt numFmtId="176" formatCode="_-* #,##0.0_-;\-* #,##0.0_-;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2"/>
        <color theme="1"/>
        <name val="Calibri"/>
        <family val="2"/>
        <scheme val="minor"/>
      </font>
      <fill>
        <patternFill patternType="solid">
          <fgColor indexed="64"/>
          <bgColor theme="0"/>
        </patternFill>
      </fill>
      <alignment horizontal="general" vertical="center" textRotation="0" wrapText="0" indent="0" justifyLastLine="0" shrinkToFit="0" readingOrder="0"/>
    </dxf>
    <dxf>
      <border>
        <bottom style="thin">
          <color indexed="64"/>
        </bottom>
      </border>
    </dxf>
    <dxf>
      <font>
        <b/>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indent="0" justifyLastLine="0" shrinkToFit="0" readingOrder="0"/>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indexed="64"/>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outline="0">
        <left/>
        <right style="thin">
          <color indexed="64"/>
        </right>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sz val="12"/>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sz val="12"/>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sz val="12"/>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sz val="12"/>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style="thin">
          <color rgb="FF00000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5" formatCode="&quot; &quot;* #,##0.0&quot; &quot;;&quot;-&quot;* #,##0.0&quot; &quot;;&quot; &quot;* &quot;-&quot;#&quot; &quot;;&quot; &quot;@&quot; &quot;"/>
      <fill>
        <patternFill patternType="solid">
          <fgColor rgb="FFFFFFFF"/>
          <bgColor rgb="FFFFFFFF"/>
        </patternFill>
      </fill>
      <alignment horizontal="left" vertical="bottom" textRotation="0" wrapText="0" indent="2" justifyLastLine="0" shrinkToFit="0" readingOrder="0"/>
      <border diagonalUp="0" diagonalDown="0">
        <left/>
        <right style="thin">
          <color rgb="FF000000"/>
        </right>
        <top/>
        <bottom style="thin">
          <color rgb="FF000000"/>
        </bottom>
        <vertical/>
        <horizontal/>
      </border>
    </dxf>
    <dxf>
      <border outline="0">
        <bottom style="medium">
          <color indexed="64"/>
        </bottom>
      </border>
    </dxf>
    <dxf>
      <font>
        <b val="0"/>
        <i val="0"/>
        <strike val="0"/>
        <condense val="0"/>
        <extend val="0"/>
        <outline val="0"/>
        <shadow val="0"/>
        <u val="none"/>
        <vertAlign val="baseline"/>
        <sz val="12"/>
        <color rgb="FF000000"/>
        <name val="Calibri"/>
        <family val="2"/>
        <scheme val="none"/>
      </font>
      <fill>
        <patternFill patternType="solid">
          <fgColor rgb="FFFFFFFF"/>
          <bgColor rgb="FFFFFFFF"/>
        </patternFill>
      </fill>
    </dxf>
    <dxf>
      <border outline="0">
        <bottom style="thin">
          <color indexed="64"/>
        </bottom>
      </border>
    </dxf>
    <dxf>
      <font>
        <b/>
        <i val="0"/>
        <strike val="0"/>
        <condense val="0"/>
        <extend val="0"/>
        <outline val="0"/>
        <shadow val="0"/>
        <u val="none"/>
        <vertAlign val="baseline"/>
        <sz val="12"/>
        <color rgb="FF000000"/>
        <name val="Calibri"/>
        <family val="2"/>
        <scheme val="none"/>
      </font>
      <numFmt numFmtId="170" formatCode="mmm&quot; &quot;yyyy"/>
      <fill>
        <patternFill patternType="solid">
          <fgColor rgb="FFFFFFFF"/>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style="thin">
          <color indexed="64"/>
        </left>
        <right/>
        <top/>
        <bottom/>
        <vertical/>
        <horizontal/>
      </border>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border diagonalUp="0" diagonalDown="0">
        <left style="thin">
          <color indexed="64"/>
        </left>
        <right/>
        <vertical/>
      </border>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border diagonalUp="0" diagonalDown="0">
        <left/>
        <right style="thin">
          <color indexed="64"/>
        </right>
        <vertical/>
      </border>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border diagonalUp="0" diagonalDown="0" outline="0">
        <left/>
        <right style="thin">
          <color indexed="64"/>
        </right>
      </border>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border diagonalUp="0" diagonalDown="0">
        <left style="thin">
          <color indexed="64"/>
        </left>
        <right/>
        <vertical/>
      </border>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9" formatCode="0.0"/>
      <fill>
        <patternFill patternType="solid">
          <fgColor rgb="FFFFFFFF"/>
          <bgColor rgb="FFFFFFFF"/>
        </patternFill>
      </fill>
    </dxf>
    <dxf>
      <border diagonalUp="0" diagonalDown="0">
        <left style="thin">
          <color indexed="64"/>
        </left>
        <right/>
        <vertical/>
      </border>
    </dxf>
    <dxf>
      <border diagonalUp="0" diagonalDown="0">
        <left style="thin">
          <color indexed="64"/>
        </left>
        <right/>
        <vertical/>
      </border>
    </dxf>
    <dxf>
      <border diagonalUp="0" diagonalDown="0">
        <left style="thin">
          <color indexed="64"/>
        </left>
        <right/>
        <vertical/>
      </border>
    </dxf>
    <dxf>
      <border>
        <bottom style="thin">
          <color indexed="64"/>
        </bottom>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style="thin">
          <color indexed="64"/>
        </right>
        <top/>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style="thin">
          <color indexed="64"/>
        </right>
        <vertic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border diagonalUp="0" diagonalDown="0">
        <left style="thin">
          <color indexed="64"/>
        </left>
        <right/>
        <vertic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5" formatCode="#,##0;\-#,##0"/>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border diagonalUp="0" diagonalDown="0">
        <left/>
        <right style="thin">
          <color rgb="FF000000"/>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67" formatCode="&quot; &quot;* #,##0&quot; &quot;;&quot;-&quot;* #,##0&quot; &quot;;&quot; &quot;* &quot;-&quot;#&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indexed="64"/>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style="thin">
          <color indexed="64"/>
        </right>
        <top/>
        <bottom style="thin">
          <color indexed="64"/>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style="thin">
          <color indexed="64"/>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5" formatCode="#,##0.0;\-#,##0.0"/>
      <fill>
        <patternFill patternType="solid">
          <fgColor rgb="FFFFFFFF"/>
          <bgColor rgb="FFFFFFFF"/>
        </patternFill>
      </fill>
      <border diagonalUp="0" diagonalDown="0">
        <left/>
        <right style="thin">
          <color indexed="64"/>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top/>
        <bottom style="thin">
          <color rgb="FF000000"/>
        </bottom>
        <vertical/>
        <horizontal/>
      </border>
    </dxf>
    <dxf>
      <font>
        <b val="0"/>
        <i val="0"/>
        <strike val="0"/>
        <condense val="0"/>
        <extend val="0"/>
        <outline val="0"/>
        <shadow val="0"/>
        <u val="none"/>
        <vertAlign val="baseline"/>
        <sz val="12"/>
        <color rgb="FF000000"/>
        <name val="Calibri"/>
        <family val="2"/>
        <scheme val="none"/>
      </font>
      <numFmt numFmtId="174" formatCode="&quot; &quot;* #,##0.0&quot; &quot;;&quot;-&quot;* #,##0.0&quot; &quot;;&quot; &quot;* &quot;-&quot;#.0&quot; &quot;;&quot; &quot;@&quot; &quot;"/>
      <fill>
        <patternFill patternType="solid">
          <fgColor rgb="FFFFFFFF"/>
          <bgColor rgb="FFFFFFFF"/>
        </patternFill>
      </fill>
      <border diagonalUp="0" diagonalDown="0">
        <left/>
        <right style="thin">
          <color indexed="64"/>
        </right>
        <top/>
        <bottom style="thin">
          <color rgb="FF000000"/>
        </bottom>
        <vertical/>
        <horizontal/>
      </border>
    </dxf>
    <dxf>
      <font>
        <strike val="0"/>
        <outline val="0"/>
        <shadow val="0"/>
        <u val="none"/>
        <vertAlign val="baseline"/>
        <color rgb="FFFF0000"/>
        <name val="Calibri"/>
        <family val="2"/>
        <scheme val="none"/>
      </font>
    </dxf>
    <dxf>
      <font>
        <strike val="0"/>
        <outline val="0"/>
        <shadow val="0"/>
        <u val="none"/>
        <vertAlign val="baseline"/>
        <color rgb="FFFF0000"/>
        <name val="Calibri"/>
        <family val="2"/>
        <scheme val="none"/>
      </font>
    </dxf>
    <dxf>
      <font>
        <strike val="0"/>
        <outline val="0"/>
        <shadow val="0"/>
        <vertAlign val="baseline"/>
        <sz val="12"/>
        <name val="Calibri"/>
        <family val="2"/>
        <scheme val="minor"/>
      </font>
    </dxf>
    <dxf>
      <font>
        <strike val="0"/>
        <outline val="0"/>
        <shadow val="0"/>
        <u/>
        <vertAlign val="baseline"/>
        <sz val="12"/>
        <color rgb="FF0000FF"/>
        <name val="Calibri"/>
        <family val="2"/>
        <scheme val="minor"/>
      </font>
    </dxf>
    <dxf>
      <font>
        <strike val="0"/>
        <outline val="0"/>
        <shadow val="0"/>
        <vertAlign val="baseline"/>
        <sz val="12"/>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lIns="0" tIns="0" rIns="0" bIns="0"/>
          <a:lstStyle/>
          <a:p>
            <a:pPr marL="0" marR="0" indent="0" algn="l" defTabSz="914400" fontAlgn="auto" hangingPunct="1">
              <a:lnSpc>
                <a:spcPct val="100000"/>
              </a:lnSpc>
              <a:spcBef>
                <a:spcPts val="0"/>
              </a:spcBef>
              <a:spcAft>
                <a:spcPts val="0"/>
              </a:spcAft>
              <a:tabLst/>
              <a:defRPr sz="1800" b="1" i="0" u="none" strike="noStrike" kern="1200" baseline="0">
                <a:solidFill>
                  <a:srgbClr val="000000"/>
                </a:solidFill>
                <a:latin typeface="Calibri"/>
              </a:defRPr>
            </a:pPr>
            <a:r>
              <a:rPr lang="en-GB" sz="1800" b="1" i="0" u="none" strike="noStrike" kern="1200" cap="none" spc="0" baseline="0">
                <a:solidFill>
                  <a:srgbClr val="000000"/>
                </a:solidFill>
                <a:uFillTx/>
                <a:latin typeface="Calibri"/>
              </a:rPr>
              <a:t>UK Solar Deployment:</a:t>
            </a:r>
            <a:br>
              <a:rPr lang="en-GB" sz="1800" b="1" i="0" u="none" strike="noStrike" kern="1200" cap="none" spc="0" baseline="0">
                <a:solidFill>
                  <a:srgbClr val="000000"/>
                </a:solidFill>
                <a:uFillTx/>
                <a:latin typeface="Calibri"/>
              </a:rPr>
            </a:br>
            <a:r>
              <a:rPr lang="en-GB" sz="1800" b="1" i="0" u="none" strike="noStrike" kern="1200" cap="none" spc="0" baseline="0">
                <a:solidFill>
                  <a:srgbClr val="000000"/>
                </a:solidFill>
                <a:uFillTx/>
                <a:latin typeface="Calibri"/>
              </a:rPr>
              <a:t>By Capacity </a:t>
            </a:r>
            <a:br>
              <a:rPr lang="en-GB" sz="1800" b="1" i="0" u="none" strike="noStrike" kern="1200" cap="none" spc="0" baseline="0">
                <a:solidFill>
                  <a:srgbClr val="000000"/>
                </a:solidFill>
                <a:uFillTx/>
                <a:latin typeface="Calibri"/>
              </a:rPr>
            </a:br>
            <a:r>
              <a:rPr lang="en-GB" sz="1800" b="1" i="0" u="none" strike="noStrike" kern="1200" cap="none" spc="0" baseline="0">
                <a:solidFill>
                  <a:srgbClr val="000000"/>
                </a:solidFill>
                <a:uFillTx/>
                <a:latin typeface="Calibri"/>
              </a:rPr>
              <a:t>(updated monthly)</a:t>
            </a:r>
          </a:p>
        </c:rich>
      </c:tx>
      <c:layout>
        <c:manualLayout>
          <c:xMode val="edge"/>
          <c:yMode val="edge"/>
          <c:x val="5.8773696471732861E-2"/>
          <c:y val="6.6192913857654412E-2"/>
        </c:manualLayout>
      </c:layout>
      <c:overlay val="0"/>
      <c:spPr>
        <a:noFill/>
        <a:ln>
          <a:noFill/>
        </a:ln>
      </c:spPr>
    </c:title>
    <c:autoTitleDeleted val="0"/>
    <c:plotArea>
      <c:layout>
        <c:manualLayout>
          <c:xMode val="edge"/>
          <c:yMode val="edge"/>
          <c:x val="1.4529315705250971E-2"/>
          <c:y val="4.0458468989345547E-2"/>
          <c:w val="0.95738765873171494"/>
          <c:h val="0.8656341063261932"/>
        </c:manualLayout>
      </c:layout>
      <c:areaChart>
        <c:grouping val="stacked"/>
        <c:varyColors val="0"/>
        <c:ser>
          <c:idx val="0"/>
          <c:order val="0"/>
          <c:tx>
            <c:strRef>
              <c:f>Table_1_by_Capacity!$A$29:$A$29</c:f>
              <c:strCache>
                <c:ptCount val="1"/>
                <c:pt idx="0">
                  <c:v> Pre 2009 estimate [note 2] </c:v>
                </c:pt>
              </c:strCache>
            </c:strRef>
          </c:tx>
          <c:spPr>
            <a:solidFill>
              <a:srgbClr val="FFFFCC"/>
            </a:solidFill>
            <a:ln>
              <a:noFill/>
            </a:ln>
          </c:spPr>
          <c:cat>
            <c:strRef>
              <c:f>Table_1_by_Capacity!$B$5:$GQ$5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Table_1_by_Capacity!$B$29:$GQ$29</c:f>
              <c:numCache>
                <c:formatCode>#,##0.0;\-#,##0.0</c:formatCode>
                <c:ptCount val="198"/>
                <c:pt idx="0">
                  <c:v>14.6</c:v>
                </c:pt>
                <c:pt idx="1">
                  <c:v>14.6</c:v>
                </c:pt>
                <c:pt idx="2">
                  <c:v>14.6</c:v>
                </c:pt>
                <c:pt idx="3">
                  <c:v>14.6</c:v>
                </c:pt>
                <c:pt idx="4">
                  <c:v>14.6</c:v>
                </c:pt>
                <c:pt idx="5">
                  <c:v>14.6</c:v>
                </c:pt>
                <c:pt idx="6">
                  <c:v>14.6</c:v>
                </c:pt>
                <c:pt idx="7">
                  <c:v>14.6</c:v>
                </c:pt>
                <c:pt idx="8">
                  <c:v>14.6</c:v>
                </c:pt>
                <c:pt idx="9">
                  <c:v>14.6</c:v>
                </c:pt>
                <c:pt idx="10">
                  <c:v>14.6</c:v>
                </c:pt>
                <c:pt idx="11">
                  <c:v>14.6</c:v>
                </c:pt>
                <c:pt idx="12">
                  <c:v>14.6</c:v>
                </c:pt>
                <c:pt idx="13">
                  <c:v>14.6</c:v>
                </c:pt>
                <c:pt idx="14">
                  <c:v>14.6</c:v>
                </c:pt>
                <c:pt idx="15">
                  <c:v>14.6</c:v>
                </c:pt>
                <c:pt idx="16">
                  <c:v>14.6</c:v>
                </c:pt>
                <c:pt idx="17">
                  <c:v>14.6</c:v>
                </c:pt>
                <c:pt idx="18">
                  <c:v>14.6</c:v>
                </c:pt>
                <c:pt idx="19">
                  <c:v>14.6</c:v>
                </c:pt>
                <c:pt idx="20">
                  <c:v>14.6</c:v>
                </c:pt>
                <c:pt idx="21">
                  <c:v>14.6</c:v>
                </c:pt>
                <c:pt idx="22">
                  <c:v>14.6</c:v>
                </c:pt>
                <c:pt idx="23">
                  <c:v>14.6</c:v>
                </c:pt>
                <c:pt idx="24">
                  <c:v>14.6</c:v>
                </c:pt>
                <c:pt idx="25">
                  <c:v>14.6</c:v>
                </c:pt>
                <c:pt idx="26">
                  <c:v>14.6</c:v>
                </c:pt>
                <c:pt idx="27">
                  <c:v>14.6</c:v>
                </c:pt>
                <c:pt idx="28">
                  <c:v>14.6</c:v>
                </c:pt>
                <c:pt idx="29">
                  <c:v>14.6</c:v>
                </c:pt>
                <c:pt idx="30">
                  <c:v>14.6</c:v>
                </c:pt>
                <c:pt idx="31">
                  <c:v>14.6</c:v>
                </c:pt>
                <c:pt idx="32">
                  <c:v>14.6</c:v>
                </c:pt>
                <c:pt idx="33">
                  <c:v>14.6</c:v>
                </c:pt>
                <c:pt idx="34">
                  <c:v>14.6</c:v>
                </c:pt>
                <c:pt idx="35">
                  <c:v>14.6</c:v>
                </c:pt>
                <c:pt idx="36">
                  <c:v>14.6</c:v>
                </c:pt>
                <c:pt idx="37">
                  <c:v>14.6</c:v>
                </c:pt>
                <c:pt idx="38">
                  <c:v>14.6</c:v>
                </c:pt>
                <c:pt idx="39">
                  <c:v>14.6</c:v>
                </c:pt>
                <c:pt idx="40">
                  <c:v>14.6</c:v>
                </c:pt>
                <c:pt idx="41">
                  <c:v>14.6</c:v>
                </c:pt>
                <c:pt idx="42">
                  <c:v>14.6</c:v>
                </c:pt>
                <c:pt idx="43">
                  <c:v>14.6</c:v>
                </c:pt>
                <c:pt idx="44">
                  <c:v>14.6</c:v>
                </c:pt>
                <c:pt idx="45">
                  <c:v>14.6</c:v>
                </c:pt>
                <c:pt idx="46">
                  <c:v>14.6</c:v>
                </c:pt>
                <c:pt idx="47">
                  <c:v>14.6</c:v>
                </c:pt>
                <c:pt idx="48">
                  <c:v>14.6</c:v>
                </c:pt>
                <c:pt idx="49">
                  <c:v>14.6</c:v>
                </c:pt>
                <c:pt idx="50">
                  <c:v>14.6</c:v>
                </c:pt>
                <c:pt idx="51">
                  <c:v>14.6</c:v>
                </c:pt>
                <c:pt idx="52">
                  <c:v>14.6</c:v>
                </c:pt>
                <c:pt idx="53">
                  <c:v>14.6</c:v>
                </c:pt>
                <c:pt idx="54">
                  <c:v>14.6</c:v>
                </c:pt>
                <c:pt idx="55">
                  <c:v>14.6</c:v>
                </c:pt>
                <c:pt idx="56">
                  <c:v>14.6</c:v>
                </c:pt>
                <c:pt idx="57">
                  <c:v>14.6</c:v>
                </c:pt>
                <c:pt idx="58">
                  <c:v>14.6</c:v>
                </c:pt>
                <c:pt idx="59">
                  <c:v>14.6</c:v>
                </c:pt>
                <c:pt idx="60">
                  <c:v>14.6</c:v>
                </c:pt>
                <c:pt idx="61">
                  <c:v>14.6</c:v>
                </c:pt>
                <c:pt idx="62">
                  <c:v>14.6</c:v>
                </c:pt>
                <c:pt idx="63">
                  <c:v>14.6</c:v>
                </c:pt>
                <c:pt idx="64">
                  <c:v>14.6</c:v>
                </c:pt>
                <c:pt idx="65">
                  <c:v>14.6</c:v>
                </c:pt>
                <c:pt idx="66">
                  <c:v>14.6</c:v>
                </c:pt>
                <c:pt idx="67">
                  <c:v>14.6</c:v>
                </c:pt>
                <c:pt idx="68">
                  <c:v>14.6</c:v>
                </c:pt>
                <c:pt idx="69">
                  <c:v>14.6</c:v>
                </c:pt>
                <c:pt idx="70">
                  <c:v>14.6</c:v>
                </c:pt>
                <c:pt idx="71">
                  <c:v>14.6</c:v>
                </c:pt>
                <c:pt idx="72">
                  <c:v>14.6</c:v>
                </c:pt>
                <c:pt idx="73">
                  <c:v>14.6</c:v>
                </c:pt>
                <c:pt idx="74">
                  <c:v>14.6</c:v>
                </c:pt>
                <c:pt idx="75">
                  <c:v>14.6</c:v>
                </c:pt>
                <c:pt idx="76">
                  <c:v>14.6</c:v>
                </c:pt>
                <c:pt idx="77">
                  <c:v>14.6</c:v>
                </c:pt>
                <c:pt idx="78">
                  <c:v>14.6</c:v>
                </c:pt>
                <c:pt idx="79">
                  <c:v>14.6</c:v>
                </c:pt>
                <c:pt idx="80">
                  <c:v>14.6</c:v>
                </c:pt>
                <c:pt idx="81">
                  <c:v>14.6</c:v>
                </c:pt>
                <c:pt idx="82">
                  <c:v>14.6</c:v>
                </c:pt>
                <c:pt idx="83">
                  <c:v>14.6</c:v>
                </c:pt>
                <c:pt idx="84">
                  <c:v>14.6</c:v>
                </c:pt>
                <c:pt idx="85">
                  <c:v>14.6</c:v>
                </c:pt>
                <c:pt idx="86">
                  <c:v>14.6</c:v>
                </c:pt>
                <c:pt idx="87">
                  <c:v>14.6</c:v>
                </c:pt>
                <c:pt idx="88">
                  <c:v>14.6</c:v>
                </c:pt>
                <c:pt idx="89">
                  <c:v>14.6</c:v>
                </c:pt>
                <c:pt idx="90">
                  <c:v>14.6</c:v>
                </c:pt>
                <c:pt idx="91">
                  <c:v>14.6</c:v>
                </c:pt>
                <c:pt idx="92">
                  <c:v>14.6</c:v>
                </c:pt>
                <c:pt idx="93">
                  <c:v>14.6</c:v>
                </c:pt>
                <c:pt idx="94">
                  <c:v>14.6</c:v>
                </c:pt>
                <c:pt idx="95">
                  <c:v>14.6</c:v>
                </c:pt>
                <c:pt idx="96">
                  <c:v>14.6</c:v>
                </c:pt>
                <c:pt idx="97">
                  <c:v>14.6</c:v>
                </c:pt>
                <c:pt idx="98">
                  <c:v>14.6</c:v>
                </c:pt>
                <c:pt idx="99">
                  <c:v>14.6</c:v>
                </c:pt>
                <c:pt idx="100">
                  <c:v>14.6</c:v>
                </c:pt>
                <c:pt idx="101">
                  <c:v>14.6</c:v>
                </c:pt>
                <c:pt idx="102">
                  <c:v>14.6</c:v>
                </c:pt>
                <c:pt idx="103">
                  <c:v>14.6</c:v>
                </c:pt>
                <c:pt idx="104">
                  <c:v>14.6</c:v>
                </c:pt>
                <c:pt idx="105">
                  <c:v>14.6</c:v>
                </c:pt>
                <c:pt idx="106">
                  <c:v>14.6</c:v>
                </c:pt>
                <c:pt idx="107">
                  <c:v>14.6</c:v>
                </c:pt>
                <c:pt idx="108">
                  <c:v>14.6</c:v>
                </c:pt>
                <c:pt idx="109">
                  <c:v>14.6</c:v>
                </c:pt>
                <c:pt idx="110">
                  <c:v>14.6</c:v>
                </c:pt>
                <c:pt idx="111">
                  <c:v>14.6</c:v>
                </c:pt>
                <c:pt idx="112">
                  <c:v>14.6</c:v>
                </c:pt>
                <c:pt idx="113">
                  <c:v>14.6</c:v>
                </c:pt>
                <c:pt idx="114">
                  <c:v>14.6</c:v>
                </c:pt>
                <c:pt idx="115">
                  <c:v>14.6</c:v>
                </c:pt>
                <c:pt idx="116">
                  <c:v>14.6</c:v>
                </c:pt>
                <c:pt idx="117">
                  <c:v>14.6</c:v>
                </c:pt>
                <c:pt idx="118">
                  <c:v>14.6</c:v>
                </c:pt>
                <c:pt idx="119">
                  <c:v>14.6</c:v>
                </c:pt>
                <c:pt idx="120">
                  <c:v>14.6</c:v>
                </c:pt>
                <c:pt idx="121">
                  <c:v>14.6</c:v>
                </c:pt>
                <c:pt idx="122">
                  <c:v>14.6</c:v>
                </c:pt>
                <c:pt idx="123">
                  <c:v>14.6</c:v>
                </c:pt>
                <c:pt idx="124">
                  <c:v>14.6</c:v>
                </c:pt>
                <c:pt idx="125">
                  <c:v>14.6</c:v>
                </c:pt>
                <c:pt idx="126">
                  <c:v>14.6</c:v>
                </c:pt>
                <c:pt idx="127">
                  <c:v>14.6</c:v>
                </c:pt>
                <c:pt idx="128">
                  <c:v>14.6</c:v>
                </c:pt>
                <c:pt idx="129">
                  <c:v>14.6</c:v>
                </c:pt>
                <c:pt idx="130">
                  <c:v>14.6</c:v>
                </c:pt>
                <c:pt idx="131">
                  <c:v>14.6</c:v>
                </c:pt>
                <c:pt idx="132">
                  <c:v>14.6</c:v>
                </c:pt>
                <c:pt idx="133">
                  <c:v>14.6</c:v>
                </c:pt>
                <c:pt idx="134">
                  <c:v>14.6</c:v>
                </c:pt>
                <c:pt idx="135">
                  <c:v>14.6</c:v>
                </c:pt>
                <c:pt idx="136">
                  <c:v>14.6</c:v>
                </c:pt>
                <c:pt idx="137">
                  <c:v>14.6</c:v>
                </c:pt>
                <c:pt idx="138">
                  <c:v>14.6</c:v>
                </c:pt>
                <c:pt idx="139">
                  <c:v>14.6</c:v>
                </c:pt>
                <c:pt idx="140">
                  <c:v>14.6</c:v>
                </c:pt>
                <c:pt idx="141">
                  <c:v>14.6</c:v>
                </c:pt>
                <c:pt idx="142">
                  <c:v>14.6</c:v>
                </c:pt>
                <c:pt idx="143">
                  <c:v>14.6</c:v>
                </c:pt>
                <c:pt idx="144">
                  <c:v>14.6</c:v>
                </c:pt>
                <c:pt idx="145">
                  <c:v>14.6</c:v>
                </c:pt>
                <c:pt idx="146">
                  <c:v>14.6</c:v>
                </c:pt>
                <c:pt idx="147">
                  <c:v>14.6</c:v>
                </c:pt>
                <c:pt idx="148">
                  <c:v>14.6</c:v>
                </c:pt>
                <c:pt idx="149">
                  <c:v>14.6</c:v>
                </c:pt>
                <c:pt idx="150">
                  <c:v>14.6</c:v>
                </c:pt>
                <c:pt idx="151">
                  <c:v>14.6</c:v>
                </c:pt>
                <c:pt idx="152">
                  <c:v>14.6</c:v>
                </c:pt>
                <c:pt idx="153">
                  <c:v>14.6</c:v>
                </c:pt>
                <c:pt idx="154">
                  <c:v>14.6</c:v>
                </c:pt>
                <c:pt idx="155">
                  <c:v>14.6</c:v>
                </c:pt>
                <c:pt idx="156">
                  <c:v>14.6</c:v>
                </c:pt>
                <c:pt idx="157">
                  <c:v>14.6</c:v>
                </c:pt>
                <c:pt idx="158">
                  <c:v>14.6</c:v>
                </c:pt>
                <c:pt idx="159">
                  <c:v>14.6</c:v>
                </c:pt>
                <c:pt idx="160">
                  <c:v>14.6</c:v>
                </c:pt>
                <c:pt idx="161">
                  <c:v>14.6</c:v>
                </c:pt>
                <c:pt idx="162">
                  <c:v>14.6</c:v>
                </c:pt>
                <c:pt idx="163">
                  <c:v>14.6</c:v>
                </c:pt>
                <c:pt idx="164">
                  <c:v>14.6</c:v>
                </c:pt>
                <c:pt idx="165">
                  <c:v>14.6</c:v>
                </c:pt>
                <c:pt idx="166">
                  <c:v>14.6</c:v>
                </c:pt>
                <c:pt idx="167">
                  <c:v>14.6</c:v>
                </c:pt>
                <c:pt idx="168" formatCode="_-* #,##0.0_-;\-* #,##0.0_-;_-* &quot;-&quot;?_-;_-@_-">
                  <c:v>14.6</c:v>
                </c:pt>
                <c:pt idx="169" formatCode="&quot; &quot;* #,##0.0&quot; &quot;;&quot;-&quot;* #,##0.0&quot; &quot;;&quot; &quot;* &quot;-&quot;#.0&quot; &quot;;&quot; &quot;@&quot; &quot;">
                  <c:v>14.6</c:v>
                </c:pt>
                <c:pt idx="170" formatCode="&quot; &quot;* #,##0.0&quot; &quot;;&quot;-&quot;* #,##0.0&quot; &quot;;&quot; &quot;* &quot;-&quot;#.0&quot; &quot;;&quot; &quot;@&quot; &quot;">
                  <c:v>14.6</c:v>
                </c:pt>
                <c:pt idx="171" formatCode="&quot; &quot;* #,##0.0&quot; &quot;;&quot;-&quot;* #,##0.0&quot; &quot;;&quot; &quot;* &quot;-&quot;#.0&quot; &quot;;&quot; &quot;@&quot; &quot;">
                  <c:v>14.6</c:v>
                </c:pt>
                <c:pt idx="172" formatCode="&quot; &quot;* #,##0.0&quot; &quot;;&quot;-&quot;* #,##0.0&quot; &quot;;&quot; &quot;* &quot;-&quot;#.0&quot; &quot;;&quot; &quot;@&quot; &quot;">
                  <c:v>14.6</c:v>
                </c:pt>
                <c:pt idx="173" formatCode="&quot; &quot;* #,##0.0&quot; &quot;;&quot;-&quot;* #,##0.0&quot; &quot;;&quot; &quot;* &quot;-&quot;#.0&quot; &quot;;&quot; &quot;@&quot; &quot;">
                  <c:v>14.6</c:v>
                </c:pt>
                <c:pt idx="174" formatCode="&quot; &quot;* #,##0.0&quot; &quot;;&quot;-&quot;* #,##0.0&quot; &quot;;&quot; &quot;* &quot;-&quot;#.0&quot; &quot;;&quot; &quot;@&quot; &quot;">
                  <c:v>14.6</c:v>
                </c:pt>
                <c:pt idx="175" formatCode="&quot; &quot;* #,##0.0&quot; &quot;;&quot;-&quot;* #,##0.0&quot; &quot;;&quot; &quot;* &quot;-&quot;#.0&quot; &quot;;&quot; &quot;@&quot; &quot;">
                  <c:v>14.6</c:v>
                </c:pt>
                <c:pt idx="176" formatCode="&quot; &quot;* #,##0.0&quot; &quot;;&quot;-&quot;* #,##0.0&quot; &quot;;&quot; &quot;* &quot;-&quot;#.0&quot; &quot;;&quot; &quot;@&quot; &quot;">
                  <c:v>14.6</c:v>
                </c:pt>
                <c:pt idx="177" formatCode="&quot; &quot;* #,##0.0&quot; &quot;;&quot;-&quot;* #,##0.0&quot; &quot;;&quot; &quot;* &quot;-&quot;#.0&quot; &quot;;&quot; &quot;@&quot; &quot;">
                  <c:v>14.6</c:v>
                </c:pt>
                <c:pt idx="178" formatCode="&quot; &quot;* #,##0.0&quot; &quot;;&quot;-&quot;* #,##0.0&quot; &quot;;&quot; &quot;* &quot;-&quot;#.0&quot; &quot;;&quot; &quot;@&quot; &quot;">
                  <c:v>14.6</c:v>
                </c:pt>
                <c:pt idx="179" formatCode="&quot; &quot;* #,##0.0&quot; &quot;;&quot;-&quot;* #,##0.0&quot; &quot;;&quot; &quot;* &quot;-&quot;#.0&quot; &quot;;&quot; &quot;@&quot; &quot;">
                  <c:v>14.6</c:v>
                </c:pt>
                <c:pt idx="180" formatCode="&quot; &quot;* #,##0.0&quot; &quot;;&quot;-&quot;* #,##0.0&quot; &quot;;&quot; &quot;* &quot;-&quot;#.0&quot; &quot;;&quot; &quot;@&quot; &quot;">
                  <c:v>14.6</c:v>
                </c:pt>
                <c:pt idx="181" formatCode="&quot; &quot;* #,##0.0&quot; &quot;;&quot;-&quot;* #,##0.0&quot; &quot;;&quot; &quot;* &quot;-&quot;#.0&quot; &quot;;&quot; &quot;@&quot; &quot;">
                  <c:v>14.6</c:v>
                </c:pt>
                <c:pt idx="182" formatCode="&quot; &quot;* #,##0.0&quot; &quot;;&quot;-&quot;* #,##0.0&quot; &quot;;&quot; &quot;* &quot;-&quot;#.0&quot; &quot;;&quot; &quot;@&quot; &quot;">
                  <c:v>14.6</c:v>
                </c:pt>
                <c:pt idx="183" formatCode="&quot; &quot;* #,##0.0&quot; &quot;;&quot;-&quot;* #,##0.0&quot; &quot;;&quot; &quot;* &quot;-&quot;#.0&quot; &quot;;&quot; &quot;@&quot; &quot;">
                  <c:v>14.6</c:v>
                </c:pt>
                <c:pt idx="184" formatCode="&quot; &quot;* #,##0.0&quot; &quot;;&quot;-&quot;* #,##0.0&quot; &quot;;&quot; &quot;* &quot;-&quot;#.0&quot; &quot;;&quot; &quot;@&quot; &quot;">
                  <c:v>14.6</c:v>
                </c:pt>
                <c:pt idx="185" formatCode="&quot; &quot;* #,##0.0&quot; &quot;;&quot;-&quot;* #,##0.0&quot; &quot;;&quot; &quot;* &quot;-&quot;#.0&quot; &quot;;&quot; &quot;@&quot; &quot;">
                  <c:v>14.6</c:v>
                </c:pt>
                <c:pt idx="186" formatCode="&quot; &quot;* #,##0.0&quot; &quot;;&quot;-&quot;* #,##0.0&quot; &quot;;&quot; &quot;* &quot;-&quot;#.0&quot; &quot;;&quot; &quot;@&quot; &quot;">
                  <c:v>14.6</c:v>
                </c:pt>
                <c:pt idx="187" formatCode="&quot; &quot;* #,##0.0&quot; &quot;;&quot;-&quot;* #,##0.0&quot; &quot;;&quot; &quot;* &quot;-&quot;#.0&quot; &quot;;&quot; &quot;@&quot; &quot;">
                  <c:v>14.6</c:v>
                </c:pt>
                <c:pt idx="188" formatCode="&quot; &quot;* #,##0.0&quot; &quot;;&quot;-&quot;* #,##0.0&quot; &quot;;&quot; &quot;* &quot;-&quot;#.0&quot; &quot;;&quot; &quot;@&quot; &quot;">
                  <c:v>14.6</c:v>
                </c:pt>
                <c:pt idx="189" formatCode="&quot; &quot;* #,##0.0&quot; &quot;;&quot;-&quot;* #,##0.0&quot; &quot;;&quot; &quot;* &quot;-&quot;#.0&quot; &quot;;&quot; &quot;@&quot; &quot;">
                  <c:v>14.6</c:v>
                </c:pt>
                <c:pt idx="190" formatCode="&quot; &quot;* #,##0.0&quot; &quot;;&quot;-&quot;* #,##0.0&quot; &quot;;&quot; &quot;* &quot;-&quot;#.0&quot; &quot;;&quot; &quot;@&quot; &quot;">
                  <c:v>14.6</c:v>
                </c:pt>
                <c:pt idx="191" formatCode="&quot; &quot;* #,##0.0&quot; &quot;;&quot;-&quot;* #,##0.0&quot; &quot;;&quot; &quot;* &quot;-&quot;#.0&quot; &quot;;&quot; &quot;@&quot; &quot;">
                  <c:v>14.6</c:v>
                </c:pt>
                <c:pt idx="192" formatCode="&quot; &quot;* #,##0.0&quot; &quot;;&quot;-&quot;* #,##0.0&quot; &quot;;&quot; &quot;* &quot;-&quot;#.0&quot; &quot;;&quot; &quot;@&quot; &quot;">
                  <c:v>14.6</c:v>
                </c:pt>
                <c:pt idx="193" formatCode="&quot; &quot;* #,##0.0&quot; &quot;;&quot;-&quot;* #,##0.0&quot; &quot;;&quot; &quot;* &quot;-&quot;#.0&quot; &quot;;&quot; &quot;@&quot; &quot;">
                  <c:v>14.6</c:v>
                </c:pt>
                <c:pt idx="194" formatCode="&quot; &quot;* #,##0.0&quot; &quot;;&quot;-&quot;* #,##0.0&quot; &quot;;&quot; &quot;* &quot;-&quot;#.0&quot; &quot;;&quot; &quot;@&quot; &quot;">
                  <c:v>14.6</c:v>
                </c:pt>
                <c:pt idx="195" formatCode="&quot; &quot;* #,##0.0&quot; &quot;;&quot;-&quot;* #,##0.0&quot; &quot;;&quot; &quot;* &quot;-&quot;#.0&quot; &quot;;&quot; &quot;@&quot; &quot;">
                  <c:v>14.6</c:v>
                </c:pt>
                <c:pt idx="196" formatCode="&quot; &quot;* #,##0.0&quot; &quot;;&quot;-&quot;* #,##0.0&quot; &quot;;&quot; &quot;* &quot;-&quot;#.0&quot; &quot;;&quot; &quot;@&quot; &quot;">
                  <c:v>14.6</c:v>
                </c:pt>
                <c:pt idx="197" formatCode="&quot; &quot;* #,##0.0&quot; &quot;;&quot;-&quot;* #,##0.0&quot; &quot;;&quot; &quot;* &quot;-&quot;#.0&quot; &quot;;&quot; &quot;@&quot; &quot;">
                  <c:v>14.6</c:v>
                </c:pt>
              </c:numCache>
            </c:numRef>
          </c:val>
          <c:extLst>
            <c:ext xmlns:c16="http://schemas.microsoft.com/office/drawing/2014/chart" uri="{C3380CC4-5D6E-409C-BE32-E72D297353CC}">
              <c16:uniqueId val="{00000000-81FF-49FF-8CF7-390DE669A330}"/>
            </c:ext>
          </c:extLst>
        </c:ser>
        <c:ser>
          <c:idx val="1"/>
          <c:order val="1"/>
          <c:tx>
            <c:strRef>
              <c:f>Table_1_by_Capacity!$A$23:$A$23</c:f>
              <c:strCache>
                <c:ptCount val="1"/>
                <c:pt idx="0">
                  <c:v> 0 to &lt; 4 kW </c:v>
                </c:pt>
              </c:strCache>
            </c:strRef>
          </c:tx>
          <c:spPr>
            <a:solidFill>
              <a:srgbClr val="C7E9B4"/>
            </a:solidFill>
            <a:ln>
              <a:noFill/>
            </a:ln>
          </c:spPr>
          <c:cat>
            <c:strRef>
              <c:f>Table_1_by_Capacity!$B$5:$GQ$5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Table_1_by_Capacity!$B$23:$GQ$23</c:f>
              <c:numCache>
                <c:formatCode>#,##0.0;\-#,##0.0</c:formatCode>
                <c:ptCount val="198"/>
                <c:pt idx="0">
                  <c:v>8.3360000000000003</c:v>
                </c:pt>
                <c:pt idx="1">
                  <c:v>9.4689999999999994</c:v>
                </c:pt>
                <c:pt idx="2">
                  <c:v>11.361000000000001</c:v>
                </c:pt>
                <c:pt idx="3">
                  <c:v>13.592000000000001</c:v>
                </c:pt>
                <c:pt idx="4">
                  <c:v>17.041</c:v>
                </c:pt>
                <c:pt idx="5">
                  <c:v>21.274000000000001</c:v>
                </c:pt>
                <c:pt idx="6">
                  <c:v>26.466000000000001</c:v>
                </c:pt>
                <c:pt idx="7">
                  <c:v>31.62</c:v>
                </c:pt>
                <c:pt idx="8">
                  <c:v>38.286999999999999</c:v>
                </c:pt>
                <c:pt idx="9">
                  <c:v>46.337000000000003</c:v>
                </c:pt>
                <c:pt idx="10">
                  <c:v>55.654000000000003</c:v>
                </c:pt>
                <c:pt idx="11">
                  <c:v>62.838999999999999</c:v>
                </c:pt>
                <c:pt idx="12">
                  <c:v>72.679000000000002</c:v>
                </c:pt>
                <c:pt idx="13">
                  <c:v>83.924000000000007</c:v>
                </c:pt>
                <c:pt idx="14">
                  <c:v>100.82299999999999</c:v>
                </c:pt>
                <c:pt idx="15">
                  <c:v>116.658</c:v>
                </c:pt>
                <c:pt idx="16">
                  <c:v>135.48699999999999</c:v>
                </c:pt>
                <c:pt idx="17">
                  <c:v>160.28</c:v>
                </c:pt>
                <c:pt idx="18">
                  <c:v>189.06899999999999</c:v>
                </c:pt>
                <c:pt idx="19">
                  <c:v>225.47900000000001</c:v>
                </c:pt>
                <c:pt idx="20">
                  <c:v>270.238</c:v>
                </c:pt>
                <c:pt idx="21">
                  <c:v>321.70999999999998</c:v>
                </c:pt>
                <c:pt idx="22">
                  <c:v>466.44799999999998</c:v>
                </c:pt>
                <c:pt idx="23">
                  <c:v>579.11099999999999</c:v>
                </c:pt>
                <c:pt idx="24">
                  <c:v>600.11599999999999</c:v>
                </c:pt>
                <c:pt idx="25">
                  <c:v>706.73199999999997</c:v>
                </c:pt>
                <c:pt idx="26">
                  <c:v>771.81899999999996</c:v>
                </c:pt>
                <c:pt idx="27">
                  <c:v>784.70399999999995</c:v>
                </c:pt>
                <c:pt idx="28">
                  <c:v>808.75099999999998</c:v>
                </c:pt>
                <c:pt idx="29">
                  <c:v>838.54499999999996</c:v>
                </c:pt>
                <c:pt idx="30">
                  <c:v>894.20799999999997</c:v>
                </c:pt>
                <c:pt idx="31">
                  <c:v>903.44600000000003</c:v>
                </c:pt>
                <c:pt idx="32">
                  <c:v>915.06799999999998</c:v>
                </c:pt>
                <c:pt idx="33">
                  <c:v>937.04700000000003</c:v>
                </c:pt>
                <c:pt idx="34">
                  <c:v>949.94</c:v>
                </c:pt>
                <c:pt idx="35">
                  <c:v>962.84299999999996</c:v>
                </c:pt>
                <c:pt idx="36">
                  <c:v>977.01300000000003</c:v>
                </c:pt>
                <c:pt idx="37">
                  <c:v>991.79</c:v>
                </c:pt>
                <c:pt idx="38">
                  <c:v>1008.111</c:v>
                </c:pt>
                <c:pt idx="39">
                  <c:v>1024.5830000000001</c:v>
                </c:pt>
                <c:pt idx="40">
                  <c:v>1040.6949999999999</c:v>
                </c:pt>
                <c:pt idx="41">
                  <c:v>1063.01</c:v>
                </c:pt>
                <c:pt idx="42">
                  <c:v>1076.5630000000001</c:v>
                </c:pt>
                <c:pt idx="43">
                  <c:v>1092.1210000000001</c:v>
                </c:pt>
                <c:pt idx="44">
                  <c:v>1107.9069999999999</c:v>
                </c:pt>
                <c:pt idx="45">
                  <c:v>1124.96</c:v>
                </c:pt>
                <c:pt idx="46">
                  <c:v>1143.8399999999999</c:v>
                </c:pt>
                <c:pt idx="47">
                  <c:v>1159.386</c:v>
                </c:pt>
                <c:pt idx="48">
                  <c:v>1175.0360000000001</c:v>
                </c:pt>
                <c:pt idx="49">
                  <c:v>1191.8389999999999</c:v>
                </c:pt>
                <c:pt idx="50">
                  <c:v>1217.713</c:v>
                </c:pt>
                <c:pt idx="51">
                  <c:v>1232.9100000000001</c:v>
                </c:pt>
                <c:pt idx="52">
                  <c:v>1249.2439999999999</c:v>
                </c:pt>
                <c:pt idx="53">
                  <c:v>1266.546</c:v>
                </c:pt>
                <c:pt idx="54">
                  <c:v>1286.884</c:v>
                </c:pt>
                <c:pt idx="55">
                  <c:v>1306.915</c:v>
                </c:pt>
                <c:pt idx="56">
                  <c:v>1330.8420000000001</c:v>
                </c:pt>
                <c:pt idx="57">
                  <c:v>1355.309</c:v>
                </c:pt>
                <c:pt idx="58">
                  <c:v>1378.2639999999999</c:v>
                </c:pt>
                <c:pt idx="59">
                  <c:v>1401.1890000000001</c:v>
                </c:pt>
                <c:pt idx="60">
                  <c:v>1417.922</c:v>
                </c:pt>
                <c:pt idx="61">
                  <c:v>1438.155</c:v>
                </c:pt>
                <c:pt idx="62">
                  <c:v>1468.808</c:v>
                </c:pt>
                <c:pt idx="63">
                  <c:v>1489.873</c:v>
                </c:pt>
                <c:pt idx="64">
                  <c:v>1512.2850000000001</c:v>
                </c:pt>
                <c:pt idx="65">
                  <c:v>1544.4359999999999</c:v>
                </c:pt>
                <c:pt idx="66">
                  <c:v>1567.845</c:v>
                </c:pt>
                <c:pt idx="67">
                  <c:v>1591.4169999999999</c:v>
                </c:pt>
                <c:pt idx="68">
                  <c:v>1630.261</c:v>
                </c:pt>
                <c:pt idx="69">
                  <c:v>1665.1759999999999</c:v>
                </c:pt>
                <c:pt idx="70">
                  <c:v>1711.579</c:v>
                </c:pt>
                <c:pt idx="71">
                  <c:v>1762.576</c:v>
                </c:pt>
                <c:pt idx="72">
                  <c:v>1794.0609999999999</c:v>
                </c:pt>
                <c:pt idx="73">
                  <c:v>1800.884</c:v>
                </c:pt>
                <c:pt idx="74">
                  <c:v>1809.115</c:v>
                </c:pt>
                <c:pt idx="75">
                  <c:v>1815.029</c:v>
                </c:pt>
                <c:pt idx="76">
                  <c:v>1821.3309999999999</c:v>
                </c:pt>
                <c:pt idx="77">
                  <c:v>1828.328</c:v>
                </c:pt>
                <c:pt idx="78">
                  <c:v>1834.2249999999999</c:v>
                </c:pt>
                <c:pt idx="79">
                  <c:v>1839.7460000000001</c:v>
                </c:pt>
                <c:pt idx="80">
                  <c:v>1847.1510000000001</c:v>
                </c:pt>
                <c:pt idx="81">
                  <c:v>1851.83</c:v>
                </c:pt>
                <c:pt idx="82">
                  <c:v>1857.482</c:v>
                </c:pt>
                <c:pt idx="83">
                  <c:v>1861.7</c:v>
                </c:pt>
                <c:pt idx="84">
                  <c:v>1865.7750000000001</c:v>
                </c:pt>
                <c:pt idx="85">
                  <c:v>1870.66</c:v>
                </c:pt>
                <c:pt idx="86">
                  <c:v>1877.3389999999999</c:v>
                </c:pt>
                <c:pt idx="87">
                  <c:v>1881.597</c:v>
                </c:pt>
                <c:pt idx="88">
                  <c:v>1886.548</c:v>
                </c:pt>
                <c:pt idx="89">
                  <c:v>1891.5650000000001</c:v>
                </c:pt>
                <c:pt idx="90">
                  <c:v>1896.1189999999999</c:v>
                </c:pt>
                <c:pt idx="91">
                  <c:v>1901.636</c:v>
                </c:pt>
                <c:pt idx="92">
                  <c:v>1906.9559999999999</c:v>
                </c:pt>
                <c:pt idx="93">
                  <c:v>1911.905</c:v>
                </c:pt>
                <c:pt idx="94">
                  <c:v>1917.933</c:v>
                </c:pt>
                <c:pt idx="95">
                  <c:v>1921.9670000000001</c:v>
                </c:pt>
                <c:pt idx="96">
                  <c:v>1926.424</c:v>
                </c:pt>
                <c:pt idx="97">
                  <c:v>1930.5050000000001</c:v>
                </c:pt>
                <c:pt idx="98">
                  <c:v>1935.4570000000001</c:v>
                </c:pt>
                <c:pt idx="99">
                  <c:v>1940.194</c:v>
                </c:pt>
                <c:pt idx="100">
                  <c:v>1945.55</c:v>
                </c:pt>
                <c:pt idx="101">
                  <c:v>1950.9780000000001</c:v>
                </c:pt>
                <c:pt idx="102">
                  <c:v>1956.2180000000001</c:v>
                </c:pt>
                <c:pt idx="103">
                  <c:v>1962.1980000000001</c:v>
                </c:pt>
                <c:pt idx="104">
                  <c:v>1968.2429999999999</c:v>
                </c:pt>
                <c:pt idx="105">
                  <c:v>1975.665</c:v>
                </c:pt>
                <c:pt idx="106">
                  <c:v>1983.4459999999999</c:v>
                </c:pt>
                <c:pt idx="107">
                  <c:v>1989.8579999999999</c:v>
                </c:pt>
                <c:pt idx="108">
                  <c:v>1999.28</c:v>
                </c:pt>
                <c:pt idx="109">
                  <c:v>2010.0830000000001</c:v>
                </c:pt>
                <c:pt idx="110">
                  <c:v>2034.6510000000001</c:v>
                </c:pt>
                <c:pt idx="111">
                  <c:v>2037.9639999999999</c:v>
                </c:pt>
                <c:pt idx="112">
                  <c:v>2042.0309999999999</c:v>
                </c:pt>
                <c:pt idx="113">
                  <c:v>2046.3979999999999</c:v>
                </c:pt>
                <c:pt idx="114">
                  <c:v>2050.5949999999998</c:v>
                </c:pt>
                <c:pt idx="115">
                  <c:v>2054.9699999999998</c:v>
                </c:pt>
                <c:pt idx="116">
                  <c:v>2059.7629999999999</c:v>
                </c:pt>
                <c:pt idx="117">
                  <c:v>2064.5329999999999</c:v>
                </c:pt>
                <c:pt idx="118">
                  <c:v>2069.5680000000002</c:v>
                </c:pt>
                <c:pt idx="119">
                  <c:v>2072.8229999999999</c:v>
                </c:pt>
                <c:pt idx="120">
                  <c:v>2077.0830000000001</c:v>
                </c:pt>
                <c:pt idx="121">
                  <c:v>2081.2130000000002</c:v>
                </c:pt>
                <c:pt idx="122">
                  <c:v>2085.415</c:v>
                </c:pt>
                <c:pt idx="123">
                  <c:v>2086.2240000000002</c:v>
                </c:pt>
                <c:pt idx="124">
                  <c:v>2087.4960000000001</c:v>
                </c:pt>
                <c:pt idx="125">
                  <c:v>2090.355</c:v>
                </c:pt>
                <c:pt idx="126">
                  <c:v>2094.3539999999998</c:v>
                </c:pt>
                <c:pt idx="127">
                  <c:v>2098.63</c:v>
                </c:pt>
                <c:pt idx="128">
                  <c:v>2103.9810000000002</c:v>
                </c:pt>
                <c:pt idx="129">
                  <c:v>2109.2060000000001</c:v>
                </c:pt>
                <c:pt idx="130">
                  <c:v>2114.759</c:v>
                </c:pt>
                <c:pt idx="131">
                  <c:v>2118.9180000000001</c:v>
                </c:pt>
                <c:pt idx="132">
                  <c:v>2124.2179999999998</c:v>
                </c:pt>
                <c:pt idx="133">
                  <c:v>2128.9340000000002</c:v>
                </c:pt>
                <c:pt idx="134">
                  <c:v>2135.3919999999998</c:v>
                </c:pt>
                <c:pt idx="135">
                  <c:v>2142.248</c:v>
                </c:pt>
                <c:pt idx="136">
                  <c:v>2149.5419999999999</c:v>
                </c:pt>
                <c:pt idx="137">
                  <c:v>2156.9270000000001</c:v>
                </c:pt>
                <c:pt idx="138">
                  <c:v>2163.721</c:v>
                </c:pt>
                <c:pt idx="139">
                  <c:v>2171.2069999999999</c:v>
                </c:pt>
                <c:pt idx="140">
                  <c:v>2179.54</c:v>
                </c:pt>
                <c:pt idx="141">
                  <c:v>2187.0790000000002</c:v>
                </c:pt>
                <c:pt idx="142">
                  <c:v>2196.7429999999999</c:v>
                </c:pt>
                <c:pt idx="143">
                  <c:v>2203.951</c:v>
                </c:pt>
                <c:pt idx="144">
                  <c:v>2212.56</c:v>
                </c:pt>
                <c:pt idx="145">
                  <c:v>2223.5329999999999</c:v>
                </c:pt>
                <c:pt idx="146">
                  <c:v>2238.3180000000002</c:v>
                </c:pt>
                <c:pt idx="147">
                  <c:v>2252.4229999999998</c:v>
                </c:pt>
                <c:pt idx="148">
                  <c:v>2267.643</c:v>
                </c:pt>
                <c:pt idx="149">
                  <c:v>2283.5459999999998</c:v>
                </c:pt>
                <c:pt idx="150">
                  <c:v>2298.1289999999999</c:v>
                </c:pt>
                <c:pt idx="151">
                  <c:v>2314.2420000000002</c:v>
                </c:pt>
                <c:pt idx="152">
                  <c:v>2333.5509999999999</c:v>
                </c:pt>
                <c:pt idx="153">
                  <c:v>2350.875</c:v>
                </c:pt>
                <c:pt idx="154">
                  <c:v>2369.67</c:v>
                </c:pt>
                <c:pt idx="155">
                  <c:v>2383.6239999999998</c:v>
                </c:pt>
                <c:pt idx="156">
                  <c:v>2402.422</c:v>
                </c:pt>
                <c:pt idx="157">
                  <c:v>2422.991</c:v>
                </c:pt>
                <c:pt idx="158">
                  <c:v>2445.9769999999999</c:v>
                </c:pt>
                <c:pt idx="159">
                  <c:v>2464.2510000000002</c:v>
                </c:pt>
                <c:pt idx="160">
                  <c:v>2484.011</c:v>
                </c:pt>
                <c:pt idx="161">
                  <c:v>2504.415</c:v>
                </c:pt>
                <c:pt idx="162">
                  <c:v>2522.3040000000001</c:v>
                </c:pt>
                <c:pt idx="163">
                  <c:v>2540.027</c:v>
                </c:pt>
                <c:pt idx="164">
                  <c:v>2558.02</c:v>
                </c:pt>
                <c:pt idx="165">
                  <c:v>2575.4369999999999</c:v>
                </c:pt>
                <c:pt idx="166">
                  <c:v>2593.9870000000001</c:v>
                </c:pt>
                <c:pt idx="167" formatCode="&quot; &quot;* #,##0.0&quot; &quot;;&quot;-&quot;* #,##0.0&quot; &quot;;&quot; &quot;* &quot;-&quot;#.0&quot; &quot;;&quot; &quot;@&quot; &quot;">
                  <c:v>2605.8020000000001</c:v>
                </c:pt>
                <c:pt idx="168">
                  <c:v>2621.8119999999999</c:v>
                </c:pt>
                <c:pt idx="169" formatCode="&quot; &quot;* #,##0.0&quot; &quot;;&quot;-&quot;* #,##0.0&quot; &quot;;&quot; &quot;* &quot;-&quot;#.0&quot; &quot;;&quot; &quot;@&quot; &quot;">
                  <c:v>2639.0239999999999</c:v>
                </c:pt>
                <c:pt idx="170" formatCode="&quot; &quot;* #,##0.0&quot; &quot;;&quot;-&quot;* #,##0.0&quot; &quot;;&quot; &quot;* &quot;-&quot;#.0&quot; &quot;;&quot; &quot;@&quot; &quot;">
                  <c:v>2658.5839999999998</c:v>
                </c:pt>
                <c:pt idx="171" formatCode="&quot; &quot;* #,##0.0&quot; &quot;;&quot;-&quot;* #,##0.0&quot; &quot;;&quot; &quot;* &quot;-&quot;#.0&quot; &quot;;&quot; &quot;@&quot; &quot;">
                  <c:v>2677.7109999999998</c:v>
                </c:pt>
                <c:pt idx="172" formatCode="&quot; &quot;* #,##0.0&quot; &quot;;&quot;-&quot;* #,##0.0&quot; &quot;;&quot; &quot;* &quot;-&quot;#.0&quot; &quot;;&quot; &quot;@&quot; &quot;">
                  <c:v>2697.7170000000001</c:v>
                </c:pt>
                <c:pt idx="173" formatCode="&quot; &quot;* #,##0.0&quot; &quot;;&quot;-&quot;* #,##0.0&quot; &quot;;&quot; &quot;* &quot;-&quot;#.0&quot; &quot;;&quot; &quot;@&quot; &quot;">
                  <c:v>2717.4079999999999</c:v>
                </c:pt>
                <c:pt idx="174" formatCode="&quot; &quot;* #,##0.0&quot; &quot;;&quot;-&quot;* #,##0.0&quot; &quot;;&quot; &quot;* &quot;-&quot;#.0&quot; &quot;;&quot; &quot;@&quot; &quot;">
                  <c:v>2737.73</c:v>
                </c:pt>
                <c:pt idx="175" formatCode="&quot; &quot;* #,##0.0&quot; &quot;;&quot;-&quot;* #,##0.0&quot; &quot;;&quot; &quot;* &quot;-&quot;#.0&quot; &quot;;&quot; &quot;@&quot; &quot;">
                  <c:v>2757.9259999999999</c:v>
                </c:pt>
                <c:pt idx="176" formatCode="&quot; &quot;* #,##0.0&quot; &quot;;&quot;-&quot;* #,##0.0&quot; &quot;;&quot; &quot;* &quot;-&quot;#.0&quot; &quot;;&quot; &quot;@&quot; &quot;">
                  <c:v>2780.5540000000001</c:v>
                </c:pt>
                <c:pt idx="177" formatCode="&quot; &quot;* #,##0.0&quot; &quot;;&quot;-&quot;* #,##0.0&quot; &quot;;&quot; &quot;* &quot;-&quot;#.0&quot; &quot;;&quot; &quot;@&quot; &quot;">
                  <c:v>2807.328</c:v>
                </c:pt>
                <c:pt idx="178" formatCode="&quot; &quot;* #,##0.0&quot; &quot;;&quot;-&quot;* #,##0.0&quot; &quot;;&quot; &quot;* &quot;-&quot;#.0&quot; &quot;;&quot; &quot;@&quot; &quot;">
                  <c:v>2835.91</c:v>
                </c:pt>
                <c:pt idx="179" formatCode="&quot; &quot;* #,##0.0&quot; &quot;;&quot;-&quot;* #,##0.0&quot; &quot;;&quot; &quot;* &quot;-&quot;#.0&quot; &quot;;&quot; &quot;@&quot; &quot;">
                  <c:v>2855.1469999999999</c:v>
                </c:pt>
                <c:pt idx="180" formatCode="&quot; &quot;* #,##0.0&quot; &quot;;&quot;-&quot;* #,##0.0&quot; &quot;;&quot; &quot;* &quot;-&quot;#.0&quot; &quot;;&quot; &quot;@&quot; &quot;">
                  <c:v>2880.248</c:v>
                </c:pt>
                <c:pt idx="181" formatCode="&quot; &quot;* #,##0.0&quot; &quot;;&quot;-&quot;* #,##0.0&quot; &quot;;&quot; &quot;* &quot;-&quot;#.0&quot; &quot;;&quot; &quot;@&quot; &quot;">
                  <c:v>2909.2109999999998</c:v>
                </c:pt>
                <c:pt idx="182" formatCode="&quot; &quot;* #,##0.0&quot; &quot;;&quot;-&quot;* #,##0.0&quot; &quot;;&quot; &quot;* &quot;-&quot;#.0&quot; &quot;;&quot; &quot;@&quot; &quot;">
                  <c:v>2944.922</c:v>
                </c:pt>
                <c:pt idx="183" formatCode="&quot; &quot;* #,##0.0&quot; &quot;;&quot;-&quot;* #,##0.0&quot; &quot;;&quot; &quot;* &quot;-&quot;#.0&quot; &quot;;&quot; &quot;@&quot; &quot;">
                  <c:v>2971.3180000000002</c:v>
                </c:pt>
                <c:pt idx="184" formatCode="&quot; &quot;* #,##0.0&quot; &quot;;&quot;-&quot;* #,##0.0&quot; &quot;;&quot; &quot;* &quot;-&quot;#.0&quot; &quot;;&quot; &quot;@&quot; &quot;">
                  <c:v>3000.8319999999999</c:v>
                </c:pt>
                <c:pt idx="185" formatCode="&quot; &quot;* #,##0.0&quot; &quot;;&quot;-&quot;* #,##0.0&quot; &quot;;&quot; &quot;* &quot;-&quot;#.0&quot; &quot;;&quot; &quot;@&quot; &quot;">
                  <c:v>3031.2669999999998</c:v>
                </c:pt>
                <c:pt idx="186" formatCode="&quot; &quot;* #,##0.0&quot; &quot;;&quot;-&quot;* #,##0.0&quot; &quot;;&quot; &quot;* &quot;-&quot;#.0&quot; &quot;;&quot; &quot;@&quot; &quot;">
                  <c:v>3059.8139999999999</c:v>
                </c:pt>
                <c:pt idx="187" formatCode="&quot; &quot;* #,##0.0&quot; &quot;;&quot;-&quot;* #,##0.0&quot; &quot;;&quot; &quot;* &quot;-&quot;#.0&quot; &quot;;&quot; &quot;@&quot; &quot;">
                  <c:v>3084.8440000000001</c:v>
                </c:pt>
                <c:pt idx="188" formatCode="&quot; &quot;* #,##0.0&quot; &quot;;&quot;-&quot;* #,##0.0&quot; &quot;;&quot; &quot;* &quot;-&quot;#.0&quot; &quot;;&quot; &quot;@&quot; &quot;">
                  <c:v>3114.3719999999998</c:v>
                </c:pt>
                <c:pt idx="189" formatCode="&quot; &quot;* #,##0.0&quot; &quot;;&quot;-&quot;* #,##0.0&quot; &quot;;&quot; &quot;* &quot;-&quot;#.0&quot; &quot;;&quot; &quot;@&quot; &quot;">
                  <c:v>3147.6759999999999</c:v>
                </c:pt>
                <c:pt idx="190" formatCode="&quot; &quot;* #,##0.0&quot; &quot;;&quot;-&quot;* #,##0.0&quot; &quot;;&quot; &quot;* &quot;-&quot;#.0&quot; &quot;;&quot; &quot;@&quot; &quot;">
                  <c:v>3178.4540000000002</c:v>
                </c:pt>
                <c:pt idx="191" formatCode="&quot; &quot;* #,##0.0&quot; &quot;;&quot;-&quot;* #,##0.0&quot; &quot;;&quot; &quot;* &quot;-&quot;#.0&quot; &quot;;&quot; &quot;@&quot; &quot;">
                  <c:v>3203.0010000000002</c:v>
                </c:pt>
                <c:pt idx="192" formatCode="&quot; &quot;* #,##0.0&quot; &quot;;&quot;-&quot;* #,##0.0&quot; &quot;;&quot; &quot;* &quot;-&quot;#.0&quot; &quot;;&quot; &quot;@&quot; &quot;">
                  <c:v>3230.2089999999998</c:v>
                </c:pt>
                <c:pt idx="193" formatCode="&quot; &quot;* #,##0.0&quot; &quot;;&quot;-&quot;* #,##0.0&quot; &quot;;&quot; &quot;* &quot;-&quot;#.0&quot; &quot;;&quot; &quot;@&quot; &quot;">
                  <c:v>3264.078</c:v>
                </c:pt>
                <c:pt idx="194" formatCode="&quot; &quot;* #,##0.0&quot; &quot;;&quot;-&quot;* #,##0.0&quot; &quot;;&quot; &quot;* &quot;-&quot;#.0&quot; &quot;;&quot; &quot;@&quot; &quot;">
                  <c:v>3307.2429999999999</c:v>
                </c:pt>
                <c:pt idx="195" formatCode="&quot; &quot;* #,##0.0&quot; &quot;;&quot;-&quot;* #,##0.0&quot; &quot;;&quot; &quot;* &quot;-&quot;#.0&quot; &quot;;&quot; &quot;@&quot; &quot;">
                  <c:v>3337.0459999999998</c:v>
                </c:pt>
                <c:pt idx="196" formatCode="&quot; &quot;* #,##0.0&quot; &quot;;&quot;-&quot;* #,##0.0&quot; &quot;;&quot; &quot;* &quot;-&quot;#.0&quot; &quot;;&quot; &quot;@&quot; &quot;">
                  <c:v>3359.6010000000001</c:v>
                </c:pt>
                <c:pt idx="197" formatCode="&quot; &quot;* #,##0.0&quot; &quot;;&quot;-&quot;* #,##0.0&quot; &quot;;&quot; &quot;* &quot;-&quot;#.0&quot; &quot;;&quot; &quot;@&quot; &quot;">
                  <c:v>3391.0619999999999</c:v>
                </c:pt>
              </c:numCache>
            </c:numRef>
          </c:val>
          <c:extLst>
            <c:ext xmlns:c16="http://schemas.microsoft.com/office/drawing/2014/chart" uri="{C3380CC4-5D6E-409C-BE32-E72D297353CC}">
              <c16:uniqueId val="{00000001-81FF-49FF-8CF7-390DE669A330}"/>
            </c:ext>
          </c:extLst>
        </c:ser>
        <c:ser>
          <c:idx val="2"/>
          <c:order val="2"/>
          <c:tx>
            <c:strRef>
              <c:f>Table_1_by_Capacity!$A$24:$A$24</c:f>
              <c:strCache>
                <c:ptCount val="1"/>
                <c:pt idx="0">
                  <c:v> 4 ≤ to &lt; 10 kW </c:v>
                </c:pt>
              </c:strCache>
            </c:strRef>
          </c:tx>
          <c:spPr>
            <a:solidFill>
              <a:srgbClr val="7FCDBB"/>
            </a:solidFill>
            <a:ln>
              <a:noFill/>
            </a:ln>
          </c:spPr>
          <c:cat>
            <c:strRef>
              <c:f>Table_1_by_Capacity!$B$5:$GQ$5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Table_1_by_Capacity!$B$24:$GQ$24</c:f>
              <c:numCache>
                <c:formatCode>#,##0.0;\-#,##0.0</c:formatCode>
                <c:ptCount val="198"/>
                <c:pt idx="0">
                  <c:v>3.153</c:v>
                </c:pt>
                <c:pt idx="1">
                  <c:v>3.34</c:v>
                </c:pt>
                <c:pt idx="2">
                  <c:v>3.6160000000000001</c:v>
                </c:pt>
                <c:pt idx="3">
                  <c:v>3.7989999999999999</c:v>
                </c:pt>
                <c:pt idx="4">
                  <c:v>4.1310000000000002</c:v>
                </c:pt>
                <c:pt idx="5">
                  <c:v>4.5049999999999999</c:v>
                </c:pt>
                <c:pt idx="6">
                  <c:v>4.907</c:v>
                </c:pt>
                <c:pt idx="7">
                  <c:v>5.2949999999999999</c:v>
                </c:pt>
                <c:pt idx="8">
                  <c:v>5.702</c:v>
                </c:pt>
                <c:pt idx="9">
                  <c:v>6.282</c:v>
                </c:pt>
                <c:pt idx="10">
                  <c:v>6.8819999999999997</c:v>
                </c:pt>
                <c:pt idx="11">
                  <c:v>7.3029999999999999</c:v>
                </c:pt>
                <c:pt idx="12">
                  <c:v>8.1159999999999997</c:v>
                </c:pt>
                <c:pt idx="13">
                  <c:v>9.0030000000000001</c:v>
                </c:pt>
                <c:pt idx="14">
                  <c:v>10.375999999999999</c:v>
                </c:pt>
                <c:pt idx="15">
                  <c:v>12.067</c:v>
                </c:pt>
                <c:pt idx="16">
                  <c:v>14.048999999999999</c:v>
                </c:pt>
                <c:pt idx="17">
                  <c:v>16.427</c:v>
                </c:pt>
                <c:pt idx="18">
                  <c:v>19.640999999999998</c:v>
                </c:pt>
                <c:pt idx="19">
                  <c:v>24.981000000000002</c:v>
                </c:pt>
                <c:pt idx="20">
                  <c:v>32.279000000000003</c:v>
                </c:pt>
                <c:pt idx="21">
                  <c:v>41.695</c:v>
                </c:pt>
                <c:pt idx="22">
                  <c:v>71.039000000000001</c:v>
                </c:pt>
                <c:pt idx="23">
                  <c:v>96.933000000000007</c:v>
                </c:pt>
                <c:pt idx="24">
                  <c:v>99.222999999999999</c:v>
                </c:pt>
                <c:pt idx="25">
                  <c:v>126.133</c:v>
                </c:pt>
                <c:pt idx="26">
                  <c:v>136.26300000000001</c:v>
                </c:pt>
                <c:pt idx="27">
                  <c:v>138.28200000000001</c:v>
                </c:pt>
                <c:pt idx="28">
                  <c:v>144.99600000000001</c:v>
                </c:pt>
                <c:pt idx="29">
                  <c:v>155.12</c:v>
                </c:pt>
                <c:pt idx="30">
                  <c:v>181.24</c:v>
                </c:pt>
                <c:pt idx="31">
                  <c:v>183.21799999999999</c:v>
                </c:pt>
                <c:pt idx="32">
                  <c:v>187.047</c:v>
                </c:pt>
                <c:pt idx="33">
                  <c:v>198.334</c:v>
                </c:pt>
                <c:pt idx="34">
                  <c:v>202.804</c:v>
                </c:pt>
                <c:pt idx="35">
                  <c:v>208.06</c:v>
                </c:pt>
                <c:pt idx="36">
                  <c:v>213.839</c:v>
                </c:pt>
                <c:pt idx="37">
                  <c:v>220.70400000000001</c:v>
                </c:pt>
                <c:pt idx="38">
                  <c:v>229.548</c:v>
                </c:pt>
                <c:pt idx="39">
                  <c:v>239.554</c:v>
                </c:pt>
                <c:pt idx="40">
                  <c:v>250.75700000000001</c:v>
                </c:pt>
                <c:pt idx="41">
                  <c:v>268.995</c:v>
                </c:pt>
                <c:pt idx="42">
                  <c:v>277.33199999999999</c:v>
                </c:pt>
                <c:pt idx="43">
                  <c:v>287.904</c:v>
                </c:pt>
                <c:pt idx="44">
                  <c:v>300.18099999999998</c:v>
                </c:pt>
                <c:pt idx="45">
                  <c:v>313.137</c:v>
                </c:pt>
                <c:pt idx="46">
                  <c:v>328.61700000000002</c:v>
                </c:pt>
                <c:pt idx="47">
                  <c:v>341.51299999999998</c:v>
                </c:pt>
                <c:pt idx="48">
                  <c:v>354.12799999999999</c:v>
                </c:pt>
                <c:pt idx="49">
                  <c:v>371.75799999999998</c:v>
                </c:pt>
                <c:pt idx="50">
                  <c:v>396.30700000000002</c:v>
                </c:pt>
                <c:pt idx="51">
                  <c:v>407.72800000000001</c:v>
                </c:pt>
                <c:pt idx="52">
                  <c:v>421.02</c:v>
                </c:pt>
                <c:pt idx="53">
                  <c:v>436.096</c:v>
                </c:pt>
                <c:pt idx="54">
                  <c:v>451.83600000000001</c:v>
                </c:pt>
                <c:pt idx="55">
                  <c:v>466.91500000000002</c:v>
                </c:pt>
                <c:pt idx="56">
                  <c:v>484.15300000000002</c:v>
                </c:pt>
                <c:pt idx="57">
                  <c:v>502.42099999999999</c:v>
                </c:pt>
                <c:pt idx="58">
                  <c:v>520.61300000000006</c:v>
                </c:pt>
                <c:pt idx="59">
                  <c:v>540.47799999999995</c:v>
                </c:pt>
                <c:pt idx="60">
                  <c:v>549.92399999999998</c:v>
                </c:pt>
                <c:pt idx="61">
                  <c:v>562.26599999999996</c:v>
                </c:pt>
                <c:pt idx="62">
                  <c:v>583.85699999999997</c:v>
                </c:pt>
                <c:pt idx="63">
                  <c:v>596.87900000000002</c:v>
                </c:pt>
                <c:pt idx="64">
                  <c:v>611.62599999999998</c:v>
                </c:pt>
                <c:pt idx="65">
                  <c:v>633.17700000000002</c:v>
                </c:pt>
                <c:pt idx="66">
                  <c:v>646.54300000000001</c:v>
                </c:pt>
                <c:pt idx="67">
                  <c:v>661.05799999999999</c:v>
                </c:pt>
                <c:pt idx="68">
                  <c:v>687.51800000000003</c:v>
                </c:pt>
                <c:pt idx="69">
                  <c:v>704.39400000000001</c:v>
                </c:pt>
                <c:pt idx="70">
                  <c:v>725.33100000000002</c:v>
                </c:pt>
                <c:pt idx="71">
                  <c:v>752.149</c:v>
                </c:pt>
                <c:pt idx="72">
                  <c:v>765.654</c:v>
                </c:pt>
                <c:pt idx="73">
                  <c:v>768.05499999999995</c:v>
                </c:pt>
                <c:pt idx="74">
                  <c:v>771.81100000000004</c:v>
                </c:pt>
                <c:pt idx="75">
                  <c:v>775.06500000000005</c:v>
                </c:pt>
                <c:pt idx="76">
                  <c:v>778.33500000000004</c:v>
                </c:pt>
                <c:pt idx="77">
                  <c:v>782.38400000000001</c:v>
                </c:pt>
                <c:pt idx="78">
                  <c:v>785.63400000000001</c:v>
                </c:pt>
                <c:pt idx="79">
                  <c:v>789.13400000000001</c:v>
                </c:pt>
                <c:pt idx="80">
                  <c:v>794.13300000000004</c:v>
                </c:pt>
                <c:pt idx="81">
                  <c:v>796.27200000000005</c:v>
                </c:pt>
                <c:pt idx="82">
                  <c:v>798.73500000000001</c:v>
                </c:pt>
                <c:pt idx="83">
                  <c:v>801.00800000000004</c:v>
                </c:pt>
                <c:pt idx="84">
                  <c:v>802.85400000000004</c:v>
                </c:pt>
                <c:pt idx="85">
                  <c:v>804.87199999999996</c:v>
                </c:pt>
                <c:pt idx="86">
                  <c:v>808.07899999999995</c:v>
                </c:pt>
                <c:pt idx="87">
                  <c:v>809.976</c:v>
                </c:pt>
                <c:pt idx="88">
                  <c:v>812.529</c:v>
                </c:pt>
                <c:pt idx="89">
                  <c:v>815.44399999999996</c:v>
                </c:pt>
                <c:pt idx="90">
                  <c:v>818.03499999999997</c:v>
                </c:pt>
                <c:pt idx="91">
                  <c:v>820.51300000000003</c:v>
                </c:pt>
                <c:pt idx="92">
                  <c:v>823.53</c:v>
                </c:pt>
                <c:pt idx="93">
                  <c:v>826.24599999999998</c:v>
                </c:pt>
                <c:pt idx="94">
                  <c:v>829.13300000000004</c:v>
                </c:pt>
                <c:pt idx="95">
                  <c:v>831.54100000000005</c:v>
                </c:pt>
                <c:pt idx="96">
                  <c:v>833.65700000000004</c:v>
                </c:pt>
                <c:pt idx="97">
                  <c:v>836.048</c:v>
                </c:pt>
                <c:pt idx="98">
                  <c:v>839.24900000000002</c:v>
                </c:pt>
                <c:pt idx="99">
                  <c:v>842.19600000000003</c:v>
                </c:pt>
                <c:pt idx="100">
                  <c:v>845.48599999999999</c:v>
                </c:pt>
                <c:pt idx="101">
                  <c:v>849.25599999999997</c:v>
                </c:pt>
                <c:pt idx="102">
                  <c:v>852.44600000000003</c:v>
                </c:pt>
                <c:pt idx="103">
                  <c:v>855.90300000000002</c:v>
                </c:pt>
                <c:pt idx="104">
                  <c:v>860.221</c:v>
                </c:pt>
                <c:pt idx="105">
                  <c:v>864.24199999999996</c:v>
                </c:pt>
                <c:pt idx="106">
                  <c:v>869.61300000000006</c:v>
                </c:pt>
                <c:pt idx="107">
                  <c:v>874.63599999999997</c:v>
                </c:pt>
                <c:pt idx="108">
                  <c:v>879.86</c:v>
                </c:pt>
                <c:pt idx="109">
                  <c:v>887.726</c:v>
                </c:pt>
                <c:pt idx="110">
                  <c:v>907.83799999999997</c:v>
                </c:pt>
                <c:pt idx="111">
                  <c:v>908.61500000000001</c:v>
                </c:pt>
                <c:pt idx="112">
                  <c:v>909.92</c:v>
                </c:pt>
                <c:pt idx="113">
                  <c:v>911.61599999999999</c:v>
                </c:pt>
                <c:pt idx="114">
                  <c:v>914.01900000000001</c:v>
                </c:pt>
                <c:pt idx="115">
                  <c:v>916.46699999999998</c:v>
                </c:pt>
                <c:pt idx="116">
                  <c:v>919.79899999999998</c:v>
                </c:pt>
                <c:pt idx="117">
                  <c:v>923.83199999999999</c:v>
                </c:pt>
                <c:pt idx="118">
                  <c:v>927.28099999999995</c:v>
                </c:pt>
                <c:pt idx="119">
                  <c:v>930.05399999999997</c:v>
                </c:pt>
                <c:pt idx="120">
                  <c:v>933.53200000000004</c:v>
                </c:pt>
                <c:pt idx="121">
                  <c:v>937.14</c:v>
                </c:pt>
                <c:pt idx="122">
                  <c:v>941.09199999999998</c:v>
                </c:pt>
                <c:pt idx="123">
                  <c:v>942.61</c:v>
                </c:pt>
                <c:pt idx="124">
                  <c:v>945.16399999999999</c:v>
                </c:pt>
                <c:pt idx="125">
                  <c:v>949.90099999999995</c:v>
                </c:pt>
                <c:pt idx="126">
                  <c:v>955.01199999999994</c:v>
                </c:pt>
                <c:pt idx="127">
                  <c:v>959.63499999999999</c:v>
                </c:pt>
                <c:pt idx="128">
                  <c:v>965.55600000000004</c:v>
                </c:pt>
                <c:pt idx="129">
                  <c:v>971.56600000000003</c:v>
                </c:pt>
                <c:pt idx="130">
                  <c:v>977.89599999999996</c:v>
                </c:pt>
                <c:pt idx="131">
                  <c:v>982.57799999999997</c:v>
                </c:pt>
                <c:pt idx="132">
                  <c:v>987.58199999999999</c:v>
                </c:pt>
                <c:pt idx="133">
                  <c:v>993.03800000000001</c:v>
                </c:pt>
                <c:pt idx="134">
                  <c:v>1001.079</c:v>
                </c:pt>
                <c:pt idx="135">
                  <c:v>1008.708</c:v>
                </c:pt>
                <c:pt idx="136">
                  <c:v>1016.299</c:v>
                </c:pt>
                <c:pt idx="137">
                  <c:v>1024.8579999999999</c:v>
                </c:pt>
                <c:pt idx="138">
                  <c:v>1033.0820000000001</c:v>
                </c:pt>
                <c:pt idx="139">
                  <c:v>1040.5429999999999</c:v>
                </c:pt>
                <c:pt idx="140">
                  <c:v>1050.692</c:v>
                </c:pt>
                <c:pt idx="141">
                  <c:v>1060.6110000000001</c:v>
                </c:pt>
                <c:pt idx="142">
                  <c:v>1073.1980000000001</c:v>
                </c:pt>
                <c:pt idx="143">
                  <c:v>1082.373</c:v>
                </c:pt>
                <c:pt idx="144">
                  <c:v>1094.261</c:v>
                </c:pt>
                <c:pt idx="145">
                  <c:v>1107.912</c:v>
                </c:pt>
                <c:pt idx="146">
                  <c:v>1126.883</c:v>
                </c:pt>
                <c:pt idx="147">
                  <c:v>1147.231</c:v>
                </c:pt>
                <c:pt idx="148">
                  <c:v>1172.1120000000001</c:v>
                </c:pt>
                <c:pt idx="149">
                  <c:v>1197.175</c:v>
                </c:pt>
                <c:pt idx="150">
                  <c:v>1224.8320000000001</c:v>
                </c:pt>
                <c:pt idx="151">
                  <c:v>1255.384</c:v>
                </c:pt>
                <c:pt idx="152">
                  <c:v>1291.713</c:v>
                </c:pt>
                <c:pt idx="153">
                  <c:v>1330.932</c:v>
                </c:pt>
                <c:pt idx="154">
                  <c:v>1376.83</c:v>
                </c:pt>
                <c:pt idx="155">
                  <c:v>1412.4010000000001</c:v>
                </c:pt>
                <c:pt idx="156">
                  <c:v>1462.095</c:v>
                </c:pt>
                <c:pt idx="157">
                  <c:v>1513.8589999999999</c:v>
                </c:pt>
                <c:pt idx="158">
                  <c:v>1572.434</c:v>
                </c:pt>
                <c:pt idx="159">
                  <c:v>1619.943</c:v>
                </c:pt>
                <c:pt idx="160">
                  <c:v>1673.8489999999999</c:v>
                </c:pt>
                <c:pt idx="161">
                  <c:v>1727.385</c:v>
                </c:pt>
                <c:pt idx="162">
                  <c:v>1772.7819999999999</c:v>
                </c:pt>
                <c:pt idx="163">
                  <c:v>1819.463</c:v>
                </c:pt>
                <c:pt idx="164">
                  <c:v>1863.732</c:v>
                </c:pt>
                <c:pt idx="165">
                  <c:v>1908.095</c:v>
                </c:pt>
                <c:pt idx="166">
                  <c:v>1951.5260000000001</c:v>
                </c:pt>
                <c:pt idx="167" formatCode="&quot; &quot;* #,##0.0&quot; &quot;;&quot;-&quot;* #,##0.0&quot; &quot;;&quot; &quot;* &quot;-&quot;#.0&quot; &quot;;&quot; &quot;@&quot; &quot;">
                  <c:v>1980.2840000000001</c:v>
                </c:pt>
                <c:pt idx="168">
                  <c:v>2015.394</c:v>
                </c:pt>
                <c:pt idx="169" formatCode="&quot; &quot;* #,##0.0&quot; &quot;;&quot;-&quot;* #,##0.0&quot; &quot;;&quot; &quot;* &quot;-&quot;#.0&quot; &quot;;&quot; &quot;@&quot; &quot;">
                  <c:v>2052.221</c:v>
                </c:pt>
                <c:pt idx="170" formatCode="&quot; &quot;* #,##0.0&quot; &quot;;&quot;-&quot;* #,##0.0&quot; &quot;;&quot; &quot;* &quot;-&quot;#.0&quot; &quot;;&quot; &quot;@&quot; &quot;">
                  <c:v>2089.3130000000001</c:v>
                </c:pt>
                <c:pt idx="171" formatCode="&quot; &quot;* #,##0.0&quot; &quot;;&quot;-&quot;* #,##0.0&quot; &quot;;&quot; &quot;* &quot;-&quot;#.0&quot; &quot;;&quot; &quot;@&quot; &quot;">
                  <c:v>2129.52</c:v>
                </c:pt>
                <c:pt idx="172" formatCode="&quot; &quot;* #,##0.0&quot; &quot;;&quot;-&quot;* #,##0.0&quot; &quot;;&quot; &quot;* &quot;-&quot;#.0&quot; &quot;;&quot; &quot;@&quot; &quot;">
                  <c:v>2169.973</c:v>
                </c:pt>
                <c:pt idx="173" formatCode="&quot; &quot;* #,##0.0&quot; &quot;;&quot;-&quot;* #,##0.0&quot; &quot;;&quot; &quot;* &quot;-&quot;#.0&quot; &quot;;&quot; &quot;@&quot; &quot;">
                  <c:v>2206.5630000000001</c:v>
                </c:pt>
                <c:pt idx="174" formatCode="&quot; &quot;* #,##0.0&quot; &quot;;&quot;-&quot;* #,##0.0&quot; &quot;;&quot; &quot;* &quot;-&quot;#.0&quot; &quot;;&quot; &quot;@&quot; &quot;">
                  <c:v>2246.2220000000002</c:v>
                </c:pt>
                <c:pt idx="175" formatCode="&quot; &quot;* #,##0.0&quot; &quot;;&quot;-&quot;* #,##0.0&quot; &quot;;&quot; &quot;* &quot;-&quot;#.0&quot; &quot;;&quot; &quot;@&quot; &quot;">
                  <c:v>2281.27</c:v>
                </c:pt>
                <c:pt idx="176" formatCode="&quot; &quot;* #,##0.0&quot; &quot;;&quot;-&quot;* #,##0.0&quot; &quot;;&quot; &quot;* &quot;-&quot;#.0&quot; &quot;;&quot; &quot;@&quot; &quot;">
                  <c:v>2318.4499999999998</c:v>
                </c:pt>
                <c:pt idx="177" formatCode="&quot; &quot;* #,##0.0&quot; &quot;;&quot;-&quot;* #,##0.0&quot; &quot;;&quot; &quot;* &quot;-&quot;#.0&quot; &quot;;&quot; &quot;@&quot; &quot;">
                  <c:v>2360.3180000000002</c:v>
                </c:pt>
                <c:pt idx="178" formatCode="&quot; &quot;* #,##0.0&quot; &quot;;&quot;-&quot;* #,##0.0&quot; &quot;;&quot; &quot;* &quot;-&quot;#.0&quot; &quot;;&quot; &quot;@&quot; &quot;">
                  <c:v>2399.877</c:v>
                </c:pt>
                <c:pt idx="179" formatCode="&quot; &quot;* #,##0.0&quot; &quot;;&quot;-&quot;* #,##0.0&quot; &quot;;&quot; &quot;* &quot;-&quot;#.0&quot; &quot;;&quot; &quot;@&quot; &quot;">
                  <c:v>2428.3339999999998</c:v>
                </c:pt>
                <c:pt idx="180" formatCode="&quot; &quot;* #,##0.0&quot; &quot;;&quot;-&quot;* #,##0.0&quot; &quot;;&quot; &quot;* &quot;-&quot;#.0&quot; &quot;;&quot; &quot;@&quot; &quot;">
                  <c:v>2464.4940000000001</c:v>
                </c:pt>
                <c:pt idx="181" formatCode="&quot; &quot;* #,##0.0&quot; &quot;;&quot;-&quot;* #,##0.0&quot; &quot;;&quot; &quot;* &quot;-&quot;#.0&quot; &quot;;&quot; &quot;@&quot; &quot;">
                  <c:v>2505.3560000000002</c:v>
                </c:pt>
                <c:pt idx="182" formatCode="&quot; &quot;* #,##0.0&quot; &quot;;&quot;-&quot;* #,##0.0&quot; &quot;;&quot; &quot;* &quot;-&quot;#.0&quot; &quot;;&quot; &quot;@&quot; &quot;">
                  <c:v>2554.0320000000002</c:v>
                </c:pt>
                <c:pt idx="183" formatCode="&quot; &quot;* #,##0.0&quot; &quot;;&quot;-&quot;* #,##0.0&quot; &quot;;&quot; &quot;* &quot;-&quot;#.0&quot; &quot;;&quot; &quot;@&quot; &quot;">
                  <c:v>2599.8710000000001</c:v>
                </c:pt>
                <c:pt idx="184" formatCode="&quot; &quot;* #,##0.0&quot; &quot;;&quot;-&quot;* #,##0.0&quot; &quot;;&quot; &quot;* &quot;-&quot;#.0&quot; &quot;;&quot; &quot;@&quot; &quot;">
                  <c:v>2650.4870000000001</c:v>
                </c:pt>
                <c:pt idx="185" formatCode="&quot; &quot;* #,##0.0&quot; &quot;;&quot;-&quot;* #,##0.0&quot; &quot;;&quot; &quot;* &quot;-&quot;#.0&quot; &quot;;&quot; &quot;@&quot; &quot;">
                  <c:v>2701.1239999999998</c:v>
                </c:pt>
                <c:pt idx="186" formatCode="&quot; &quot;* #,##0.0&quot; &quot;;&quot;-&quot;* #,##0.0&quot; &quot;;&quot; &quot;* &quot;-&quot;#.0&quot; &quot;;&quot; &quot;@&quot; &quot;">
                  <c:v>2755.0990000000002</c:v>
                </c:pt>
                <c:pt idx="187" formatCode="&quot; &quot;* #,##0.0&quot; &quot;;&quot;-&quot;* #,##0.0&quot; &quot;;&quot; &quot;* &quot;-&quot;#.0&quot; &quot;;&quot; &quot;@&quot; &quot;">
                  <c:v>2803.46</c:v>
                </c:pt>
                <c:pt idx="188" formatCode="&quot; &quot;* #,##0.0&quot; &quot;;&quot;-&quot;* #,##0.0&quot; &quot;;&quot; &quot;* &quot;-&quot;#.0&quot; &quot;;&quot; &quot;@&quot; &quot;">
                  <c:v>2858.05</c:v>
                </c:pt>
                <c:pt idx="189" formatCode="&quot; &quot;* #,##0.0&quot; &quot;;&quot;-&quot;* #,##0.0&quot; &quot;;&quot; &quot;* &quot;-&quot;#.0&quot; &quot;;&quot; &quot;@&quot; &quot;">
                  <c:v>2915.107</c:v>
                </c:pt>
                <c:pt idx="190" formatCode="&quot; &quot;* #,##0.0&quot; &quot;;&quot;-&quot;* #,##0.0&quot; &quot;;&quot; &quot;* &quot;-&quot;#.0&quot; &quot;;&quot; &quot;@&quot; &quot;">
                  <c:v>2965.0770000000002</c:v>
                </c:pt>
                <c:pt idx="191" formatCode="&quot; &quot;* #,##0.0&quot; &quot;;&quot;-&quot;* #,##0.0&quot; &quot;;&quot; &quot;* &quot;-&quot;#.0&quot; &quot;;&quot; &quot;@&quot; &quot;">
                  <c:v>3001.32</c:v>
                </c:pt>
                <c:pt idx="192" formatCode="&quot; &quot;* #,##0.0&quot; &quot;;&quot;-&quot;* #,##0.0&quot; &quot;;&quot; &quot;* &quot;-&quot;#.0&quot; &quot;;&quot; &quot;@&quot; &quot;">
                  <c:v>3041.8029999999999</c:v>
                </c:pt>
                <c:pt idx="193" formatCode="&quot; &quot;* #,##0.0&quot; &quot;;&quot;-&quot;* #,##0.0&quot; &quot;;&quot; &quot;* &quot;-&quot;#.0&quot; &quot;;&quot; &quot;@&quot; &quot;">
                  <c:v>3085.4090000000001</c:v>
                </c:pt>
                <c:pt idx="194" formatCode="&quot; &quot;* #,##0.0&quot; &quot;;&quot;-&quot;* #,##0.0&quot; &quot;;&quot; &quot;* &quot;-&quot;#.0&quot; &quot;;&quot; &quot;@&quot; &quot;">
                  <c:v>3136.3989999999999</c:v>
                </c:pt>
                <c:pt idx="195" formatCode="&quot; &quot;* #,##0.0&quot; &quot;;&quot;-&quot;* #,##0.0&quot; &quot;;&quot; &quot;* &quot;-&quot;#.0&quot; &quot;;&quot; &quot;@&quot; &quot;">
                  <c:v>3190.3710000000001</c:v>
                </c:pt>
                <c:pt idx="196" formatCode="&quot; &quot;* #,##0.0&quot; &quot;;&quot;-&quot;* #,##0.0&quot; &quot;;&quot; &quot;* &quot;-&quot;#.0&quot; &quot;;&quot; &quot;@&quot; &quot;">
                  <c:v>3234.7530000000002</c:v>
                </c:pt>
                <c:pt idx="197" formatCode="&quot; &quot;* #,##0.0&quot; &quot;;&quot;-&quot;* #,##0.0&quot; &quot;;&quot; &quot;* &quot;-&quot;#.0&quot; &quot;;&quot; &quot;@&quot; &quot;">
                  <c:v>3303.1309999999999</c:v>
                </c:pt>
              </c:numCache>
            </c:numRef>
          </c:val>
          <c:extLst>
            <c:ext xmlns:c16="http://schemas.microsoft.com/office/drawing/2014/chart" uri="{C3380CC4-5D6E-409C-BE32-E72D297353CC}">
              <c16:uniqueId val="{00000002-81FF-49FF-8CF7-390DE669A330}"/>
            </c:ext>
          </c:extLst>
        </c:ser>
        <c:ser>
          <c:idx val="3"/>
          <c:order val="3"/>
          <c:tx>
            <c:strRef>
              <c:f>Table_1_by_Capacity!$A$25:$A$25</c:f>
              <c:strCache>
                <c:ptCount val="1"/>
                <c:pt idx="0">
                  <c:v> 10 ≤ to &lt; 50 kW </c:v>
                </c:pt>
              </c:strCache>
            </c:strRef>
          </c:tx>
          <c:spPr>
            <a:solidFill>
              <a:srgbClr val="41B6C4"/>
            </a:solidFill>
            <a:ln>
              <a:noFill/>
            </a:ln>
          </c:spPr>
          <c:cat>
            <c:strRef>
              <c:f>Table_1_by_Capacity!$B$5:$GQ$5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Table_1_by_Capacity!$B$25:$GQ$25</c:f>
              <c:numCache>
                <c:formatCode>#,##0.0;\-#,##0.0</c:formatCode>
                <c:ptCount val="198"/>
                <c:pt idx="0">
                  <c:v>2.65</c:v>
                </c:pt>
                <c:pt idx="1">
                  <c:v>2.7450000000000001</c:v>
                </c:pt>
                <c:pt idx="2">
                  <c:v>3.1110000000000002</c:v>
                </c:pt>
                <c:pt idx="3">
                  <c:v>3.3570000000000002</c:v>
                </c:pt>
                <c:pt idx="4">
                  <c:v>3.7120000000000002</c:v>
                </c:pt>
                <c:pt idx="5">
                  <c:v>3.9449999999999998</c:v>
                </c:pt>
                <c:pt idx="6">
                  <c:v>4.0949999999999998</c:v>
                </c:pt>
                <c:pt idx="7">
                  <c:v>4.3780000000000001</c:v>
                </c:pt>
                <c:pt idx="8">
                  <c:v>4.827</c:v>
                </c:pt>
                <c:pt idx="9">
                  <c:v>5.1970000000000001</c:v>
                </c:pt>
                <c:pt idx="10">
                  <c:v>5.6909999999999998</c:v>
                </c:pt>
                <c:pt idx="11">
                  <c:v>5.9390000000000001</c:v>
                </c:pt>
                <c:pt idx="12">
                  <c:v>6.4939999999999998</c:v>
                </c:pt>
                <c:pt idx="13">
                  <c:v>7.319</c:v>
                </c:pt>
                <c:pt idx="14">
                  <c:v>8.15</c:v>
                </c:pt>
                <c:pt idx="15">
                  <c:v>9.1579999999999995</c:v>
                </c:pt>
                <c:pt idx="16">
                  <c:v>10.382</c:v>
                </c:pt>
                <c:pt idx="17">
                  <c:v>11.755000000000001</c:v>
                </c:pt>
                <c:pt idx="18">
                  <c:v>15.018000000000001</c:v>
                </c:pt>
                <c:pt idx="19">
                  <c:v>18.279</c:v>
                </c:pt>
                <c:pt idx="20">
                  <c:v>22.56</c:v>
                </c:pt>
                <c:pt idx="21">
                  <c:v>26.891999999999999</c:v>
                </c:pt>
                <c:pt idx="22">
                  <c:v>49.792000000000002</c:v>
                </c:pt>
                <c:pt idx="23">
                  <c:v>96.597999999999999</c:v>
                </c:pt>
                <c:pt idx="24">
                  <c:v>97.736999999999995</c:v>
                </c:pt>
                <c:pt idx="25">
                  <c:v>134.953</c:v>
                </c:pt>
                <c:pt idx="26">
                  <c:v>161.291</c:v>
                </c:pt>
                <c:pt idx="27">
                  <c:v>162.96700000000001</c:v>
                </c:pt>
                <c:pt idx="28">
                  <c:v>167.358</c:v>
                </c:pt>
                <c:pt idx="29">
                  <c:v>176.64500000000001</c:v>
                </c:pt>
                <c:pt idx="30">
                  <c:v>213.774</c:v>
                </c:pt>
                <c:pt idx="31">
                  <c:v>215.214</c:v>
                </c:pt>
                <c:pt idx="32">
                  <c:v>217.47</c:v>
                </c:pt>
                <c:pt idx="33">
                  <c:v>225.464</c:v>
                </c:pt>
                <c:pt idx="34">
                  <c:v>228.208</c:v>
                </c:pt>
                <c:pt idx="35">
                  <c:v>231.08</c:v>
                </c:pt>
                <c:pt idx="36">
                  <c:v>234.73099999999999</c:v>
                </c:pt>
                <c:pt idx="37">
                  <c:v>240.57300000000001</c:v>
                </c:pt>
                <c:pt idx="38">
                  <c:v>248.52</c:v>
                </c:pt>
                <c:pt idx="39">
                  <c:v>257.53800000000001</c:v>
                </c:pt>
                <c:pt idx="40">
                  <c:v>265.71800000000002</c:v>
                </c:pt>
                <c:pt idx="41">
                  <c:v>286.53699999999998</c:v>
                </c:pt>
                <c:pt idx="42">
                  <c:v>291.01</c:v>
                </c:pt>
                <c:pt idx="43">
                  <c:v>298.12700000000001</c:v>
                </c:pt>
                <c:pt idx="44">
                  <c:v>305.36200000000002</c:v>
                </c:pt>
                <c:pt idx="45">
                  <c:v>311.726</c:v>
                </c:pt>
                <c:pt idx="46">
                  <c:v>319.01900000000001</c:v>
                </c:pt>
                <c:pt idx="47">
                  <c:v>326.44299999999998</c:v>
                </c:pt>
                <c:pt idx="48">
                  <c:v>332.81299999999999</c:v>
                </c:pt>
                <c:pt idx="49">
                  <c:v>342.524</c:v>
                </c:pt>
                <c:pt idx="50">
                  <c:v>364.27100000000002</c:v>
                </c:pt>
                <c:pt idx="51">
                  <c:v>368.35500000000002</c:v>
                </c:pt>
                <c:pt idx="52">
                  <c:v>374.35</c:v>
                </c:pt>
                <c:pt idx="53">
                  <c:v>382.14800000000002</c:v>
                </c:pt>
                <c:pt idx="54">
                  <c:v>389.53300000000002</c:v>
                </c:pt>
                <c:pt idx="55">
                  <c:v>396.47399999999999</c:v>
                </c:pt>
                <c:pt idx="56">
                  <c:v>405.08100000000002</c:v>
                </c:pt>
                <c:pt idx="57">
                  <c:v>413.21</c:v>
                </c:pt>
                <c:pt idx="58">
                  <c:v>421.46600000000001</c:v>
                </c:pt>
                <c:pt idx="59">
                  <c:v>438.46699999999998</c:v>
                </c:pt>
                <c:pt idx="60">
                  <c:v>442.327</c:v>
                </c:pt>
                <c:pt idx="61">
                  <c:v>449.82</c:v>
                </c:pt>
                <c:pt idx="62">
                  <c:v>462.62599999999998</c:v>
                </c:pt>
                <c:pt idx="63">
                  <c:v>470.05500000000001</c:v>
                </c:pt>
                <c:pt idx="64">
                  <c:v>477.33699999999999</c:v>
                </c:pt>
                <c:pt idx="65">
                  <c:v>488.685</c:v>
                </c:pt>
                <c:pt idx="66">
                  <c:v>498.24900000000002</c:v>
                </c:pt>
                <c:pt idx="67">
                  <c:v>509.91699999999997</c:v>
                </c:pt>
                <c:pt idx="68">
                  <c:v>537.30999999999995</c:v>
                </c:pt>
                <c:pt idx="69">
                  <c:v>548.63900000000001</c:v>
                </c:pt>
                <c:pt idx="70">
                  <c:v>566.55499999999995</c:v>
                </c:pt>
                <c:pt idx="71">
                  <c:v>616.24400000000003</c:v>
                </c:pt>
                <c:pt idx="72">
                  <c:v>640.15099999999995</c:v>
                </c:pt>
                <c:pt idx="73">
                  <c:v>642.47699999999998</c:v>
                </c:pt>
                <c:pt idx="74">
                  <c:v>647.21799999999996</c:v>
                </c:pt>
                <c:pt idx="75">
                  <c:v>650.11</c:v>
                </c:pt>
                <c:pt idx="76">
                  <c:v>653.15700000000004</c:v>
                </c:pt>
                <c:pt idx="77">
                  <c:v>657.779</c:v>
                </c:pt>
                <c:pt idx="78">
                  <c:v>662.15599999999995</c:v>
                </c:pt>
                <c:pt idx="79">
                  <c:v>668.27099999999996</c:v>
                </c:pt>
                <c:pt idx="80">
                  <c:v>679.52200000000005</c:v>
                </c:pt>
                <c:pt idx="81">
                  <c:v>682.32899999999995</c:v>
                </c:pt>
                <c:pt idx="82">
                  <c:v>685.32600000000002</c:v>
                </c:pt>
                <c:pt idx="83">
                  <c:v>689.89</c:v>
                </c:pt>
                <c:pt idx="84">
                  <c:v>691.57100000000003</c:v>
                </c:pt>
                <c:pt idx="85">
                  <c:v>694.11400000000003</c:v>
                </c:pt>
                <c:pt idx="86">
                  <c:v>699.35699999999997</c:v>
                </c:pt>
                <c:pt idx="87">
                  <c:v>702.3</c:v>
                </c:pt>
                <c:pt idx="88">
                  <c:v>705.89499999999998</c:v>
                </c:pt>
                <c:pt idx="89">
                  <c:v>709.88</c:v>
                </c:pt>
                <c:pt idx="90">
                  <c:v>713.64499999999998</c:v>
                </c:pt>
                <c:pt idx="91">
                  <c:v>717.63800000000003</c:v>
                </c:pt>
                <c:pt idx="92">
                  <c:v>722.52099999999996</c:v>
                </c:pt>
                <c:pt idx="93">
                  <c:v>726.40300000000002</c:v>
                </c:pt>
                <c:pt idx="94">
                  <c:v>731.49099999999999</c:v>
                </c:pt>
                <c:pt idx="95">
                  <c:v>735.44</c:v>
                </c:pt>
                <c:pt idx="96">
                  <c:v>739.53399999999999</c:v>
                </c:pt>
                <c:pt idx="97">
                  <c:v>743.27599999999995</c:v>
                </c:pt>
                <c:pt idx="98">
                  <c:v>748.59100000000001</c:v>
                </c:pt>
                <c:pt idx="99">
                  <c:v>752.03300000000002</c:v>
                </c:pt>
                <c:pt idx="100">
                  <c:v>755.48900000000003</c:v>
                </c:pt>
                <c:pt idx="101">
                  <c:v>760.27200000000005</c:v>
                </c:pt>
                <c:pt idx="102">
                  <c:v>764.60799999999995</c:v>
                </c:pt>
                <c:pt idx="103">
                  <c:v>769.83699999999999</c:v>
                </c:pt>
                <c:pt idx="104">
                  <c:v>774.35</c:v>
                </c:pt>
                <c:pt idx="105">
                  <c:v>779.40599999999995</c:v>
                </c:pt>
                <c:pt idx="106">
                  <c:v>784.40300000000002</c:v>
                </c:pt>
                <c:pt idx="107">
                  <c:v>790.09299999999996</c:v>
                </c:pt>
                <c:pt idx="108">
                  <c:v>796.42</c:v>
                </c:pt>
                <c:pt idx="109">
                  <c:v>806.48</c:v>
                </c:pt>
                <c:pt idx="110">
                  <c:v>845.21799999999996</c:v>
                </c:pt>
                <c:pt idx="111">
                  <c:v>846.76900000000001</c:v>
                </c:pt>
                <c:pt idx="112">
                  <c:v>848.37199999999996</c:v>
                </c:pt>
                <c:pt idx="113">
                  <c:v>850.38900000000001</c:v>
                </c:pt>
                <c:pt idx="114">
                  <c:v>852.70500000000004</c:v>
                </c:pt>
                <c:pt idx="115">
                  <c:v>856.00599999999997</c:v>
                </c:pt>
                <c:pt idx="116">
                  <c:v>859.39499999999998</c:v>
                </c:pt>
                <c:pt idx="117">
                  <c:v>862.67</c:v>
                </c:pt>
                <c:pt idx="118">
                  <c:v>866.30100000000004</c:v>
                </c:pt>
                <c:pt idx="119">
                  <c:v>868.66600000000005</c:v>
                </c:pt>
                <c:pt idx="120">
                  <c:v>872.21299999999997</c:v>
                </c:pt>
                <c:pt idx="121">
                  <c:v>875.90800000000002</c:v>
                </c:pt>
                <c:pt idx="122">
                  <c:v>881.51800000000003</c:v>
                </c:pt>
                <c:pt idx="123">
                  <c:v>882.77200000000005</c:v>
                </c:pt>
                <c:pt idx="124">
                  <c:v>883.79100000000005</c:v>
                </c:pt>
                <c:pt idx="125">
                  <c:v>886.47199999999998</c:v>
                </c:pt>
                <c:pt idx="126">
                  <c:v>889.66</c:v>
                </c:pt>
                <c:pt idx="127">
                  <c:v>892.24199999999996</c:v>
                </c:pt>
                <c:pt idx="128">
                  <c:v>896.4</c:v>
                </c:pt>
                <c:pt idx="129">
                  <c:v>900.16300000000001</c:v>
                </c:pt>
                <c:pt idx="130">
                  <c:v>904.41800000000001</c:v>
                </c:pt>
                <c:pt idx="131">
                  <c:v>907.36800000000005</c:v>
                </c:pt>
                <c:pt idx="132">
                  <c:v>910.36500000000001</c:v>
                </c:pt>
                <c:pt idx="133">
                  <c:v>913.83799999999997</c:v>
                </c:pt>
                <c:pt idx="134">
                  <c:v>918.64099999999996</c:v>
                </c:pt>
                <c:pt idx="135">
                  <c:v>922.44500000000005</c:v>
                </c:pt>
                <c:pt idx="136">
                  <c:v>926.274</c:v>
                </c:pt>
                <c:pt idx="137">
                  <c:v>929.71900000000005</c:v>
                </c:pt>
                <c:pt idx="138">
                  <c:v>934.47299999999996</c:v>
                </c:pt>
                <c:pt idx="139">
                  <c:v>939.697</c:v>
                </c:pt>
                <c:pt idx="140">
                  <c:v>945.05100000000004</c:v>
                </c:pt>
                <c:pt idx="141">
                  <c:v>950.11300000000006</c:v>
                </c:pt>
                <c:pt idx="142">
                  <c:v>956.65499999999997</c:v>
                </c:pt>
                <c:pt idx="143">
                  <c:v>960.08199999999999</c:v>
                </c:pt>
                <c:pt idx="144">
                  <c:v>964.83900000000006</c:v>
                </c:pt>
                <c:pt idx="145">
                  <c:v>970.10299999999995</c:v>
                </c:pt>
                <c:pt idx="146">
                  <c:v>978.14599999999996</c:v>
                </c:pt>
                <c:pt idx="147">
                  <c:v>984.10199999999998</c:v>
                </c:pt>
                <c:pt idx="148">
                  <c:v>992.37699999999995</c:v>
                </c:pt>
                <c:pt idx="149">
                  <c:v>999.51800000000003</c:v>
                </c:pt>
                <c:pt idx="150">
                  <c:v>1007.062</c:v>
                </c:pt>
                <c:pt idx="151">
                  <c:v>1015.46</c:v>
                </c:pt>
                <c:pt idx="152">
                  <c:v>1023.958</c:v>
                </c:pt>
                <c:pt idx="153">
                  <c:v>1033.123</c:v>
                </c:pt>
                <c:pt idx="154">
                  <c:v>1044.0229999999999</c:v>
                </c:pt>
                <c:pt idx="155">
                  <c:v>1052.23</c:v>
                </c:pt>
                <c:pt idx="156">
                  <c:v>1062.9369999999999</c:v>
                </c:pt>
                <c:pt idx="157">
                  <c:v>1076.4059999999999</c:v>
                </c:pt>
                <c:pt idx="158">
                  <c:v>1092.5360000000001</c:v>
                </c:pt>
                <c:pt idx="159">
                  <c:v>1106.6659999999999</c:v>
                </c:pt>
                <c:pt idx="160">
                  <c:v>1124.5160000000001</c:v>
                </c:pt>
                <c:pt idx="161">
                  <c:v>1145.002</c:v>
                </c:pt>
                <c:pt idx="162">
                  <c:v>1162.1600000000001</c:v>
                </c:pt>
                <c:pt idx="163">
                  <c:v>1179.3610000000001</c:v>
                </c:pt>
                <c:pt idx="164">
                  <c:v>1198.623</c:v>
                </c:pt>
                <c:pt idx="165">
                  <c:v>1215.452</c:v>
                </c:pt>
                <c:pt idx="166">
                  <c:v>1232.577</c:v>
                </c:pt>
                <c:pt idx="167" formatCode="&quot; &quot;* #,##0.0&quot; &quot;;&quot;-&quot;* #,##0.0&quot; &quot;;&quot; &quot;* &quot;-&quot;#.0&quot; &quot;;&quot; &quot;@&quot; &quot;">
                  <c:v>1243.2270000000001</c:v>
                </c:pt>
                <c:pt idx="168">
                  <c:v>1258.175</c:v>
                </c:pt>
                <c:pt idx="169" formatCode="&quot; &quot;* #,##0.0&quot; &quot;;&quot;-&quot;* #,##0.0&quot; &quot;;&quot; &quot;* &quot;-&quot;#.0&quot; &quot;;&quot; &quot;@&quot; &quot;">
                  <c:v>1271.7670000000001</c:v>
                </c:pt>
                <c:pt idx="170" formatCode="&quot; &quot;* #,##0.0&quot; &quot;;&quot;-&quot;* #,##0.0&quot; &quot;;&quot; &quot;* &quot;-&quot;#.0&quot; &quot;;&quot; &quot;@&quot; &quot;">
                  <c:v>1287.646</c:v>
                </c:pt>
                <c:pt idx="171" formatCode="&quot; &quot;* #,##0.0&quot; &quot;;&quot;-&quot;* #,##0.0&quot; &quot;;&quot; &quot;* &quot;-&quot;#.0&quot; &quot;;&quot; &quot;@&quot; &quot;">
                  <c:v>1303.779</c:v>
                </c:pt>
                <c:pt idx="172" formatCode="&quot; &quot;* #,##0.0&quot; &quot;;&quot;-&quot;* #,##0.0&quot; &quot;;&quot; &quot;* &quot;-&quot;#.0&quot; &quot;;&quot; &quot;@&quot; &quot;">
                  <c:v>1322.2149999999999</c:v>
                </c:pt>
                <c:pt idx="173" formatCode="&quot; &quot;* #,##0.0&quot; &quot;;&quot;-&quot;* #,##0.0&quot; &quot;;&quot; &quot;* &quot;-&quot;#.0&quot; &quot;;&quot; &quot;@&quot; &quot;">
                  <c:v>1339.499</c:v>
                </c:pt>
                <c:pt idx="174" formatCode="&quot; &quot;* #,##0.0&quot; &quot;;&quot;-&quot;* #,##0.0&quot; &quot;;&quot; &quot;* &quot;-&quot;#.0&quot; &quot;;&quot; &quot;@&quot; &quot;">
                  <c:v>1358.4079999999999</c:v>
                </c:pt>
                <c:pt idx="175" formatCode="&quot; &quot;* #,##0.0&quot; &quot;;&quot;-&quot;* #,##0.0&quot; &quot;;&quot; &quot;* &quot;-&quot;#.0&quot; &quot;;&quot; &quot;@&quot; &quot;">
                  <c:v>1376.3150000000001</c:v>
                </c:pt>
                <c:pt idx="176" formatCode="&quot; &quot;* #,##0.0&quot; &quot;;&quot;-&quot;* #,##0.0&quot; &quot;;&quot; &quot;* &quot;-&quot;#.0&quot; &quot;;&quot; &quot;@&quot; &quot;">
                  <c:v>1393.66</c:v>
                </c:pt>
                <c:pt idx="177" formatCode="&quot; &quot;* #,##0.0&quot; &quot;;&quot;-&quot;* #,##0.0&quot; &quot;;&quot; &quot;* &quot;-&quot;#.0&quot; &quot;;&quot; &quot;@&quot; &quot;">
                  <c:v>1411.38</c:v>
                </c:pt>
                <c:pt idx="178" formatCode="&quot; &quot;* #,##0.0&quot; &quot;;&quot;-&quot;* #,##0.0&quot; &quot;;&quot; &quot;* &quot;-&quot;#.0&quot; &quot;;&quot; &quot;@&quot; &quot;">
                  <c:v>1429.74</c:v>
                </c:pt>
                <c:pt idx="179" formatCode="&quot; &quot;* #,##0.0&quot; &quot;;&quot;-&quot;* #,##0.0&quot; &quot;;&quot; &quot;* &quot;-&quot;#.0&quot; &quot;;&quot; &quot;@&quot; &quot;">
                  <c:v>1442.2380000000001</c:v>
                </c:pt>
                <c:pt idx="180" formatCode="&quot; &quot;* #,##0.0&quot; &quot;;&quot;-&quot;* #,##0.0&quot; &quot;;&quot; &quot;* &quot;-&quot;#.0&quot; &quot;;&quot; &quot;@&quot; &quot;">
                  <c:v>1459.4559999999999</c:v>
                </c:pt>
                <c:pt idx="181" formatCode="&quot; &quot;* #,##0.0&quot; &quot;;&quot;-&quot;* #,##0.0&quot; &quot;;&quot; &quot;* &quot;-&quot;#.0&quot; &quot;;&quot; &quot;@&quot; &quot;">
                  <c:v>1479.9870000000001</c:v>
                </c:pt>
                <c:pt idx="182" formatCode="&quot; &quot;* #,##0.0&quot; &quot;;&quot;-&quot;* #,##0.0&quot; &quot;;&quot; &quot;* &quot;-&quot;#.0&quot; &quot;;&quot; &quot;@&quot; &quot;">
                  <c:v>1502.1179999999999</c:v>
                </c:pt>
                <c:pt idx="183" formatCode="&quot; &quot;* #,##0.0&quot; &quot;;&quot;-&quot;* #,##0.0&quot; &quot;;&quot; &quot;* &quot;-&quot;#.0&quot; &quot;;&quot; &quot;@&quot; &quot;">
                  <c:v>1523.2760000000001</c:v>
                </c:pt>
                <c:pt idx="184" formatCode="&quot; &quot;* #,##0.0&quot; &quot;;&quot;-&quot;* #,##0.0&quot; &quot;;&quot; &quot;* &quot;-&quot;#.0&quot; &quot;;&quot; &quot;@&quot; &quot;">
                  <c:v>1546.634</c:v>
                </c:pt>
                <c:pt idx="185" formatCode="&quot; &quot;* #,##0.0&quot; &quot;;&quot;-&quot;* #,##0.0&quot; &quot;;&quot; &quot;* &quot;-&quot;#.0&quot; &quot;;&quot; &quot;@&quot; &quot;">
                  <c:v>1568.769</c:v>
                </c:pt>
                <c:pt idx="186" formatCode="&quot; &quot;* #,##0.0&quot; &quot;;&quot;-&quot;* #,##0.0&quot; &quot;;&quot; &quot;* &quot;-&quot;#.0&quot; &quot;;&quot; &quot;@&quot; &quot;">
                  <c:v>1592.6369999999999</c:v>
                </c:pt>
                <c:pt idx="187" formatCode="&quot; &quot;* #,##0.0&quot; &quot;;&quot;-&quot;* #,##0.0&quot; &quot;;&quot; &quot;* &quot;-&quot;#.0&quot; &quot;;&quot; &quot;@&quot; &quot;">
                  <c:v>1614.2809999999999</c:v>
                </c:pt>
                <c:pt idx="188" formatCode="&quot; &quot;* #,##0.0&quot; &quot;;&quot;-&quot;* #,##0.0&quot; &quot;;&quot; &quot;* &quot;-&quot;#.0&quot; &quot;;&quot; &quot;@&quot; &quot;">
                  <c:v>1638.932</c:v>
                </c:pt>
                <c:pt idx="189" formatCode="&quot; &quot;* #,##0.0&quot; &quot;;&quot;-&quot;* #,##0.0&quot; &quot;;&quot; &quot;* &quot;-&quot;#.0&quot; &quot;;&quot; &quot;@&quot; &quot;">
                  <c:v>1663.3050000000001</c:v>
                </c:pt>
                <c:pt idx="190" formatCode="&quot; &quot;* #,##0.0&quot; &quot;;&quot;-&quot;* #,##0.0&quot; &quot;;&quot; &quot;* &quot;-&quot;#.0&quot; &quot;;&quot; &quot;@&quot; &quot;">
                  <c:v>1684.5219999999999</c:v>
                </c:pt>
                <c:pt idx="191" formatCode="&quot; &quot;* #,##0.0&quot; &quot;;&quot;-&quot;* #,##0.0&quot; &quot;;&quot; &quot;* &quot;-&quot;#.0&quot; &quot;;&quot; &quot;@&quot; &quot;">
                  <c:v>1702.682</c:v>
                </c:pt>
                <c:pt idx="192" formatCode="&quot; &quot;* #,##0.0&quot; &quot;;&quot;-&quot;* #,##0.0&quot; &quot;;&quot; &quot;* &quot;-&quot;#.0&quot; &quot;;&quot; &quot;@&quot; &quot;">
                  <c:v>1723.607</c:v>
                </c:pt>
                <c:pt idx="193" formatCode="&quot; &quot;* #,##0.0&quot; &quot;;&quot;-&quot;* #,##0.0&quot; &quot;;&quot; &quot;* &quot;-&quot;#.0&quot; &quot;;&quot; &quot;@&quot; &quot;">
                  <c:v>1747.9849999999999</c:v>
                </c:pt>
                <c:pt idx="194" formatCode="&quot; &quot;* #,##0.0&quot; &quot;;&quot;-&quot;* #,##0.0&quot; &quot;;&quot; &quot;* &quot;-&quot;#.0&quot; &quot;;&quot; &quot;@&quot; &quot;">
                  <c:v>1778.8240000000001</c:v>
                </c:pt>
                <c:pt idx="195" formatCode="&quot; &quot;* #,##0.0&quot; &quot;;&quot;-&quot;* #,##0.0&quot; &quot;;&quot; &quot;* &quot;-&quot;#.0&quot; &quot;;&quot; &quot;@&quot; &quot;">
                  <c:v>1806.123</c:v>
                </c:pt>
                <c:pt idx="196" formatCode="&quot; &quot;* #,##0.0&quot; &quot;;&quot;-&quot;* #,##0.0&quot; &quot;;&quot; &quot;* &quot;-&quot;#.0&quot; &quot;;&quot; &quot;@&quot; &quot;">
                  <c:v>1827.288</c:v>
                </c:pt>
                <c:pt idx="197" formatCode="&quot; &quot;* #,##0.0&quot; &quot;;&quot;-&quot;* #,##0.0&quot; &quot;;&quot; &quot;* &quot;-&quot;#.0&quot; &quot;;&quot; &quot;@&quot; &quot;">
                  <c:v>1857.7550000000001</c:v>
                </c:pt>
              </c:numCache>
            </c:numRef>
          </c:val>
          <c:extLst>
            <c:ext xmlns:c16="http://schemas.microsoft.com/office/drawing/2014/chart" uri="{C3380CC4-5D6E-409C-BE32-E72D297353CC}">
              <c16:uniqueId val="{00000003-81FF-49FF-8CF7-390DE669A330}"/>
            </c:ext>
          </c:extLst>
        </c:ser>
        <c:ser>
          <c:idx val="4"/>
          <c:order val="4"/>
          <c:tx>
            <c:strRef>
              <c:f>Table_1_by_Capacity!$A$26:$A$26</c:f>
              <c:strCache>
                <c:ptCount val="1"/>
                <c:pt idx="0">
                  <c:v> 50 kW ≤ to &lt; 5 MW </c:v>
                </c:pt>
              </c:strCache>
            </c:strRef>
          </c:tx>
          <c:spPr>
            <a:solidFill>
              <a:srgbClr val="1D91C0"/>
            </a:solidFill>
            <a:ln>
              <a:noFill/>
            </a:ln>
          </c:spPr>
          <c:cat>
            <c:strRef>
              <c:f>Table_1_by_Capacity!$B$5:$GQ$5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Table_1_by_Capacity!$B$26:$GQ$26</c:f>
              <c:numCache>
                <c:formatCode>#,##0.0;\-#,##0.0</c:formatCode>
                <c:ptCount val="198"/>
                <c:pt idx="0">
                  <c:v>1.133</c:v>
                </c:pt>
                <c:pt idx="1">
                  <c:v>1.133</c:v>
                </c:pt>
                <c:pt idx="2">
                  <c:v>1.133</c:v>
                </c:pt>
                <c:pt idx="3">
                  <c:v>1.133</c:v>
                </c:pt>
                <c:pt idx="4">
                  <c:v>1.3009999999999999</c:v>
                </c:pt>
                <c:pt idx="5">
                  <c:v>2.101</c:v>
                </c:pt>
                <c:pt idx="6">
                  <c:v>2.2509999999999999</c:v>
                </c:pt>
                <c:pt idx="7">
                  <c:v>2.2509999999999999</c:v>
                </c:pt>
                <c:pt idx="8">
                  <c:v>2.2509999999999999</c:v>
                </c:pt>
                <c:pt idx="9">
                  <c:v>2.6989999999999998</c:v>
                </c:pt>
                <c:pt idx="10">
                  <c:v>2.75</c:v>
                </c:pt>
                <c:pt idx="11">
                  <c:v>2.8969999999999998</c:v>
                </c:pt>
                <c:pt idx="12">
                  <c:v>2.8969999999999998</c:v>
                </c:pt>
                <c:pt idx="13">
                  <c:v>3.4209999999999998</c:v>
                </c:pt>
                <c:pt idx="14">
                  <c:v>4.2380000000000004</c:v>
                </c:pt>
                <c:pt idx="15">
                  <c:v>10.138999999999999</c:v>
                </c:pt>
                <c:pt idx="16">
                  <c:v>11.798</c:v>
                </c:pt>
                <c:pt idx="17">
                  <c:v>17.247</c:v>
                </c:pt>
                <c:pt idx="18">
                  <c:v>139.82599999999999</c:v>
                </c:pt>
                <c:pt idx="19">
                  <c:v>140.78100000000001</c:v>
                </c:pt>
                <c:pt idx="20">
                  <c:v>156.404</c:v>
                </c:pt>
                <c:pt idx="21">
                  <c:v>212.83099999999999</c:v>
                </c:pt>
                <c:pt idx="22">
                  <c:v>214.464</c:v>
                </c:pt>
                <c:pt idx="23">
                  <c:v>222.828</c:v>
                </c:pt>
                <c:pt idx="24">
                  <c:v>222.98699999999999</c:v>
                </c:pt>
                <c:pt idx="25">
                  <c:v>226.87100000000001</c:v>
                </c:pt>
                <c:pt idx="26">
                  <c:v>237.54900000000001</c:v>
                </c:pt>
                <c:pt idx="27">
                  <c:v>238.36199999999999</c:v>
                </c:pt>
                <c:pt idx="28">
                  <c:v>239.48400000000001</c:v>
                </c:pt>
                <c:pt idx="29">
                  <c:v>255.54900000000001</c:v>
                </c:pt>
                <c:pt idx="30">
                  <c:v>332.488</c:v>
                </c:pt>
                <c:pt idx="31">
                  <c:v>335.31599999999997</c:v>
                </c:pt>
                <c:pt idx="32">
                  <c:v>336.98399999999998</c:v>
                </c:pt>
                <c:pt idx="33">
                  <c:v>340.91500000000002</c:v>
                </c:pt>
                <c:pt idx="34">
                  <c:v>350.21899999999999</c:v>
                </c:pt>
                <c:pt idx="35">
                  <c:v>352.34800000000001</c:v>
                </c:pt>
                <c:pt idx="36">
                  <c:v>358.19799999999998</c:v>
                </c:pt>
                <c:pt idx="37">
                  <c:v>362.66199999999998</c:v>
                </c:pt>
                <c:pt idx="38">
                  <c:v>465.64400000000001</c:v>
                </c:pt>
                <c:pt idx="39">
                  <c:v>492.17200000000003</c:v>
                </c:pt>
                <c:pt idx="40">
                  <c:v>503.91</c:v>
                </c:pt>
                <c:pt idx="41">
                  <c:v>518.42899999999997</c:v>
                </c:pt>
                <c:pt idx="42">
                  <c:v>533.10599999999999</c:v>
                </c:pt>
                <c:pt idx="43">
                  <c:v>550.12099999999998</c:v>
                </c:pt>
                <c:pt idx="44">
                  <c:v>560.89599999999996</c:v>
                </c:pt>
                <c:pt idx="45">
                  <c:v>573.43600000000004</c:v>
                </c:pt>
                <c:pt idx="46">
                  <c:v>581.77800000000002</c:v>
                </c:pt>
                <c:pt idx="47">
                  <c:v>597.53800000000001</c:v>
                </c:pt>
                <c:pt idx="48">
                  <c:v>611.97</c:v>
                </c:pt>
                <c:pt idx="49">
                  <c:v>631.83399999999995</c:v>
                </c:pt>
                <c:pt idx="50">
                  <c:v>723.92499999999995</c:v>
                </c:pt>
                <c:pt idx="51">
                  <c:v>739.09699999999998</c:v>
                </c:pt>
                <c:pt idx="52">
                  <c:v>757.50099999999998</c:v>
                </c:pt>
                <c:pt idx="53">
                  <c:v>798.96</c:v>
                </c:pt>
                <c:pt idx="54">
                  <c:v>818.67499999999995</c:v>
                </c:pt>
                <c:pt idx="55">
                  <c:v>834.55799999999999</c:v>
                </c:pt>
                <c:pt idx="56">
                  <c:v>851.37699999999995</c:v>
                </c:pt>
                <c:pt idx="57">
                  <c:v>868.09500000000003</c:v>
                </c:pt>
                <c:pt idx="58">
                  <c:v>886.57600000000002</c:v>
                </c:pt>
                <c:pt idx="59">
                  <c:v>928.45</c:v>
                </c:pt>
                <c:pt idx="60">
                  <c:v>939.26199999999994</c:v>
                </c:pt>
                <c:pt idx="61">
                  <c:v>958.29899999999998</c:v>
                </c:pt>
                <c:pt idx="62">
                  <c:v>1079.3620000000001</c:v>
                </c:pt>
                <c:pt idx="63">
                  <c:v>1089.9069999999999</c:v>
                </c:pt>
                <c:pt idx="64">
                  <c:v>1116.3689999999999</c:v>
                </c:pt>
                <c:pt idx="65">
                  <c:v>1181.6859999999999</c:v>
                </c:pt>
                <c:pt idx="66">
                  <c:v>1211.729</c:v>
                </c:pt>
                <c:pt idx="67">
                  <c:v>1249.5809999999999</c:v>
                </c:pt>
                <c:pt idx="68">
                  <c:v>1295.8810000000001</c:v>
                </c:pt>
                <c:pt idx="69">
                  <c:v>1373.204</c:v>
                </c:pt>
                <c:pt idx="70">
                  <c:v>1457.037</c:v>
                </c:pt>
                <c:pt idx="71">
                  <c:v>1957.7750000000001</c:v>
                </c:pt>
                <c:pt idx="72">
                  <c:v>2027.3309999999999</c:v>
                </c:pt>
                <c:pt idx="73">
                  <c:v>2088.5410000000002</c:v>
                </c:pt>
                <c:pt idx="74">
                  <c:v>2606.6970000000001</c:v>
                </c:pt>
                <c:pt idx="75">
                  <c:v>2651.7359999999999</c:v>
                </c:pt>
                <c:pt idx="76">
                  <c:v>2688.4609999999998</c:v>
                </c:pt>
                <c:pt idx="77">
                  <c:v>2846.585</c:v>
                </c:pt>
                <c:pt idx="78">
                  <c:v>2861.0590000000002</c:v>
                </c:pt>
                <c:pt idx="79">
                  <c:v>2889.5639999999999</c:v>
                </c:pt>
                <c:pt idx="80">
                  <c:v>2916.7820000000002</c:v>
                </c:pt>
                <c:pt idx="81">
                  <c:v>2942.7649999999999</c:v>
                </c:pt>
                <c:pt idx="82">
                  <c:v>2973.8</c:v>
                </c:pt>
                <c:pt idx="83">
                  <c:v>3014.3209999999999</c:v>
                </c:pt>
                <c:pt idx="84">
                  <c:v>3023.5320000000002</c:v>
                </c:pt>
                <c:pt idx="85">
                  <c:v>3076.1689999999999</c:v>
                </c:pt>
                <c:pt idx="86">
                  <c:v>3442.9929999999999</c:v>
                </c:pt>
                <c:pt idx="87">
                  <c:v>3452.9189999999999</c:v>
                </c:pt>
                <c:pt idx="88">
                  <c:v>3459.654</c:v>
                </c:pt>
                <c:pt idx="89">
                  <c:v>3464.8809999999999</c:v>
                </c:pt>
                <c:pt idx="90">
                  <c:v>3474.163</c:v>
                </c:pt>
                <c:pt idx="91">
                  <c:v>3479.6219999999998</c:v>
                </c:pt>
                <c:pt idx="92">
                  <c:v>3483.1959999999999</c:v>
                </c:pt>
                <c:pt idx="93">
                  <c:v>3485.6370000000002</c:v>
                </c:pt>
                <c:pt idx="94">
                  <c:v>3487.5569999999998</c:v>
                </c:pt>
                <c:pt idx="95">
                  <c:v>3488.692</c:v>
                </c:pt>
                <c:pt idx="96">
                  <c:v>3490.3359999999998</c:v>
                </c:pt>
                <c:pt idx="97">
                  <c:v>3491.0920000000001</c:v>
                </c:pt>
                <c:pt idx="98">
                  <c:v>3504.38</c:v>
                </c:pt>
                <c:pt idx="99">
                  <c:v>3507.1640000000002</c:v>
                </c:pt>
                <c:pt idx="100">
                  <c:v>3511.39</c:v>
                </c:pt>
                <c:pt idx="101">
                  <c:v>3517.8969999999999</c:v>
                </c:pt>
                <c:pt idx="102">
                  <c:v>3520.62</c:v>
                </c:pt>
                <c:pt idx="103">
                  <c:v>3523.1210000000001</c:v>
                </c:pt>
                <c:pt idx="104">
                  <c:v>3525.5360000000001</c:v>
                </c:pt>
                <c:pt idx="105">
                  <c:v>3527.6329999999998</c:v>
                </c:pt>
                <c:pt idx="106">
                  <c:v>3536.6149999999998</c:v>
                </c:pt>
                <c:pt idx="107">
                  <c:v>3543.9189999999999</c:v>
                </c:pt>
                <c:pt idx="108">
                  <c:v>3546.8890000000001</c:v>
                </c:pt>
                <c:pt idx="109">
                  <c:v>3550.4760000000001</c:v>
                </c:pt>
                <c:pt idx="110">
                  <c:v>3554.5680000000002</c:v>
                </c:pt>
                <c:pt idx="111">
                  <c:v>3567.223</c:v>
                </c:pt>
                <c:pt idx="112">
                  <c:v>3567.931</c:v>
                </c:pt>
                <c:pt idx="113">
                  <c:v>3570.1759999999999</c:v>
                </c:pt>
                <c:pt idx="114">
                  <c:v>3572.7669999999998</c:v>
                </c:pt>
                <c:pt idx="115">
                  <c:v>3579.5279999999998</c:v>
                </c:pt>
                <c:pt idx="116">
                  <c:v>3594.4059999999999</c:v>
                </c:pt>
                <c:pt idx="117">
                  <c:v>3595.54</c:v>
                </c:pt>
                <c:pt idx="118">
                  <c:v>3596.3</c:v>
                </c:pt>
                <c:pt idx="119">
                  <c:v>3597.9259999999999</c:v>
                </c:pt>
                <c:pt idx="120">
                  <c:v>3606.6759999999999</c:v>
                </c:pt>
                <c:pt idx="121">
                  <c:v>3607.2759999999998</c:v>
                </c:pt>
                <c:pt idx="122">
                  <c:v>3609.6640000000002</c:v>
                </c:pt>
                <c:pt idx="123">
                  <c:v>3611.1149999999998</c:v>
                </c:pt>
                <c:pt idx="124">
                  <c:v>3611.3690000000001</c:v>
                </c:pt>
                <c:pt idx="125">
                  <c:v>3611.5189999999998</c:v>
                </c:pt>
                <c:pt idx="126">
                  <c:v>3618.3690000000001</c:v>
                </c:pt>
                <c:pt idx="127">
                  <c:v>3619.2190000000001</c:v>
                </c:pt>
                <c:pt idx="128">
                  <c:v>3619.7190000000001</c:v>
                </c:pt>
                <c:pt idx="129">
                  <c:v>3623.6689999999999</c:v>
                </c:pt>
                <c:pt idx="130">
                  <c:v>3625.6190000000001</c:v>
                </c:pt>
                <c:pt idx="131">
                  <c:v>3628.9690000000001</c:v>
                </c:pt>
                <c:pt idx="132">
                  <c:v>3629.5439999999999</c:v>
                </c:pt>
                <c:pt idx="133">
                  <c:v>3631.3440000000001</c:v>
                </c:pt>
                <c:pt idx="134">
                  <c:v>3631.8939999999998</c:v>
                </c:pt>
                <c:pt idx="135">
                  <c:v>3632.2440000000001</c:v>
                </c:pt>
                <c:pt idx="136">
                  <c:v>3633.3939999999998</c:v>
                </c:pt>
                <c:pt idx="137">
                  <c:v>3634.7939999999999</c:v>
                </c:pt>
                <c:pt idx="138">
                  <c:v>3640.9140000000002</c:v>
                </c:pt>
                <c:pt idx="139">
                  <c:v>3642.4929999999999</c:v>
                </c:pt>
                <c:pt idx="140">
                  <c:v>3649.6880000000001</c:v>
                </c:pt>
                <c:pt idx="141">
                  <c:v>3653.5529999999999</c:v>
                </c:pt>
                <c:pt idx="142">
                  <c:v>3656.0529999999999</c:v>
                </c:pt>
                <c:pt idx="143">
                  <c:v>3660.2370000000001</c:v>
                </c:pt>
                <c:pt idx="144">
                  <c:v>3680.3910000000001</c:v>
                </c:pt>
                <c:pt idx="145">
                  <c:v>3683.866</c:v>
                </c:pt>
                <c:pt idx="146">
                  <c:v>3695.4380000000001</c:v>
                </c:pt>
                <c:pt idx="147">
                  <c:v>3702.8</c:v>
                </c:pt>
                <c:pt idx="148">
                  <c:v>3710.1790000000001</c:v>
                </c:pt>
                <c:pt idx="149">
                  <c:v>3713.8029999999999</c:v>
                </c:pt>
                <c:pt idx="150">
                  <c:v>3720.6410000000001</c:v>
                </c:pt>
                <c:pt idx="151">
                  <c:v>3722.002</c:v>
                </c:pt>
                <c:pt idx="152">
                  <c:v>3725.4250000000002</c:v>
                </c:pt>
                <c:pt idx="153">
                  <c:v>3731.337</c:v>
                </c:pt>
                <c:pt idx="154">
                  <c:v>3736.4650000000001</c:v>
                </c:pt>
                <c:pt idx="155">
                  <c:v>3744.2020000000002</c:v>
                </c:pt>
                <c:pt idx="156">
                  <c:v>3747.1480000000001</c:v>
                </c:pt>
                <c:pt idx="157">
                  <c:v>3754.9029999999998</c:v>
                </c:pt>
                <c:pt idx="158">
                  <c:v>3768.9850000000001</c:v>
                </c:pt>
                <c:pt idx="159">
                  <c:v>3773.4430000000002</c:v>
                </c:pt>
                <c:pt idx="160">
                  <c:v>3778.4659999999999</c:v>
                </c:pt>
                <c:pt idx="161">
                  <c:v>3788.268</c:v>
                </c:pt>
                <c:pt idx="162">
                  <c:v>3795.9670000000001</c:v>
                </c:pt>
                <c:pt idx="163">
                  <c:v>3801.95</c:v>
                </c:pt>
                <c:pt idx="164">
                  <c:v>3810.3209999999999</c:v>
                </c:pt>
                <c:pt idx="165">
                  <c:v>3821.9670000000001</c:v>
                </c:pt>
                <c:pt idx="166">
                  <c:v>3827.9929999999999</c:v>
                </c:pt>
                <c:pt idx="167" formatCode="&quot; &quot;* #,##0.0&quot; &quot;;&quot;-&quot;* #,##0.0&quot; &quot;;&quot; &quot;* &quot;-&quot;#.0&quot; &quot;;&quot; &quot;@&quot; &quot;">
                  <c:v>3831.625</c:v>
                </c:pt>
                <c:pt idx="168">
                  <c:v>3844.4110000000001</c:v>
                </c:pt>
                <c:pt idx="169" formatCode="&quot; &quot;* #,##0.0&quot; &quot;;&quot;-&quot;* #,##0.0&quot; &quot;;&quot; &quot;* &quot;-&quot;#.0&quot; &quot;;&quot; &quot;@&quot; &quot;">
                  <c:v>3849.6309999999999</c:v>
                </c:pt>
                <c:pt idx="170" formatCode="&quot; &quot;* #,##0.0&quot; &quot;;&quot;-&quot;* #,##0.0&quot; &quot;;&quot; &quot;* &quot;-&quot;#.0&quot; &quot;;&quot; &quot;@&quot; &quot;">
                  <c:v>3860.6550000000002</c:v>
                </c:pt>
                <c:pt idx="171" formatCode="&quot; &quot;* #,##0.0&quot; &quot;;&quot;-&quot;* #,##0.0&quot; &quot;;&quot; &quot;* &quot;-&quot;#.0&quot; &quot;;&quot; &quot;@&quot; &quot;">
                  <c:v>3863.6350000000002</c:v>
                </c:pt>
                <c:pt idx="172" formatCode="&quot; &quot;* #,##0.0&quot; &quot;;&quot;-&quot;* #,##0.0&quot; &quot;;&quot; &quot;* &quot;-&quot;#.0&quot; &quot;;&quot; &quot;@&quot; &quot;">
                  <c:v>3871.7330000000002</c:v>
                </c:pt>
                <c:pt idx="173" formatCode="&quot; &quot;* #,##0.0&quot; &quot;;&quot;-&quot;* #,##0.0&quot; &quot;;&quot; &quot;* &quot;-&quot;#.0&quot; &quot;;&quot; &quot;@&quot; &quot;">
                  <c:v>3878.933</c:v>
                </c:pt>
                <c:pt idx="174" formatCode="&quot; &quot;* #,##0.0&quot; &quot;;&quot;-&quot;* #,##0.0&quot; &quot;;&quot; &quot;* &quot;-&quot;#.0&quot; &quot;;&quot; &quot;@&quot; &quot;">
                  <c:v>3887.9259999999999</c:v>
                </c:pt>
                <c:pt idx="175" formatCode="&quot; &quot;* #,##0.0&quot; &quot;;&quot;-&quot;* #,##0.0&quot; &quot;;&quot; &quot;* &quot;-&quot;#.0&quot; &quot;;&quot; &quot;@&quot; &quot;">
                  <c:v>3891.6950000000002</c:v>
                </c:pt>
                <c:pt idx="176" formatCode="&quot; &quot;* #,##0.0&quot; &quot;;&quot;-&quot;* #,##0.0&quot; &quot;;&quot; &quot;* &quot;-&quot;#.0&quot; &quot;;&quot; &quot;@&quot; &quot;">
                  <c:v>3895.3870000000002</c:v>
                </c:pt>
                <c:pt idx="177" formatCode="&quot; &quot;* #,##0.0&quot; &quot;;&quot;-&quot;* #,##0.0&quot; &quot;;&quot; &quot;* &quot;-&quot;#.0&quot; &quot;;&quot; &quot;@&quot; &quot;">
                  <c:v>3900.654</c:v>
                </c:pt>
                <c:pt idx="178" formatCode="&quot; &quot;* #,##0.0&quot; &quot;;&quot;-&quot;* #,##0.0&quot; &quot;;&quot; &quot;* &quot;-&quot;#.0&quot; &quot;;&quot; &quot;@&quot; &quot;">
                  <c:v>3905.7939999999999</c:v>
                </c:pt>
                <c:pt idx="179" formatCode="&quot; &quot;* #,##0.0&quot; &quot;;&quot;-&quot;* #,##0.0&quot; &quot;;&quot; &quot;* &quot;-&quot;#.0&quot; &quot;;&quot; &quot;@&quot; &quot;">
                  <c:v>3907.011</c:v>
                </c:pt>
                <c:pt idx="180" formatCode="&quot; &quot;* #,##0.0&quot; &quot;;&quot;-&quot;* #,##0.0&quot; &quot;;&quot; &quot;* &quot;-&quot;#.0&quot; &quot;;&quot; &quot;@&quot; &quot;">
                  <c:v>3909.0369999999998</c:v>
                </c:pt>
                <c:pt idx="181" formatCode="&quot; &quot;* #,##0.0&quot; &quot;;&quot;-&quot;* #,##0.0&quot; &quot;;&quot; &quot;* &quot;-&quot;#.0&quot; &quot;;&quot; &quot;@&quot; &quot;">
                  <c:v>3911.875</c:v>
                </c:pt>
                <c:pt idx="182" formatCode="&quot; &quot;* #,##0.0&quot; &quot;;&quot;-&quot;* #,##0.0&quot; &quot;;&quot; &quot;* &quot;-&quot;#.0&quot; &quot;;&quot; &quot;@&quot; &quot;">
                  <c:v>3915.5070000000001</c:v>
                </c:pt>
                <c:pt idx="183" formatCode="&quot; &quot;* #,##0.0&quot; &quot;;&quot;-&quot;* #,##0.0&quot; &quot;;&quot; &quot;* &quot;-&quot;#.0&quot; &quot;;&quot; &quot;@&quot; &quot;">
                  <c:v>3918.5219999999999</c:v>
                </c:pt>
                <c:pt idx="184" formatCode="&quot; &quot;* #,##0.0&quot; &quot;;&quot;-&quot;* #,##0.0&quot; &quot;;&quot; &quot;* &quot;-&quot;#.0&quot; &quot;;&quot; &quot;@&quot; &quot;">
                  <c:v>3925.6729999999998</c:v>
                </c:pt>
                <c:pt idx="185" formatCode="&quot; &quot;* #,##0.0&quot; &quot;;&quot;-&quot;* #,##0.0&quot; &quot;;&quot; &quot;* &quot;-&quot;#.0&quot; &quot;;&quot; &quot;@&quot; &quot;">
                  <c:v>3930.6089999999999</c:v>
                </c:pt>
                <c:pt idx="186" formatCode="&quot; &quot;* #,##0.0&quot; &quot;;&quot;-&quot;* #,##0.0&quot; &quot;;&quot; &quot;* &quot;-&quot;#.0&quot; &quot;;&quot; &quot;@&quot; &quot;">
                  <c:v>3943.915</c:v>
                </c:pt>
                <c:pt idx="187" formatCode="&quot; &quot;* #,##0.0&quot; &quot;;&quot;-&quot;* #,##0.0&quot; &quot;;&quot; &quot;* &quot;-&quot;#.0&quot; &quot;;&quot; &quot;@&quot; &quot;">
                  <c:v>3948.5920000000001</c:v>
                </c:pt>
                <c:pt idx="188" formatCode="&quot; &quot;* #,##0.0&quot; &quot;;&quot;-&quot;* #,##0.0&quot; &quot;;&quot; &quot;* &quot;-&quot;#.0&quot; &quot;;&quot; &quot;@&quot; &quot;">
                  <c:v>3952.902</c:v>
                </c:pt>
                <c:pt idx="189" formatCode="&quot; &quot;* #,##0.0&quot; &quot;;&quot;-&quot;* #,##0.0&quot; &quot;;&quot; &quot;* &quot;-&quot;#.0&quot; &quot;;&quot; &quot;@&quot; &quot;">
                  <c:v>3960.5120000000002</c:v>
                </c:pt>
                <c:pt idx="190" formatCode="&quot; &quot;* #,##0.0&quot; &quot;;&quot;-&quot;* #,##0.0&quot; &quot;;&quot; &quot;* &quot;-&quot;#.0&quot; &quot;;&quot; &quot;@&quot; &quot;">
                  <c:v>3967.7170000000001</c:v>
                </c:pt>
                <c:pt idx="191" formatCode="&quot; &quot;* #,##0.0&quot; &quot;;&quot;-&quot;* #,##0.0&quot; &quot;;&quot; &quot;* &quot;-&quot;#.0&quot; &quot;;&quot; &quot;@&quot; &quot;">
                  <c:v>3981.817</c:v>
                </c:pt>
                <c:pt idx="192" formatCode="&quot; &quot;* #,##0.0&quot; &quot;;&quot;-&quot;* #,##0.0&quot; &quot;;&quot; &quot;* &quot;-&quot;#.0&quot; &quot;;&quot; &quot;@&quot; &quot;">
                  <c:v>3984.5659999999998</c:v>
                </c:pt>
                <c:pt idx="193" formatCode="&quot; &quot;* #,##0.0&quot; &quot;;&quot;-&quot;* #,##0.0&quot; &quot;;&quot; &quot;* &quot;-&quot;#.0&quot; &quot;;&quot; &quot;@&quot; &quot;">
                  <c:v>3986.7449999999999</c:v>
                </c:pt>
                <c:pt idx="194" formatCode="&quot; &quot;* #,##0.0&quot; &quot;;&quot;-&quot;* #,##0.0&quot; &quot;;&quot; &quot;* &quot;-&quot;#.0&quot; &quot;;&quot; &quot;@&quot; &quot;">
                  <c:v>3988.8449999999998</c:v>
                </c:pt>
                <c:pt idx="195" formatCode="&quot; &quot;* #,##0.0&quot; &quot;;&quot;-&quot;* #,##0.0&quot; &quot;;&quot; &quot;* &quot;-&quot;#.0&quot; &quot;;&quot; &quot;@&quot; &quot;">
                  <c:v>3990.2950000000001</c:v>
                </c:pt>
                <c:pt idx="196" formatCode="&quot; &quot;* #,##0.0&quot; &quot;;&quot;-&quot;* #,##0.0&quot; &quot;;&quot; &quot;* &quot;-&quot;#.0&quot; &quot;;&quot; &quot;@&quot; &quot;">
                  <c:v>3991.0450000000001</c:v>
                </c:pt>
                <c:pt idx="197" formatCode="&quot; &quot;* #,##0.0&quot; &quot;;&quot;-&quot;* #,##0.0&quot; &quot;;&quot; &quot;* &quot;-&quot;#.0&quot; &quot;;&quot; &quot;@&quot; &quot;">
                  <c:v>3992.4949999999999</c:v>
                </c:pt>
              </c:numCache>
            </c:numRef>
          </c:val>
          <c:extLst>
            <c:ext xmlns:c16="http://schemas.microsoft.com/office/drawing/2014/chart" uri="{C3380CC4-5D6E-409C-BE32-E72D297353CC}">
              <c16:uniqueId val="{00000004-81FF-49FF-8CF7-390DE669A330}"/>
            </c:ext>
          </c:extLst>
        </c:ser>
        <c:ser>
          <c:idx val="5"/>
          <c:order val="5"/>
          <c:tx>
            <c:strRef>
              <c:f>Table_1_by_Capacity!$A$27:$A$27</c:f>
              <c:strCache>
                <c:ptCount val="1"/>
                <c:pt idx="0">
                  <c:v> 5 ≤ to &lt; 25 MW </c:v>
                </c:pt>
              </c:strCache>
            </c:strRef>
          </c:tx>
          <c:spPr>
            <a:solidFill>
              <a:srgbClr val="225EA8"/>
            </a:solidFill>
            <a:ln>
              <a:noFill/>
            </a:ln>
          </c:spPr>
          <c:cat>
            <c:strRef>
              <c:f>Table_1_by_Capacity!$B$5:$GQ$5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Table_1_by_Capacity!$B$27:$GQ$27</c:f>
              <c:numCache>
                <c:formatCode>#,##0.0;\-#,##0.0</c:formatCode>
                <c:ptCount val="1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6</c:v>
                </c:pt>
                <c:pt idx="25">
                  <c:v>6</c:v>
                </c:pt>
                <c:pt idx="26">
                  <c:v>6</c:v>
                </c:pt>
                <c:pt idx="27">
                  <c:v>6</c:v>
                </c:pt>
                <c:pt idx="28">
                  <c:v>6</c:v>
                </c:pt>
                <c:pt idx="29">
                  <c:v>6</c:v>
                </c:pt>
                <c:pt idx="30">
                  <c:v>6</c:v>
                </c:pt>
                <c:pt idx="31">
                  <c:v>6</c:v>
                </c:pt>
                <c:pt idx="32">
                  <c:v>6</c:v>
                </c:pt>
                <c:pt idx="33">
                  <c:v>6</c:v>
                </c:pt>
                <c:pt idx="34">
                  <c:v>6</c:v>
                </c:pt>
                <c:pt idx="35">
                  <c:v>6</c:v>
                </c:pt>
                <c:pt idx="36">
                  <c:v>6</c:v>
                </c:pt>
                <c:pt idx="37">
                  <c:v>45.012</c:v>
                </c:pt>
                <c:pt idx="38">
                  <c:v>272.49900000000002</c:v>
                </c:pt>
                <c:pt idx="39">
                  <c:v>272.49900000000002</c:v>
                </c:pt>
                <c:pt idx="40">
                  <c:v>296.28300000000002</c:v>
                </c:pt>
                <c:pt idx="41">
                  <c:v>349.51299999999998</c:v>
                </c:pt>
                <c:pt idx="42">
                  <c:v>349.51299999999998</c:v>
                </c:pt>
                <c:pt idx="43">
                  <c:v>368.68799999999999</c:v>
                </c:pt>
                <c:pt idx="44">
                  <c:v>368.68799999999999</c:v>
                </c:pt>
                <c:pt idx="45">
                  <c:v>368.68799999999999</c:v>
                </c:pt>
                <c:pt idx="46">
                  <c:v>423.68799999999999</c:v>
                </c:pt>
                <c:pt idx="47">
                  <c:v>445.23200000000003</c:v>
                </c:pt>
                <c:pt idx="48">
                  <c:v>522.36</c:v>
                </c:pt>
                <c:pt idx="49">
                  <c:v>554.51599999999996</c:v>
                </c:pt>
                <c:pt idx="50">
                  <c:v>1400.913</c:v>
                </c:pt>
                <c:pt idx="51">
                  <c:v>1409.904</c:v>
                </c:pt>
                <c:pt idx="52">
                  <c:v>1460.3620000000001</c:v>
                </c:pt>
                <c:pt idx="53">
                  <c:v>1515.2339999999999</c:v>
                </c:pt>
                <c:pt idx="54">
                  <c:v>1588.1410000000001</c:v>
                </c:pt>
                <c:pt idx="55">
                  <c:v>1594.2139999999999</c:v>
                </c:pt>
                <c:pt idx="56">
                  <c:v>1661.1849999999999</c:v>
                </c:pt>
                <c:pt idx="57">
                  <c:v>1701.164</c:v>
                </c:pt>
                <c:pt idx="58">
                  <c:v>1774.3140000000001</c:v>
                </c:pt>
                <c:pt idx="59">
                  <c:v>1893.9839999999999</c:v>
                </c:pt>
                <c:pt idx="60">
                  <c:v>1953.204</c:v>
                </c:pt>
                <c:pt idx="61">
                  <c:v>2058.9949999999999</c:v>
                </c:pt>
                <c:pt idx="62">
                  <c:v>3596.6210000000001</c:v>
                </c:pt>
                <c:pt idx="63">
                  <c:v>3596.6210000000001</c:v>
                </c:pt>
                <c:pt idx="64">
                  <c:v>3596.6210000000001</c:v>
                </c:pt>
                <c:pt idx="65">
                  <c:v>3602.241</c:v>
                </c:pt>
                <c:pt idx="66">
                  <c:v>3613.2919999999999</c:v>
                </c:pt>
                <c:pt idx="67">
                  <c:v>3647.6060000000002</c:v>
                </c:pt>
                <c:pt idx="68">
                  <c:v>3647.6060000000002</c:v>
                </c:pt>
                <c:pt idx="69">
                  <c:v>3678.098</c:v>
                </c:pt>
                <c:pt idx="70">
                  <c:v>3720.444</c:v>
                </c:pt>
                <c:pt idx="71">
                  <c:v>3775.3470000000002</c:v>
                </c:pt>
                <c:pt idx="72">
                  <c:v>3802.4180000000001</c:v>
                </c:pt>
                <c:pt idx="73">
                  <c:v>3835.288</c:v>
                </c:pt>
                <c:pt idx="74">
                  <c:v>4065.373</c:v>
                </c:pt>
                <c:pt idx="75">
                  <c:v>4081.1179999999999</c:v>
                </c:pt>
                <c:pt idx="76">
                  <c:v>4081.1179999999999</c:v>
                </c:pt>
                <c:pt idx="77">
                  <c:v>4126.9589999999998</c:v>
                </c:pt>
                <c:pt idx="78">
                  <c:v>4141.5590000000002</c:v>
                </c:pt>
                <c:pt idx="79">
                  <c:v>4160.9589999999998</c:v>
                </c:pt>
                <c:pt idx="80">
                  <c:v>4160.9589999999998</c:v>
                </c:pt>
                <c:pt idx="81">
                  <c:v>4165.9589999999998</c:v>
                </c:pt>
                <c:pt idx="82">
                  <c:v>4165.9589999999998</c:v>
                </c:pt>
                <c:pt idx="83">
                  <c:v>4190.9589999999998</c:v>
                </c:pt>
                <c:pt idx="84">
                  <c:v>4212.9589999999998</c:v>
                </c:pt>
                <c:pt idx="85">
                  <c:v>4244.4399999999996</c:v>
                </c:pt>
                <c:pt idx="86">
                  <c:v>4378.28</c:v>
                </c:pt>
                <c:pt idx="87">
                  <c:v>4378.28</c:v>
                </c:pt>
                <c:pt idx="88">
                  <c:v>4378.28</c:v>
                </c:pt>
                <c:pt idx="89">
                  <c:v>4378.28</c:v>
                </c:pt>
                <c:pt idx="90">
                  <c:v>4386.82</c:v>
                </c:pt>
                <c:pt idx="91">
                  <c:v>4386.82</c:v>
                </c:pt>
                <c:pt idx="92">
                  <c:v>4386.82</c:v>
                </c:pt>
                <c:pt idx="93">
                  <c:v>4397.5200000000004</c:v>
                </c:pt>
                <c:pt idx="94">
                  <c:v>4397.5200000000004</c:v>
                </c:pt>
                <c:pt idx="95">
                  <c:v>4409.4799999999996</c:v>
                </c:pt>
                <c:pt idx="96">
                  <c:v>4409.4799999999996</c:v>
                </c:pt>
                <c:pt idx="97">
                  <c:v>4415.9799999999996</c:v>
                </c:pt>
                <c:pt idx="98">
                  <c:v>4430.1819999999998</c:v>
                </c:pt>
                <c:pt idx="99">
                  <c:v>4443.1819999999998</c:v>
                </c:pt>
                <c:pt idx="100">
                  <c:v>4449.6819999999998</c:v>
                </c:pt>
                <c:pt idx="101">
                  <c:v>4449.6819999999998</c:v>
                </c:pt>
                <c:pt idx="102">
                  <c:v>4449.6819999999998</c:v>
                </c:pt>
                <c:pt idx="103">
                  <c:v>4449.6819999999998</c:v>
                </c:pt>
                <c:pt idx="104">
                  <c:v>4449.6819999999998</c:v>
                </c:pt>
                <c:pt idx="105">
                  <c:v>4457.1819999999998</c:v>
                </c:pt>
                <c:pt idx="106">
                  <c:v>4457.1819999999998</c:v>
                </c:pt>
                <c:pt idx="107">
                  <c:v>4462.1819999999998</c:v>
                </c:pt>
                <c:pt idx="108">
                  <c:v>4462.1819999999998</c:v>
                </c:pt>
                <c:pt idx="109">
                  <c:v>4462.1819999999998</c:v>
                </c:pt>
                <c:pt idx="110">
                  <c:v>4462.1819999999998</c:v>
                </c:pt>
                <c:pt idx="111">
                  <c:v>4462.1819999999998</c:v>
                </c:pt>
                <c:pt idx="112">
                  <c:v>4462.1819999999998</c:v>
                </c:pt>
                <c:pt idx="113">
                  <c:v>4462.1819999999998</c:v>
                </c:pt>
                <c:pt idx="114">
                  <c:v>4469.3819999999996</c:v>
                </c:pt>
                <c:pt idx="115">
                  <c:v>4469.3819999999996</c:v>
                </c:pt>
                <c:pt idx="116">
                  <c:v>4469.3819999999996</c:v>
                </c:pt>
                <c:pt idx="117">
                  <c:v>4469.3819999999996</c:v>
                </c:pt>
                <c:pt idx="118">
                  <c:v>4469.3819999999996</c:v>
                </c:pt>
                <c:pt idx="119">
                  <c:v>4469.3819999999996</c:v>
                </c:pt>
                <c:pt idx="120">
                  <c:v>4488.6899999999996</c:v>
                </c:pt>
                <c:pt idx="121">
                  <c:v>4493.6899999999996</c:v>
                </c:pt>
                <c:pt idx="122">
                  <c:v>4493.6899999999996</c:v>
                </c:pt>
                <c:pt idx="123">
                  <c:v>4493.6899999999996</c:v>
                </c:pt>
                <c:pt idx="124">
                  <c:v>4502.59</c:v>
                </c:pt>
                <c:pt idx="125">
                  <c:v>4502.59</c:v>
                </c:pt>
                <c:pt idx="126">
                  <c:v>4502.59</c:v>
                </c:pt>
                <c:pt idx="127">
                  <c:v>4507.59</c:v>
                </c:pt>
                <c:pt idx="128">
                  <c:v>4507.59</c:v>
                </c:pt>
                <c:pt idx="129">
                  <c:v>4507.59</c:v>
                </c:pt>
                <c:pt idx="130">
                  <c:v>4507.59</c:v>
                </c:pt>
                <c:pt idx="131">
                  <c:v>4519.6149999999998</c:v>
                </c:pt>
                <c:pt idx="132">
                  <c:v>4527.6149999999998</c:v>
                </c:pt>
                <c:pt idx="133">
                  <c:v>4527.6149999999998</c:v>
                </c:pt>
                <c:pt idx="134">
                  <c:v>4535.6149999999998</c:v>
                </c:pt>
                <c:pt idx="135">
                  <c:v>4535.6149999999998</c:v>
                </c:pt>
                <c:pt idx="136">
                  <c:v>4542.6149999999998</c:v>
                </c:pt>
                <c:pt idx="137">
                  <c:v>4556.6149999999998</c:v>
                </c:pt>
                <c:pt idx="138">
                  <c:v>4556.6149999999998</c:v>
                </c:pt>
                <c:pt idx="139">
                  <c:v>4556.6149999999998</c:v>
                </c:pt>
                <c:pt idx="140">
                  <c:v>4556.6149999999998</c:v>
                </c:pt>
                <c:pt idx="141">
                  <c:v>4556.6149999999998</c:v>
                </c:pt>
                <c:pt idx="142">
                  <c:v>4556.6149999999998</c:v>
                </c:pt>
                <c:pt idx="143">
                  <c:v>4556.6149999999998</c:v>
                </c:pt>
                <c:pt idx="144">
                  <c:v>4599.2420000000002</c:v>
                </c:pt>
                <c:pt idx="145">
                  <c:v>4599.2420000000002</c:v>
                </c:pt>
                <c:pt idx="146">
                  <c:v>4599.2420000000002</c:v>
                </c:pt>
                <c:pt idx="147">
                  <c:v>4599.2420000000002</c:v>
                </c:pt>
                <c:pt idx="148">
                  <c:v>4604.2420000000002</c:v>
                </c:pt>
                <c:pt idx="149">
                  <c:v>4604.2420000000002</c:v>
                </c:pt>
                <c:pt idx="150">
                  <c:v>4619.4120000000003</c:v>
                </c:pt>
                <c:pt idx="151">
                  <c:v>4619.4120000000003</c:v>
                </c:pt>
                <c:pt idx="152">
                  <c:v>4637.4120000000003</c:v>
                </c:pt>
                <c:pt idx="153">
                  <c:v>4680.4120000000003</c:v>
                </c:pt>
                <c:pt idx="154">
                  <c:v>4680.4120000000003</c:v>
                </c:pt>
                <c:pt idx="155">
                  <c:v>4698.6419999999998</c:v>
                </c:pt>
                <c:pt idx="156">
                  <c:v>4769.9920000000002</c:v>
                </c:pt>
                <c:pt idx="157">
                  <c:v>4820.6980000000003</c:v>
                </c:pt>
                <c:pt idx="158">
                  <c:v>4858.348</c:v>
                </c:pt>
                <c:pt idx="159">
                  <c:v>4863.348</c:v>
                </c:pt>
                <c:pt idx="160">
                  <c:v>4885.1980000000003</c:v>
                </c:pt>
                <c:pt idx="161">
                  <c:v>4905.1980000000003</c:v>
                </c:pt>
                <c:pt idx="162">
                  <c:v>4905.1980000000003</c:v>
                </c:pt>
                <c:pt idx="163">
                  <c:v>4905.1980000000003</c:v>
                </c:pt>
                <c:pt idx="164">
                  <c:v>4914.8879999999999</c:v>
                </c:pt>
                <c:pt idx="165">
                  <c:v>4952.0379999999996</c:v>
                </c:pt>
                <c:pt idx="166">
                  <c:v>4990.9380000000001</c:v>
                </c:pt>
                <c:pt idx="167" formatCode="&quot; &quot;* #,##0.0&quot; &quot;;&quot;-&quot;* #,##0.0&quot; &quot;;&quot; &quot;* &quot;-&quot;#.0&quot; &quot;;&quot; &quot;@&quot; &quot;">
                  <c:v>4990.9380000000001</c:v>
                </c:pt>
                <c:pt idx="168">
                  <c:v>5027.7129999999997</c:v>
                </c:pt>
                <c:pt idx="169" formatCode="&quot; &quot;* #,##0.0&quot; &quot;;&quot;-&quot;* #,##0.0&quot; &quot;;&quot; &quot;* &quot;-&quot;#.0&quot; &quot;;&quot; &quot;@&quot; &quot;">
                  <c:v>5027.7129999999997</c:v>
                </c:pt>
                <c:pt idx="170" formatCode="&quot; &quot;* #,##0.0&quot; &quot;;&quot;-&quot;* #,##0.0&quot; &quot;;&quot; &quot;* &quot;-&quot;#.0&quot; &quot;;&quot; &quot;@&quot; &quot;">
                  <c:v>5080.4470000000001</c:v>
                </c:pt>
                <c:pt idx="171" formatCode="&quot; &quot;* #,##0.0&quot; &quot;;&quot;-&quot;* #,##0.0&quot; &quot;;&quot; &quot;* &quot;-&quot;#.0&quot; &quot;;&quot; &quot;@&quot; &quot;">
                  <c:v>5080.4470000000001</c:v>
                </c:pt>
                <c:pt idx="172" formatCode="&quot; &quot;* #,##0.0&quot; &quot;;&quot;-&quot;* #,##0.0&quot; &quot;;&quot; &quot;* &quot;-&quot;#.0&quot; &quot;;&quot; &quot;@&quot; &quot;">
                  <c:v>5080.4470000000001</c:v>
                </c:pt>
                <c:pt idx="173" formatCode="&quot; &quot;* #,##0.0&quot; &quot;;&quot;-&quot;* #,##0.0&quot; &quot;;&quot; &quot;* &quot;-&quot;#.0&quot; &quot;;&quot; &quot;@&quot; &quot;">
                  <c:v>5123.8370000000004</c:v>
                </c:pt>
                <c:pt idx="174" formatCode="&quot; &quot;* #,##0.0&quot; &quot;;&quot;-&quot;* #,##0.0&quot; &quot;;&quot; &quot;* &quot;-&quot;#.0&quot; &quot;;&quot; &quot;@&quot; &quot;">
                  <c:v>5123.8370000000004</c:v>
                </c:pt>
                <c:pt idx="175" formatCode="&quot; &quot;* #,##0.0&quot; &quot;;&quot;-&quot;* #,##0.0&quot; &quot;;&quot; &quot;* &quot;-&quot;#.0&quot; &quot;;&quot; &quot;@&quot; &quot;">
                  <c:v>5123.8370000000004</c:v>
                </c:pt>
                <c:pt idx="176" formatCode="&quot; &quot;* #,##0.0&quot; &quot;;&quot;-&quot;* #,##0.0&quot; &quot;;&quot; &quot;* &quot;-&quot;#.0&quot; &quot;;&quot; &quot;@&quot; &quot;">
                  <c:v>5123.8370000000004</c:v>
                </c:pt>
                <c:pt idx="177" formatCode="&quot; &quot;* #,##0.0&quot; &quot;;&quot;-&quot;* #,##0.0&quot; &quot;;&quot; &quot;* &quot;-&quot;#.0&quot; &quot;;&quot; &quot;@&quot; &quot;">
                  <c:v>5147.0690000000004</c:v>
                </c:pt>
                <c:pt idx="178" formatCode="&quot; &quot;* #,##0.0&quot; &quot;;&quot;-&quot;* #,##0.0&quot; &quot;;&quot; &quot;* &quot;-&quot;#.0&quot; &quot;;&quot; &quot;@&quot; &quot;">
                  <c:v>5147.0690000000004</c:v>
                </c:pt>
                <c:pt idx="179" formatCode="&quot; &quot;* #,##0.0&quot; &quot;;&quot;-&quot;* #,##0.0&quot; &quot;;&quot; &quot;* &quot;-&quot;#.0&quot; &quot;;&quot; &quot;@&quot; &quot;">
                  <c:v>5157.0690000000004</c:v>
                </c:pt>
                <c:pt idx="180" formatCode="&quot; &quot;* #,##0.0&quot; &quot;;&quot;-&quot;* #,##0.0&quot; &quot;;&quot; &quot;* &quot;-&quot;#.0&quot; &quot;;&quot; &quot;@&quot; &quot;">
                  <c:v>5185.3389999999999</c:v>
                </c:pt>
                <c:pt idx="181" formatCode="&quot; &quot;* #,##0.0&quot; &quot;;&quot;-&quot;* #,##0.0&quot; &quot;;&quot; &quot;* &quot;-&quot;#.0&quot; &quot;;&quot; &quot;@&quot; &quot;">
                  <c:v>5195.3389999999999</c:v>
                </c:pt>
                <c:pt idx="182" formatCode="&quot; &quot;* #,##0.0&quot; &quot;;&quot;-&quot;* #,##0.0&quot; &quot;;&quot; &quot;* &quot;-&quot;#.0&quot; &quot;;&quot; &quot;@&quot; &quot;">
                  <c:v>5195.3389999999999</c:v>
                </c:pt>
                <c:pt idx="183" formatCode="&quot; &quot;* #,##0.0&quot; &quot;;&quot;-&quot;* #,##0.0&quot; &quot;;&quot; &quot;* &quot;-&quot;#.0&quot; &quot;;&quot; &quot;@&quot; &quot;">
                  <c:v>5195.3389999999999</c:v>
                </c:pt>
                <c:pt idx="184" formatCode="&quot; &quot;* #,##0.0&quot; &quot;;&quot;-&quot;* #,##0.0&quot; &quot;;&quot; &quot;* &quot;-&quot;#.0&quot; &quot;;&quot; &quot;@&quot; &quot;">
                  <c:v>5226.2889999999998</c:v>
                </c:pt>
                <c:pt idx="185" formatCode="&quot; &quot;* #,##0.0&quot; &quot;;&quot;-&quot;* #,##0.0&quot; &quot;;&quot; &quot;* &quot;-&quot;#.0&quot; &quot;;&quot; &quot;@&quot; &quot;">
                  <c:v>5245.2889999999998</c:v>
                </c:pt>
                <c:pt idx="186" formatCode="&quot; &quot;* #,##0.0&quot; &quot;;&quot;-&quot;* #,##0.0&quot; &quot;;&quot; &quot;* &quot;-&quot;#.0&quot; &quot;;&quot; &quot;@&quot; &quot;">
                  <c:v>5245.2889999999998</c:v>
                </c:pt>
                <c:pt idx="187" formatCode="&quot; &quot;* #,##0.0&quot; &quot;;&quot;-&quot;* #,##0.0&quot; &quot;;&quot; &quot;* &quot;-&quot;#.0&quot; &quot;;&quot; &quot;@&quot; &quot;">
                  <c:v>5263.2889999999998</c:v>
                </c:pt>
                <c:pt idx="188" formatCode="&quot; &quot;* #,##0.0&quot; &quot;;&quot;-&quot;* #,##0.0&quot; &quot;;&quot; &quot;* &quot;-&quot;#.0&quot; &quot;;&quot; &quot;@&quot; &quot;">
                  <c:v>5263.2889999999998</c:v>
                </c:pt>
                <c:pt idx="189" formatCode="&quot; &quot;* #,##0.0&quot; &quot;;&quot;-&quot;* #,##0.0&quot; &quot;;&quot; &quot;* &quot;-&quot;#.0&quot; &quot;;&quot; &quot;@&quot; &quot;">
                  <c:v>5270.2389999999996</c:v>
                </c:pt>
                <c:pt idx="190" formatCode="&quot; &quot;* #,##0.0&quot; &quot;;&quot;-&quot;* #,##0.0&quot; &quot;;&quot; &quot;* &quot;-&quot;#.0&quot; &quot;;&quot; &quot;@&quot; &quot;">
                  <c:v>5270.2389999999996</c:v>
                </c:pt>
                <c:pt idx="191" formatCode="&quot; &quot;* #,##0.0&quot; &quot;;&quot;-&quot;* #,##0.0&quot; &quot;;&quot; &quot;* &quot;-&quot;#.0&quot; &quot;;&quot; &quot;@&quot; &quot;">
                  <c:v>5270.2389999999996</c:v>
                </c:pt>
                <c:pt idx="192" formatCode="&quot; &quot;* #,##0.0&quot; &quot;;&quot;-&quot;* #,##0.0&quot; &quot;;&quot; &quot;* &quot;-&quot;#.0&quot; &quot;;&quot; &quot;@&quot; &quot;">
                  <c:v>5270.2389999999996</c:v>
                </c:pt>
                <c:pt idx="193" formatCode="&quot; &quot;* #,##0.0&quot; &quot;;&quot;-&quot;* #,##0.0&quot; &quot;;&quot; &quot;* &quot;-&quot;#.0&quot; &quot;;&quot; &quot;@&quot; &quot;">
                  <c:v>5270.2389999999996</c:v>
                </c:pt>
                <c:pt idx="194" formatCode="&quot; &quot;* #,##0.0&quot; &quot;;&quot;-&quot;* #,##0.0&quot; &quot;;&quot; &quot;* &quot;-&quot;#.0&quot; &quot;;&quot; &quot;@&quot; &quot;">
                  <c:v>5270.2389999999996</c:v>
                </c:pt>
                <c:pt idx="195" formatCode="&quot; &quot;* #,##0.0&quot; &quot;;&quot;-&quot;* #,##0.0&quot; &quot;;&quot; &quot;* &quot;-&quot;#.0&quot; &quot;;&quot; &quot;@&quot; &quot;">
                  <c:v>5270.2389999999996</c:v>
                </c:pt>
                <c:pt idx="196" formatCode="&quot; &quot;* #,##0.0&quot; &quot;;&quot;-&quot;* #,##0.0&quot; &quot;;&quot; &quot;* &quot;-&quot;#.0&quot; &quot;;&quot; &quot;@&quot; &quot;">
                  <c:v>5270.2389999999996</c:v>
                </c:pt>
                <c:pt idx="197" formatCode="&quot; &quot;* #,##0.0&quot; &quot;;&quot;-&quot;* #,##0.0&quot; &quot;;&quot; &quot;* &quot;-&quot;#.0&quot; &quot;;&quot; &quot;@&quot; &quot;">
                  <c:v>5270.2389999999996</c:v>
                </c:pt>
              </c:numCache>
            </c:numRef>
          </c:val>
          <c:extLst>
            <c:ext xmlns:c16="http://schemas.microsoft.com/office/drawing/2014/chart" uri="{C3380CC4-5D6E-409C-BE32-E72D297353CC}">
              <c16:uniqueId val="{00000005-81FF-49FF-8CF7-390DE669A330}"/>
            </c:ext>
          </c:extLst>
        </c:ser>
        <c:ser>
          <c:idx val="6"/>
          <c:order val="6"/>
          <c:tx>
            <c:strRef>
              <c:f>Table_1_by_Capacity!$A$28:$A$28</c:f>
              <c:strCache>
                <c:ptCount val="1"/>
                <c:pt idx="0">
                  <c:v> ≥ 25 MW </c:v>
                </c:pt>
              </c:strCache>
            </c:strRef>
          </c:tx>
          <c:spPr>
            <a:solidFill>
              <a:srgbClr val="0C2C84"/>
            </a:solidFill>
            <a:ln>
              <a:noFill/>
            </a:ln>
          </c:spPr>
          <c:cat>
            <c:strRef>
              <c:f>Table_1_by_Capacity!$B$5:$GQ$5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Table_1_by_Capacity!$B$28:$GQ$28</c:f>
              <c:numCache>
                <c:formatCode>#,##0.0;\-#,##0.0</c:formatCode>
                <c:ptCount val="1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formatCode="&quot; &quot;* #,##0.0&quot; &quot;;&quot;-&quot;* #,##0.0&quot; &quot;;&quot; &quot;* &quot;-&quot;#.0&quot; &quot;;&quot; &quot;@&quot; &quot;">
                  <c:v>34.47</c:v>
                </c:pt>
                <c:pt idx="39" formatCode="&quot; &quot;* #,##0.0&quot; &quot;;&quot;-&quot;* #,##0.0&quot; &quot;;&quot; &quot;* &quot;-&quot;#.0&quot; &quot;;&quot; &quot;@&quot; &quot;">
                  <c:v>34.47</c:v>
                </c:pt>
                <c:pt idx="40" formatCode="&quot; &quot;* #,##0.0&quot; &quot;;&quot;-&quot;* #,##0.0&quot; &quot;;&quot; &quot;* &quot;-&quot;#.0&quot; &quot;;&quot; &quot;@&quot; &quot;">
                  <c:v>34.47</c:v>
                </c:pt>
                <c:pt idx="41" formatCode="&quot; &quot;* #,##0.0&quot; &quot;;&quot;-&quot;* #,##0.0&quot; &quot;;&quot; &quot;* &quot;-&quot;#.0&quot; &quot;;&quot; &quot;@&quot; &quot;">
                  <c:v>34.47</c:v>
                </c:pt>
                <c:pt idx="42" formatCode="&quot; &quot;* #,##0.0&quot; &quot;;&quot;-&quot;* #,##0.0&quot; &quot;;&quot; &quot;* &quot;-&quot;#.0&quot; &quot;;&quot; &quot;@&quot; &quot;">
                  <c:v>34.47</c:v>
                </c:pt>
                <c:pt idx="43" formatCode="&quot; &quot;* #,##0.0&quot; &quot;;&quot;-&quot;* #,##0.0&quot; &quot;;&quot; &quot;* &quot;-&quot;#.0&quot; &quot;;&quot; &quot;@&quot; &quot;">
                  <c:v>34.47</c:v>
                </c:pt>
                <c:pt idx="44" formatCode="&quot; &quot;* #,##0.0&quot; &quot;;&quot;-&quot;* #,##0.0&quot; &quot;;&quot; &quot;* &quot;-&quot;#.0&quot; &quot;;&quot; &quot;@&quot; &quot;">
                  <c:v>34.47</c:v>
                </c:pt>
                <c:pt idx="45" formatCode="&quot; &quot;* #,##0.0&quot; &quot;;&quot;-&quot;* #,##0.0&quot; &quot;;&quot; &quot;* &quot;-&quot;#.0&quot; &quot;;&quot; &quot;@&quot; &quot;">
                  <c:v>34.47</c:v>
                </c:pt>
                <c:pt idx="46" formatCode="&quot; &quot;* #,##0.0&quot; &quot;;&quot;-&quot;* #,##0.0&quot; &quot;;&quot; &quot;* &quot;-&quot;#.0&quot; &quot;;&quot; &quot;@&quot; &quot;">
                  <c:v>34.47</c:v>
                </c:pt>
                <c:pt idx="47">
                  <c:v>34.47</c:v>
                </c:pt>
                <c:pt idx="48">
                  <c:v>34.47</c:v>
                </c:pt>
                <c:pt idx="49" formatCode="&quot; &quot;* #,##0.0&quot; &quot;;&quot;-&quot;* #,##0.0&quot; &quot;;&quot; &quot;* &quot;-&quot;#.0&quot; &quot;;&quot; &quot;@&quot; &quot;">
                  <c:v>66.171000000000006</c:v>
                </c:pt>
                <c:pt idx="50" formatCode="&quot; &quot;* #,##0.0&quot; &quot;;&quot;-&quot;* #,##0.0&quot; &quot;;&quot; &quot;* &quot;-&quot;#.0&quot; &quot;;&quot; &quot;@&quot; &quot;">
                  <c:v>97.760999999999996</c:v>
                </c:pt>
                <c:pt idx="51" formatCode="&quot; &quot;* #,##0.0&quot; &quot;;&quot;-&quot;* #,##0.0&quot; &quot;;&quot; &quot;* &quot;-&quot;#.0&quot; &quot;;&quot; &quot;@&quot; &quot;">
                  <c:v>129.77099999999999</c:v>
                </c:pt>
                <c:pt idx="52" formatCode="&quot; &quot;* #,##0.0&quot; &quot;;&quot;-&quot;* #,##0.0&quot; &quot;;&quot; &quot;* &quot;-&quot;#.0&quot; &quot;;&quot; &quot;@&quot; &quot;">
                  <c:v>129.77099999999999</c:v>
                </c:pt>
                <c:pt idx="53" formatCode="&quot; &quot;* #,##0.0&quot; &quot;;&quot;-&quot;* #,##0.0&quot; &quot;;&quot; &quot;* &quot;-&quot;#.0&quot; &quot;;&quot; &quot;@&quot; &quot;">
                  <c:v>129.77099999999999</c:v>
                </c:pt>
                <c:pt idx="54" formatCode="&quot; &quot;* #,##0.0&quot; &quot;;&quot;-&quot;* #,##0.0&quot; &quot;;&quot; &quot;* &quot;-&quot;#.0&quot; &quot;;&quot; &quot;@&quot; &quot;">
                  <c:v>162.221</c:v>
                </c:pt>
                <c:pt idx="55" formatCode="&quot; &quot;* #,##0.0&quot; &quot;;&quot;-&quot;* #,##0.0&quot; &quot;;&quot; &quot;* &quot;-&quot;#.0&quot; &quot;;&quot; &quot;@&quot; &quot;">
                  <c:v>162.221</c:v>
                </c:pt>
                <c:pt idx="56" formatCode="&quot; &quot;* #,##0.0&quot; &quot;;&quot;-&quot;* #,##0.0&quot; &quot;;&quot; &quot;* &quot;-&quot;#.0&quot; &quot;;&quot; &quot;@&quot; &quot;">
                  <c:v>236.06399999999999</c:v>
                </c:pt>
                <c:pt idx="57" formatCode="&quot; &quot;* #,##0.0&quot; &quot;;&quot;-&quot;* #,##0.0&quot; &quot;;&quot; &quot;* &quot;-&quot;#.0&quot; &quot;;&quot; &quot;@&quot; &quot;">
                  <c:v>296.745</c:v>
                </c:pt>
                <c:pt idx="58" formatCode="&quot; &quot;* #,##0.0&quot; &quot;;&quot;-&quot;* #,##0.0&quot; &quot;;&quot; &quot;* &quot;-&quot;#.0&quot; &quot;;&quot; &quot;@&quot; &quot;">
                  <c:v>296.745</c:v>
                </c:pt>
                <c:pt idx="59">
                  <c:v>383.32100000000003</c:v>
                </c:pt>
                <c:pt idx="60" formatCode="&quot; &quot;* #,##0.0&quot; &quot;;&quot;-&quot;* #,##0.0&quot; &quot;;&quot; &quot;* &quot;-&quot;#.0&quot; &quot;;&quot; &quot;@&quot; &quot;">
                  <c:v>383.32100000000003</c:v>
                </c:pt>
                <c:pt idx="61" formatCode="&quot; &quot;* #,##0.0&quot; &quot;;&quot;-&quot;* #,##0.0&quot; &quot;;&quot; &quot;* &quot;-&quot;#.0&quot; &quot;;&quot; &quot;@&quot; &quot;">
                  <c:v>383.32100000000003</c:v>
                </c:pt>
                <c:pt idx="62" formatCode="&quot; &quot;* #,##0.0&quot; &quot;;&quot;-&quot;* #,##0.0&quot; &quot;;&quot; &quot;* &quot;-&quot;#.0&quot; &quot;;&quot; &quot;@&quot; &quot;">
                  <c:v>1030.6369999999999</c:v>
                </c:pt>
                <c:pt idx="63" formatCode="&quot; &quot;* #,##0.0&quot; &quot;;&quot;-&quot;* #,##0.0&quot; &quot;;&quot; &quot;* &quot;-&quot;#.0&quot; &quot;;&quot; &quot;@&quot; &quot;">
                  <c:v>1030.6369999999999</c:v>
                </c:pt>
                <c:pt idx="64" formatCode="&quot; &quot;* #,##0.0&quot; &quot;;&quot;-&quot;* #,##0.0&quot; &quot;;&quot; &quot;* &quot;-&quot;#.0&quot; &quot;;&quot; &quot;@&quot; &quot;">
                  <c:v>1030.6369999999999</c:v>
                </c:pt>
                <c:pt idx="65" formatCode="&quot; &quot;* #,##0.0&quot; &quot;;&quot;-&quot;* #,##0.0&quot; &quot;;&quot; &quot;* &quot;-&quot;#.0&quot; &quot;;&quot; &quot;@&quot; &quot;">
                  <c:v>1030.6369999999999</c:v>
                </c:pt>
                <c:pt idx="66" formatCode="&quot; &quot;* #,##0.0&quot; &quot;;&quot;-&quot;* #,##0.0&quot; &quot;;&quot; &quot;* &quot;-&quot;#.0&quot; &quot;;&quot; &quot;@&quot; &quot;">
                  <c:v>1030.6369999999999</c:v>
                </c:pt>
                <c:pt idx="67" formatCode="&quot; &quot;* #,##0.0&quot; &quot;;&quot;-&quot;* #,##0.0&quot; &quot;;&quot; &quot;* &quot;-&quot;#.0&quot; &quot;;&quot; &quot;@&quot; &quot;">
                  <c:v>1030.6369999999999</c:v>
                </c:pt>
                <c:pt idx="68" formatCode="&quot; &quot;* #,##0.0&quot; &quot;;&quot;-&quot;* #,##0.0&quot; &quot;;&quot; &quot;* &quot;-&quot;#.0&quot; &quot;;&quot; &quot;@&quot; &quot;">
                  <c:v>1030.6369999999999</c:v>
                </c:pt>
                <c:pt idx="69" formatCode="&quot; &quot;* #,##0.0&quot; &quot;;&quot;-&quot;* #,##0.0&quot; &quot;;&quot; &quot;* &quot;-&quot;#.0&quot; &quot;;&quot; &quot;@&quot; &quot;">
                  <c:v>1030.6369999999999</c:v>
                </c:pt>
                <c:pt idx="70" formatCode="&quot; &quot;* #,##0.0&quot; &quot;;&quot;-&quot;* #,##0.0&quot; &quot;;&quot; &quot;* &quot;-&quot;#.0&quot; &quot;;&quot; &quot;@&quot; &quot;">
                  <c:v>1030.6369999999999</c:v>
                </c:pt>
                <c:pt idx="71">
                  <c:v>1030.6369999999999</c:v>
                </c:pt>
                <c:pt idx="72" formatCode="&quot; &quot;* #,##0.0&quot; &quot;;&quot;-&quot;* #,##0.0&quot; &quot;;&quot; &quot;* &quot;-&quot;#.0&quot; &quot;;&quot; &quot;@&quot; &quot;">
                  <c:v>1030.6369999999999</c:v>
                </c:pt>
                <c:pt idx="73" formatCode="&quot; &quot;* #,##0.0&quot; &quot;;&quot;-&quot;* #,##0.0&quot; &quot;;&quot; &quot;* &quot;-&quot;#.0&quot; &quot;;&quot; &quot;@&quot; &quot;">
                  <c:v>1030.6369999999999</c:v>
                </c:pt>
                <c:pt idx="74" formatCode="&quot; &quot;* #,##0.0&quot; &quot;;&quot;-&quot;* #,##0.0&quot; &quot;;&quot; &quot;* &quot;-&quot;#.0&quot; &quot;;&quot; &quot;@&quot; &quot;">
                  <c:v>1435.4369999999999</c:v>
                </c:pt>
                <c:pt idx="75" formatCode="&quot; &quot;* #,##0.0&quot; &quot;;&quot;-&quot;* #,##0.0&quot; &quot;;&quot; &quot;* &quot;-&quot;#.0&quot; &quot;;&quot; &quot;@&quot; &quot;">
                  <c:v>1435.4369999999999</c:v>
                </c:pt>
                <c:pt idx="76" formatCode="&quot; &quot;* #,##0.0&quot; &quot;;&quot;-&quot;* #,##0.0&quot; &quot;;&quot; &quot;* &quot;-&quot;#.0&quot; &quot;;&quot; &quot;@&quot; &quot;">
                  <c:v>1435.4369999999999</c:v>
                </c:pt>
                <c:pt idx="77" formatCode="&quot; &quot;* #,##0.0&quot; &quot;;&quot;-&quot;* #,##0.0&quot; &quot;;&quot; &quot;* &quot;-&quot;#.0&quot; &quot;;&quot; &quot;@&quot; &quot;">
                  <c:v>1435.4369999999999</c:v>
                </c:pt>
                <c:pt idx="78" formatCode="&quot; &quot;* #,##0.0&quot; &quot;;&quot;-&quot;* #,##0.0&quot; &quot;;&quot; &quot;* &quot;-&quot;#.0&quot; &quot;;&quot; &quot;@&quot; &quot;">
                  <c:v>1435.4369999999999</c:v>
                </c:pt>
                <c:pt idx="79" formatCode="&quot; &quot;* #,##0.0&quot; &quot;;&quot;-&quot;* #,##0.0&quot; &quot;;&quot; &quot;* &quot;-&quot;#.0&quot; &quot;;&quot; &quot;@&quot; &quot;">
                  <c:v>1435.4369999999999</c:v>
                </c:pt>
                <c:pt idx="80" formatCode="&quot; &quot;* #,##0.0&quot; &quot;;&quot;-&quot;* #,##0.0&quot; &quot;;&quot; &quot;* &quot;-&quot;#.0&quot; &quot;;&quot; &quot;@&quot; &quot;">
                  <c:v>1435.4369999999999</c:v>
                </c:pt>
                <c:pt idx="81" formatCode="&quot; &quot;* #,##0.0&quot; &quot;;&quot;-&quot;* #,##0.0&quot; &quot;;&quot; &quot;* &quot;-&quot;#.0&quot; &quot;;&quot; &quot;@&quot; &quot;">
                  <c:v>1435.4369999999999</c:v>
                </c:pt>
                <c:pt idx="82" formatCode="&quot; &quot;* #,##0.0&quot; &quot;;&quot;-&quot;* #,##0.0&quot; &quot;;&quot; &quot;* &quot;-&quot;#.0&quot; &quot;;&quot; &quot;@&quot; &quot;">
                  <c:v>1435.4369999999999</c:v>
                </c:pt>
                <c:pt idx="83">
                  <c:v>1435.4369999999999</c:v>
                </c:pt>
                <c:pt idx="84" formatCode="&quot; &quot;* #,##0.0&quot; &quot;;&quot;-&quot;* #,##0.0&quot; &quot;;&quot; &quot;* &quot;-&quot;#.0&quot; &quot;;&quot; &quot;@&quot; &quot;">
                  <c:v>1435.4369999999999</c:v>
                </c:pt>
                <c:pt idx="85" formatCode="&quot; &quot;* #,##0.0&quot; &quot;;&quot;-&quot;* #,##0.0&quot; &quot;;&quot; &quot;* &quot;-&quot;#.0&quot; &quot;;&quot; &quot;@&quot; &quot;">
                  <c:v>1435.4369999999999</c:v>
                </c:pt>
                <c:pt idx="86" formatCode="&quot; &quot;* #,##0.0&quot; &quot;;&quot;-&quot;* #,##0.0&quot; &quot;;&quot; &quot;* &quot;-&quot;#.0&quot; &quot;;&quot; &quot;@&quot; &quot;">
                  <c:v>1481.19</c:v>
                </c:pt>
                <c:pt idx="87" formatCode="&quot; &quot;* #,##0.0&quot; &quot;;&quot;-&quot;* #,##0.0&quot; &quot;;&quot; &quot;* &quot;-&quot;#.0&quot; &quot;;&quot; &quot;@&quot; &quot;">
                  <c:v>1481.19</c:v>
                </c:pt>
                <c:pt idx="88" formatCode="&quot; &quot;* #,##0.0&quot; &quot;;&quot;-&quot;* #,##0.0&quot; &quot;;&quot; &quot;* &quot;-&quot;#.0&quot; &quot;;&quot; &quot;@&quot; &quot;">
                  <c:v>1481.19</c:v>
                </c:pt>
                <c:pt idx="89" formatCode="&quot; &quot;* #,##0.0&quot; &quot;;&quot;-&quot;* #,##0.0&quot; &quot;;&quot; &quot;* &quot;-&quot;#.0&quot; &quot;;&quot; &quot;@&quot; &quot;">
                  <c:v>1481.19</c:v>
                </c:pt>
                <c:pt idx="90" formatCode="&quot; &quot;* #,##0.0&quot; &quot;;&quot;-&quot;* #,##0.0&quot; &quot;;&quot; &quot;* &quot;-&quot;#.0&quot; &quot;;&quot; &quot;@&quot; &quot;">
                  <c:v>1481.19</c:v>
                </c:pt>
                <c:pt idx="91" formatCode="&quot; &quot;* #,##0.0&quot; &quot;;&quot;-&quot;* #,##0.0&quot; &quot;;&quot; &quot;* &quot;-&quot;#.0&quot; &quot;;&quot; &quot;@&quot; &quot;">
                  <c:v>1481.19</c:v>
                </c:pt>
                <c:pt idx="92" formatCode="&quot; &quot;* #,##0.0&quot; &quot;;&quot;-&quot;* #,##0.0&quot; &quot;;&quot; &quot;* &quot;-&quot;#.0&quot; &quot;;&quot; &quot;@&quot; &quot;">
                  <c:v>1481.19</c:v>
                </c:pt>
                <c:pt idx="93" formatCode="&quot; &quot;* #,##0.0&quot; &quot;;&quot;-&quot;* #,##0.0&quot; &quot;;&quot; &quot;* &quot;-&quot;#.0&quot; &quot;;&quot; &quot;@&quot; &quot;">
                  <c:v>1481.19</c:v>
                </c:pt>
                <c:pt idx="94" formatCode="&quot; &quot;* #,##0.0&quot; &quot;;&quot;-&quot;* #,##0.0&quot; &quot;;&quot; &quot;* &quot;-&quot;#.0&quot; &quot;;&quot; &quot;@&quot; &quot;">
                  <c:v>1481.19</c:v>
                </c:pt>
                <c:pt idx="95">
                  <c:v>1481.19</c:v>
                </c:pt>
                <c:pt idx="96" formatCode="&quot; &quot;* #,##0.0&quot; &quot;;&quot;-&quot;* #,##0.0&quot; &quot;;&quot; &quot;* &quot;-&quot;#.0&quot; &quot;;&quot; &quot;@&quot; &quot;">
                  <c:v>1508.29</c:v>
                </c:pt>
                <c:pt idx="97" formatCode="&quot; &quot;* #,##0.0&quot; &quot;;&quot;-&quot;* #,##0.0&quot; &quot;;&quot; &quot;* &quot;-&quot;#.0&quot; &quot;;&quot; &quot;@&quot; &quot;">
                  <c:v>1508.29</c:v>
                </c:pt>
                <c:pt idx="98" formatCode="&quot; &quot;* #,##0.0&quot; &quot;;&quot;-&quot;* #,##0.0&quot; &quot;;&quot; &quot;* &quot;-&quot;#.0&quot; &quot;;&quot; &quot;@&quot; &quot;">
                  <c:v>1508.29</c:v>
                </c:pt>
                <c:pt idx="99" formatCode="&quot; &quot;* #,##0.0&quot; &quot;;&quot;-&quot;* #,##0.0&quot; &quot;;&quot; &quot;* &quot;-&quot;#.0&quot; &quot;;&quot; &quot;@&quot; &quot;">
                  <c:v>1508.29</c:v>
                </c:pt>
                <c:pt idx="100" formatCode="&quot; &quot;* #,##0.0&quot; &quot;;&quot;-&quot;* #,##0.0&quot; &quot;;&quot; &quot;* &quot;-&quot;#.0&quot; &quot;;&quot; &quot;@&quot; &quot;">
                  <c:v>1508.29</c:v>
                </c:pt>
                <c:pt idx="101" formatCode="&quot; &quot;* #,##0.0&quot; &quot;;&quot;-&quot;* #,##0.0&quot; &quot;;&quot; &quot;* &quot;-&quot;#.0&quot; &quot;;&quot; &quot;@&quot; &quot;">
                  <c:v>1508.29</c:v>
                </c:pt>
                <c:pt idx="102" formatCode="&quot; &quot;* #,##0.0&quot; &quot;;&quot;-&quot;* #,##0.0&quot; &quot;;&quot; &quot;* &quot;-&quot;#.0&quot; &quot;;&quot; &quot;@&quot; &quot;">
                  <c:v>1508.29</c:v>
                </c:pt>
                <c:pt idx="103" formatCode="&quot; &quot;* #,##0.0&quot; &quot;;&quot;-&quot;* #,##0.0&quot; &quot;;&quot; &quot;* &quot;-&quot;#.0&quot; &quot;;&quot; &quot;@&quot; &quot;">
                  <c:v>1508.29</c:v>
                </c:pt>
                <c:pt idx="104" formatCode="&quot; &quot;* #,##0.0&quot; &quot;;&quot;-&quot;* #,##0.0&quot; &quot;;&quot; &quot;* &quot;-&quot;#.0&quot; &quot;;&quot; &quot;@&quot; &quot;">
                  <c:v>1508.29</c:v>
                </c:pt>
                <c:pt idx="105" formatCode="&quot; &quot;* #,##0.0&quot; &quot;;&quot;-&quot;* #,##0.0&quot; &quot;;&quot; &quot;* &quot;-&quot;#.0&quot; &quot;;&quot; &quot;@&quot; &quot;">
                  <c:v>1508.29</c:v>
                </c:pt>
                <c:pt idx="106" formatCode="&quot; &quot;* #,##0.0&quot; &quot;;&quot;-&quot;* #,##0.0&quot; &quot;;&quot; &quot;* &quot;-&quot;#.0&quot; &quot;;&quot; &quot;@&quot; &quot;">
                  <c:v>1508.29</c:v>
                </c:pt>
                <c:pt idx="107">
                  <c:v>1508.29</c:v>
                </c:pt>
                <c:pt idx="108" formatCode="&quot; &quot;* #,##0.0&quot; &quot;;&quot;-&quot;* #,##0.0&quot; &quot;;&quot; &quot;* &quot;-&quot;#.0&quot; &quot;;&quot; &quot;@&quot; &quot;">
                  <c:v>1508.29</c:v>
                </c:pt>
                <c:pt idx="109" formatCode="&quot; &quot;* #,##0.0&quot; &quot;;&quot;-&quot;* #,##0.0&quot; &quot;;&quot; &quot;* &quot;-&quot;#.0&quot; &quot;;&quot; &quot;@&quot; &quot;">
                  <c:v>1508.29</c:v>
                </c:pt>
                <c:pt idx="110" formatCode="&quot; &quot;* #,##0.0&quot; &quot;;&quot;-&quot;* #,##0.0&quot; &quot;;&quot; &quot;* &quot;-&quot;#.0&quot; &quot;;&quot; &quot;@&quot; &quot;">
                  <c:v>1508.29</c:v>
                </c:pt>
                <c:pt idx="111" formatCode="&quot; &quot;* #,##0.0&quot; &quot;;&quot;-&quot;* #,##0.0&quot; &quot;;&quot; &quot;* &quot;-&quot;#.0&quot; &quot;;&quot; &quot;@&quot; &quot;">
                  <c:v>1508.29</c:v>
                </c:pt>
                <c:pt idx="112" formatCode="&quot; &quot;* #,##0.0&quot; &quot;;&quot;-&quot;* #,##0.0&quot; &quot;;&quot; &quot;* &quot;-&quot;#.0&quot; &quot;;&quot; &quot;@&quot; &quot;">
                  <c:v>1508.29</c:v>
                </c:pt>
                <c:pt idx="113" formatCode="&quot; &quot;* #,##0.0&quot; &quot;;&quot;-&quot;* #,##0.0&quot; &quot;;&quot; &quot;* &quot;-&quot;#.0&quot; &quot;;&quot; &quot;@&quot; &quot;">
                  <c:v>1508.29</c:v>
                </c:pt>
                <c:pt idx="114" formatCode="&quot; &quot;* #,##0.0&quot; &quot;;&quot;-&quot;* #,##0.0&quot; &quot;;&quot; &quot;* &quot;-&quot;#.0&quot; &quot;;&quot; &quot;@&quot; &quot;">
                  <c:v>1508.29</c:v>
                </c:pt>
                <c:pt idx="115" formatCode="&quot; &quot;* #,##0.0&quot; &quot;;&quot;-&quot;* #,##0.0&quot; &quot;;&quot; &quot;* &quot;-&quot;#.0&quot; &quot;;&quot; &quot;@&quot; &quot;">
                  <c:v>1508.29</c:v>
                </c:pt>
                <c:pt idx="116" formatCode="&quot; &quot;* #,##0.0&quot; &quot;;&quot;-&quot;* #,##0.0&quot; &quot;;&quot; &quot;* &quot;-&quot;#.0&quot; &quot;;&quot; &quot;@&quot; &quot;">
                  <c:v>1508.29</c:v>
                </c:pt>
                <c:pt idx="117" formatCode="&quot; &quot;* #,##0.0&quot; &quot;;&quot;-&quot;* #,##0.0&quot; &quot;;&quot; &quot;* &quot;-&quot;#.0&quot; &quot;;&quot; &quot;@&quot; &quot;">
                  <c:v>1508.29</c:v>
                </c:pt>
                <c:pt idx="118" formatCode="&quot; &quot;* #,##0.0&quot; &quot;;&quot;-&quot;* #,##0.0&quot; &quot;;&quot; &quot;* &quot;-&quot;#.0&quot; &quot;;&quot; &quot;@&quot; &quot;">
                  <c:v>1508.29</c:v>
                </c:pt>
                <c:pt idx="119">
                  <c:v>1542.99</c:v>
                </c:pt>
                <c:pt idx="120" formatCode="&quot; &quot;* #,##0.0&quot; &quot;;&quot;-&quot;* #,##0.0&quot; &quot;;&quot; &quot;* &quot;-&quot;#.0&quot; &quot;;&quot; &quot;@&quot; &quot;">
                  <c:v>1586.21</c:v>
                </c:pt>
                <c:pt idx="121" formatCode="&quot; &quot;* #,##0.0&quot; &quot;;&quot;-&quot;* #,##0.0&quot; &quot;;&quot; &quot;* &quot;-&quot;#.0&quot; &quot;;&quot; &quot;@&quot; &quot;">
                  <c:v>1586.21</c:v>
                </c:pt>
                <c:pt idx="122" formatCode="&quot; &quot;* #,##0.0&quot; &quot;;&quot;-&quot;* #,##0.0&quot; &quot;;&quot; &quot;* &quot;-&quot;#.0&quot; &quot;;&quot; &quot;@&quot; &quot;">
                  <c:v>1586.21</c:v>
                </c:pt>
                <c:pt idx="123" formatCode="&quot; &quot;* #,##0.0&quot; &quot;;&quot;-&quot;* #,##0.0&quot; &quot;;&quot; &quot;* &quot;-&quot;#.0&quot; &quot;;&quot; &quot;@&quot; &quot;">
                  <c:v>1586.21</c:v>
                </c:pt>
                <c:pt idx="124" formatCode="&quot; &quot;* #,##0.0&quot; &quot;;&quot;-&quot;* #,##0.0&quot; &quot;;&quot; &quot;* &quot;-&quot;#.0&quot; &quot;;&quot; &quot;@&quot; &quot;">
                  <c:v>1586.21</c:v>
                </c:pt>
                <c:pt idx="125" formatCode="&quot; &quot;* #,##0.0&quot; &quot;;&quot;-&quot;* #,##0.0&quot; &quot;;&quot; &quot;* &quot;-&quot;#.0&quot; &quot;;&quot; &quot;@&quot; &quot;">
                  <c:v>1586.21</c:v>
                </c:pt>
                <c:pt idx="126" formatCode="&quot; &quot;* #,##0.0&quot; &quot;;&quot;-&quot;* #,##0.0&quot; &quot;;&quot; &quot;* &quot;-&quot;#.0&quot; &quot;;&quot; &quot;@&quot; &quot;">
                  <c:v>1586.21</c:v>
                </c:pt>
                <c:pt idx="127" formatCode="&quot; &quot;* #,##0.0&quot; &quot;;&quot;-&quot;* #,##0.0&quot; &quot;;&quot; &quot;* &quot;-&quot;#.0&quot; &quot;;&quot; &quot;@&quot; &quot;">
                  <c:v>1586.21</c:v>
                </c:pt>
                <c:pt idx="128" formatCode="&quot; &quot;* #,##0.0&quot; &quot;;&quot;-&quot;* #,##0.0&quot; &quot;;&quot; &quot;* &quot;-&quot;#.0&quot; &quot;;&quot; &quot;@&quot; &quot;">
                  <c:v>1586.21</c:v>
                </c:pt>
                <c:pt idx="129" formatCode="&quot; &quot;* #,##0.0&quot; &quot;;&quot;-&quot;* #,##0.0&quot; &quot;;&quot; &quot;* &quot;-&quot;#.0&quot; &quot;;&quot; &quot;@&quot; &quot;">
                  <c:v>1586.21</c:v>
                </c:pt>
                <c:pt idx="130" formatCode="&quot; &quot;* #,##0.0&quot; &quot;;&quot;-&quot;* #,##0.0&quot; &quot;;&quot; &quot;* &quot;-&quot;#.0&quot; &quot;;&quot; &quot;@&quot; &quot;">
                  <c:v>1586.21</c:v>
                </c:pt>
                <c:pt idx="131">
                  <c:v>1636.21</c:v>
                </c:pt>
                <c:pt idx="132" formatCode="&quot; &quot;* #,##0.0&quot; &quot;;&quot;-&quot;* #,##0.0&quot; &quot;;&quot; &quot;* &quot;-&quot;#.0&quot; &quot;;&quot; &quot;@&quot; &quot;">
                  <c:v>1636.21</c:v>
                </c:pt>
                <c:pt idx="133" formatCode="&quot; &quot;* #,##0.0&quot; &quot;;&quot;-&quot;* #,##0.0&quot; &quot;;&quot; &quot;* &quot;-&quot;#.0&quot; &quot;;&quot; &quot;@&quot; &quot;">
                  <c:v>1636.21</c:v>
                </c:pt>
                <c:pt idx="134" formatCode="&quot; &quot;* #,##0.0&quot; &quot;;&quot;-&quot;* #,##0.0&quot; &quot;;&quot; &quot;* &quot;-&quot;#.0&quot; &quot;;&quot; &quot;@&quot; &quot;">
                  <c:v>1743.21</c:v>
                </c:pt>
                <c:pt idx="135" formatCode="&quot; &quot;* #,##0.0&quot; &quot;;&quot;-&quot;* #,##0.0&quot; &quot;;&quot; &quot;* &quot;-&quot;#.0&quot; &quot;;&quot; &quot;@&quot; &quot;">
                  <c:v>1793.11</c:v>
                </c:pt>
                <c:pt idx="136" formatCode="&quot; &quot;* #,##0.0&quot; &quot;;&quot;-&quot;* #,##0.0&quot; &quot;;&quot; &quot;* &quot;-&quot;#.0&quot; &quot;;&quot; &quot;@&quot; &quot;">
                  <c:v>1793.11</c:v>
                </c:pt>
                <c:pt idx="137" formatCode="&quot; &quot;* #,##0.0&quot; &quot;;&quot;-&quot;* #,##0.0&quot; &quot;;&quot; &quot;* &quot;-&quot;#.0&quot; &quot;;&quot; &quot;@&quot; &quot;">
                  <c:v>1793.11</c:v>
                </c:pt>
                <c:pt idx="138" formatCode="&quot; &quot;* #,##0.0&quot; &quot;;&quot;-&quot;* #,##0.0&quot; &quot;;&quot; &quot;* &quot;-&quot;#.0&quot; &quot;;&quot; &quot;@&quot; &quot;">
                  <c:v>1793.11</c:v>
                </c:pt>
                <c:pt idx="139" formatCode="&quot; &quot;* #,##0.0&quot; &quot;;&quot;-&quot;* #,##0.0&quot; &quot;;&quot; &quot;* &quot;-&quot;#.0&quot; &quot;;&quot; &quot;@&quot; &quot;">
                  <c:v>1793.11</c:v>
                </c:pt>
                <c:pt idx="140" formatCode="&quot; &quot;* #,##0.0&quot; &quot;;&quot;-&quot;* #,##0.0&quot; &quot;;&quot; &quot;* &quot;-&quot;#.0&quot; &quot;;&quot; &quot;@&quot; &quot;">
                  <c:v>1793.11</c:v>
                </c:pt>
                <c:pt idx="141" formatCode="&quot; &quot;* #,##0.0&quot; &quot;;&quot;-&quot;* #,##0.0&quot; &quot;;&quot; &quot;* &quot;-&quot;#.0&quot; &quot;;&quot; &quot;@&quot; &quot;">
                  <c:v>1793.11</c:v>
                </c:pt>
                <c:pt idx="142" formatCode="&quot; &quot;* #,##0.0&quot; &quot;;&quot;-&quot;* #,##0.0&quot; &quot;;&quot; &quot;* &quot;-&quot;#.0&quot; &quot;;&quot; &quot;@&quot; &quot;">
                  <c:v>1793.11</c:v>
                </c:pt>
                <c:pt idx="143">
                  <c:v>1793.11</c:v>
                </c:pt>
                <c:pt idx="144" formatCode="&quot; &quot;* #,##0.0&quot; &quot;;&quot;-&quot;* #,##0.0&quot; &quot;;&quot; &quot;* &quot;-&quot;#.0&quot; &quot;;&quot; &quot;@&quot; &quot;">
                  <c:v>1793.11</c:v>
                </c:pt>
                <c:pt idx="145" formatCode="&quot; &quot;* #,##0.0&quot; &quot;;&quot;-&quot;* #,##0.0&quot; &quot;;&quot; &quot;* &quot;-&quot;#.0&quot; &quot;;&quot; &quot;@&quot; &quot;">
                  <c:v>1793.11</c:v>
                </c:pt>
                <c:pt idx="146" formatCode="&quot; &quot;* #,##0.0&quot; &quot;;&quot;-&quot;* #,##0.0&quot; &quot;;&quot; &quot;* &quot;-&quot;#.0&quot; &quot;;&quot; &quot;@&quot; &quot;">
                  <c:v>1793.11</c:v>
                </c:pt>
                <c:pt idx="147" formatCode="&quot; &quot;* #,##0.0&quot; &quot;;&quot;-&quot;* #,##0.0&quot; &quot;;&quot; &quot;* &quot;-&quot;#.0&quot; &quot;;&quot; &quot;@&quot; &quot;">
                  <c:v>1793.11</c:v>
                </c:pt>
                <c:pt idx="148" formatCode="&quot; &quot;* #,##0.0&quot; &quot;;&quot;-&quot;* #,##0.0&quot; &quot;;&quot; &quot;* &quot;-&quot;#.0&quot; &quot;;&quot; &quot;@&quot; &quot;">
                  <c:v>1793.11</c:v>
                </c:pt>
                <c:pt idx="149" formatCode="&quot; &quot;* #,##0.0&quot; &quot;;&quot;-&quot;* #,##0.0&quot; &quot;;&quot; &quot;* &quot;-&quot;#.0&quot; &quot;;&quot; &quot;@&quot; &quot;">
                  <c:v>1793.11</c:v>
                </c:pt>
                <c:pt idx="150" formatCode="&quot; &quot;* #,##0.0&quot; &quot;;&quot;-&quot;* #,##0.0&quot; &quot;;&quot; &quot;* &quot;-&quot;#.0&quot; &quot;;&quot; &quot;@&quot; &quot;">
                  <c:v>1793.11</c:v>
                </c:pt>
                <c:pt idx="151" formatCode="&quot; &quot;* #,##0.0&quot; &quot;;&quot;-&quot;* #,##0.0&quot; &quot;;&quot; &quot;* &quot;-&quot;#.0&quot; &quot;;&quot; &quot;@&quot; &quot;">
                  <c:v>1793.11</c:v>
                </c:pt>
                <c:pt idx="152" formatCode="&quot; &quot;* #,##0.0&quot; &quot;;&quot;-&quot;* #,##0.0&quot; &quot;;&quot; &quot;* &quot;-&quot;#.0&quot; &quot;;&quot; &quot;@&quot; &quot;">
                  <c:v>1793.11</c:v>
                </c:pt>
                <c:pt idx="153" formatCode="&quot; &quot;* #,##0.0&quot; &quot;;&quot;-&quot;* #,##0.0&quot; &quot;;&quot; &quot;* &quot;-&quot;#.0&quot; &quot;;&quot; &quot;@&quot; &quot;">
                  <c:v>1793.11</c:v>
                </c:pt>
                <c:pt idx="154" formatCode="&quot; &quot;* #,##0.0&quot; &quot;;&quot;-&quot;* #,##0.0&quot; &quot;;&quot; &quot;* &quot;-&quot;#.0&quot; &quot;;&quot; &quot;@&quot; &quot;">
                  <c:v>1793.11</c:v>
                </c:pt>
                <c:pt idx="155">
                  <c:v>1833.11</c:v>
                </c:pt>
                <c:pt idx="156" formatCode="&quot; &quot;* #,##0.0&quot; &quot;;&quot;-&quot;* #,##0.0&quot; &quot;;&quot; &quot;* &quot;-&quot;#.0&quot; &quot;;&quot; &quot;@&quot; &quot;">
                  <c:v>2105.91</c:v>
                </c:pt>
                <c:pt idx="157" formatCode="&quot; &quot;* #,##0.0&quot; &quot;;&quot;-&quot;* #,##0.0&quot; &quot;;&quot; &quot;* &quot;-&quot;#.0&quot; &quot;;&quot; &quot;@&quot; &quot;">
                  <c:v>2327.0169999999998</c:v>
                </c:pt>
                <c:pt idx="158" formatCode="&quot; &quot;* #,##0.0&quot; &quot;;&quot;-&quot;* #,##0.0&quot; &quot;;&quot; &quot;* &quot;-&quot;#.0&quot; &quot;;&quot; &quot;@&quot; &quot;">
                  <c:v>2717.3069999999998</c:v>
                </c:pt>
                <c:pt idx="159" formatCode="&quot; &quot;* #,##0.0&quot; &quot;;&quot;-&quot;* #,##0.0&quot; &quot;;&quot; &quot;* &quot;-&quot;#.0&quot; &quot;;&quot; &quot;@&quot; &quot;">
                  <c:v>2717.3069999999998</c:v>
                </c:pt>
                <c:pt idx="160" formatCode="&quot; &quot;* #,##0.0&quot; &quot;;&quot;-&quot;* #,##0.0&quot; &quot;;&quot; &quot;* &quot;-&quot;#.0&quot; &quot;;&quot; &quot;@&quot; &quot;">
                  <c:v>2767.2069999999999</c:v>
                </c:pt>
                <c:pt idx="161" formatCode="&quot; &quot;* #,##0.0&quot; &quot;;&quot;-&quot;* #,##0.0&quot; &quot;;&quot; &quot;* &quot;-&quot;#.0&quot; &quot;;&quot; &quot;@&quot; &quot;">
                  <c:v>2795.7069999999999</c:v>
                </c:pt>
                <c:pt idx="162" formatCode="&quot; &quot;* #,##0.0&quot; &quot;;&quot;-&quot;* #,##0.0&quot; &quot;;&quot; &quot;* &quot;-&quot;#.0&quot; &quot;;&quot; &quot;@&quot; &quot;">
                  <c:v>2795.7069999999999</c:v>
                </c:pt>
                <c:pt idx="163" formatCode="&quot; &quot;* #,##0.0&quot; &quot;;&quot;-&quot;* #,##0.0&quot; &quot;;&quot; &quot;* &quot;-&quot;#.0&quot; &quot;;&quot; &quot;@&quot; &quot;">
                  <c:v>2795.7069999999999</c:v>
                </c:pt>
                <c:pt idx="164" formatCode="&quot; &quot;* #,##0.0&quot; &quot;;&quot;-&quot;* #,##0.0&quot; &quot;;&quot; &quot;* &quot;-&quot;#.0&quot; &quot;;&quot; &quot;@&quot; &quot;">
                  <c:v>2883.607</c:v>
                </c:pt>
                <c:pt idx="165" formatCode="&quot; &quot;* #,##0.0&quot; &quot;;&quot;-&quot;* #,##0.0&quot; &quot;;&quot; &quot;* &quot;-&quot;#.0&quot; &quot;;&quot; &quot;@&quot; &quot;">
                  <c:v>2883.607</c:v>
                </c:pt>
                <c:pt idx="166" formatCode="&quot; &quot;* #,##0.0&quot; &quot;;&quot;-&quot;* #,##0.0&quot; &quot;;&quot; &quot;* &quot;-&quot;#.0&quot; &quot;;&quot; &quot;@&quot; &quot;">
                  <c:v>2883.607</c:v>
                </c:pt>
                <c:pt idx="167" formatCode="&quot; &quot;* #,##0.0&quot; &quot;;&quot;-&quot;* #,##0.0&quot; &quot;;&quot; &quot;* &quot;-&quot;#.0&quot; &quot;;&quot; &quot;@&quot; &quot;">
                  <c:v>2883.607</c:v>
                </c:pt>
                <c:pt idx="168">
                  <c:v>2923.607</c:v>
                </c:pt>
                <c:pt idx="169" formatCode="&quot; &quot;* #,##0.0&quot; &quot;;&quot;-&quot;* #,##0.0&quot; &quot;;&quot; &quot;* &quot;-&quot;#.0&quot; &quot;;&quot; &quot;@&quot; &quot;">
                  <c:v>2949.607</c:v>
                </c:pt>
                <c:pt idx="170" formatCode="&quot; &quot;* #,##0.0&quot; &quot;;&quot;-&quot;* #,##0.0&quot; &quot;;&quot; &quot;* &quot;-&quot;#.0&quot; &quot;;&quot; &quot;@&quot; &quot;">
                  <c:v>3051.4070000000002</c:v>
                </c:pt>
                <c:pt idx="171" formatCode="&quot; &quot;* #,##0.0&quot; &quot;;&quot;-&quot;* #,##0.0&quot; &quot;;&quot; &quot;* &quot;-&quot;#.0&quot; &quot;;&quot; &quot;@&quot; &quot;">
                  <c:v>3101.3069999999998</c:v>
                </c:pt>
                <c:pt idx="172" formatCode="&quot; &quot;* #,##0.0&quot; &quot;;&quot;-&quot;* #,##0.0&quot; &quot;;&quot; &quot;* &quot;-&quot;#.0&quot; &quot;;&quot; &quot;@&quot; &quot;">
                  <c:v>3151.2069999999999</c:v>
                </c:pt>
                <c:pt idx="173" formatCode="&quot; &quot;* #,##0.0&quot; &quot;;&quot;-&quot;* #,##0.0&quot; &quot;;&quot; &quot;* &quot;-&quot;#.0&quot; &quot;;&quot; &quot;@&quot; &quot;">
                  <c:v>3196.2069999999999</c:v>
                </c:pt>
                <c:pt idx="174" formatCode="&quot; &quot;* #,##0.0&quot; &quot;;&quot;-&quot;* #,##0.0&quot; &quot;;&quot; &quot;* &quot;-&quot;#.0&quot; &quot;;&quot; &quot;@&quot; &quot;">
                  <c:v>3252.6570000000002</c:v>
                </c:pt>
                <c:pt idx="175" formatCode="&quot; &quot;* #,##0.0&quot; &quot;;&quot;-&quot;* #,##0.0&quot; &quot;;&quot; &quot;* &quot;-&quot;#.0&quot; &quot;;&quot; &quot;@&quot; &quot;">
                  <c:v>3285.6570000000002</c:v>
                </c:pt>
                <c:pt idx="176" formatCode="&quot; &quot;* #,##0.0&quot; &quot;;&quot;-&quot;* #,##0.0&quot; &quot;;&quot; &quot;* &quot;-&quot;#.0&quot; &quot;;&quot; &quot;@&quot; &quot;">
                  <c:v>3285.6570000000002</c:v>
                </c:pt>
                <c:pt idx="177" formatCode="&quot; &quot;* #,##0.0&quot; &quot;;&quot;-&quot;* #,##0.0&quot; &quot;;&quot; &quot;* &quot;-&quot;#.0&quot; &quot;;&quot; &quot;@&quot; &quot;">
                  <c:v>3537.5569999999998</c:v>
                </c:pt>
                <c:pt idx="178" formatCode="&quot; &quot;* #,##0.0&quot; &quot;;&quot;-&quot;* #,##0.0&quot; &quot;;&quot; &quot;* &quot;-&quot;#.0&quot; &quot;;&quot; &quot;@&quot; &quot;">
                  <c:v>3587.4569999999999</c:v>
                </c:pt>
                <c:pt idx="179" formatCode="&quot; &quot;* #,##0.0&quot; &quot;;&quot;-&quot;* #,##0.0&quot; &quot;;&quot; &quot;* &quot;-&quot;#.0&quot; &quot;;&quot; &quot;@&quot; &quot;">
                  <c:v>3622.4569999999999</c:v>
                </c:pt>
                <c:pt idx="180" formatCode="&quot; &quot;* #,##0.0&quot; &quot;;&quot;-&quot;* #,##0.0&quot; &quot;;&quot; &quot;* &quot;-&quot;#.0&quot; &quot;;&quot; &quot;@&quot; &quot;">
                  <c:v>3708.4470000000001</c:v>
                </c:pt>
                <c:pt idx="181" formatCode="&quot; &quot;* #,##0.0&quot; &quot;;&quot;-&quot;* #,##0.0&quot; &quot;;&quot; &quot;* &quot;-&quot;#.0&quot; &quot;;&quot; &quot;@&quot; &quot;">
                  <c:v>3708.4470000000001</c:v>
                </c:pt>
                <c:pt idx="182" formatCode="&quot; &quot;* #,##0.0&quot; &quot;;&quot;-&quot;* #,##0.0&quot; &quot;;&quot; &quot;* &quot;-&quot;#.0&quot; &quot;;&quot; &quot;@&quot; &quot;">
                  <c:v>3953.047</c:v>
                </c:pt>
                <c:pt idx="183" formatCode="&quot; &quot;* #,##0.0&quot; &quot;;&quot;-&quot;* #,##0.0&quot; &quot;;&quot; &quot;* &quot;-&quot;#.0&quot; &quot;;&quot; &quot;@&quot; &quot;">
                  <c:v>4003.047</c:v>
                </c:pt>
                <c:pt idx="184" formatCode="&quot; &quot;* #,##0.0&quot; &quot;;&quot;-&quot;* #,##0.0&quot; &quot;;&quot; &quot;* &quot;-&quot;#.0&quot; &quot;;&quot; &quot;@&quot; &quot;">
                  <c:v>4003.047</c:v>
                </c:pt>
                <c:pt idx="185" formatCode="&quot; &quot;* #,##0.0&quot; &quot;;&quot;-&quot;* #,##0.0&quot; &quot;;&quot; &quot;* &quot;-&quot;#.0&quot; &quot;;&quot; &quot;@&quot; &quot;">
                  <c:v>4051.047</c:v>
                </c:pt>
                <c:pt idx="186" formatCode="&quot; &quot;* #,##0.0&quot; &quot;;&quot;-&quot;* #,##0.0&quot; &quot;;&quot; &quot;* &quot;-&quot;#.0&quot; &quot;;&quot; &quot;@&quot; &quot;">
                  <c:v>4508.9470000000001</c:v>
                </c:pt>
                <c:pt idx="187" formatCode="&quot; &quot;* #,##0.0&quot; &quot;;&quot;-&quot;* #,##0.0&quot; &quot;;&quot; &quot;* &quot;-&quot;#.0&quot; &quot;;&quot; &quot;@&quot; &quot;">
                  <c:v>4586.8469999999998</c:v>
                </c:pt>
                <c:pt idx="188" formatCode="&quot; &quot;* #,##0.0&quot; &quot;;&quot;-&quot;* #,##0.0&quot; &quot;;&quot; &quot;* &quot;-&quot;#.0&quot; &quot;;&quot; &quot;@&quot; &quot;">
                  <c:v>4628.8469999999998</c:v>
                </c:pt>
                <c:pt idx="189" formatCode="&quot; &quot;* #,##0.0&quot; &quot;;&quot;-&quot;* #,##0.0&quot; &quot;;&quot; &quot;* &quot;-&quot;#.0&quot; &quot;;&quot; &quot;@&quot; &quot;">
                  <c:v>4776.5870000000004</c:v>
                </c:pt>
                <c:pt idx="190" formatCode="&quot; &quot;* #,##0.0&quot; &quot;;&quot;-&quot;* #,##0.0&quot; &quot;;&quot; &quot;* &quot;-&quot;#.0&quot; &quot;;&quot; &quot;@&quot; &quot;">
                  <c:v>4842.5870000000004</c:v>
                </c:pt>
                <c:pt idx="191" formatCode="&quot; &quot;* #,##0.0&quot; &quot;;&quot;-&quot;* #,##0.0&quot; &quot;;&quot; &quot;* &quot;-&quot;#.0&quot; &quot;;&quot; &quot;@&quot; &quot;">
                  <c:v>4892.4870000000001</c:v>
                </c:pt>
                <c:pt idx="192" formatCode="&quot; &quot;* #,##0.0&quot; &quot;;&quot;-&quot;* #,##0.0&quot; &quot;;&quot; &quot;* &quot;-&quot;#.0&quot; &quot;;&quot; &quot;@&quot; &quot;">
                  <c:v>4892.4870000000001</c:v>
                </c:pt>
                <c:pt idx="193" formatCode="&quot; &quot;* #,##0.0&quot; &quot;;&quot;-&quot;* #,##0.0&quot; &quot;;&quot; &quot;* &quot;-&quot;#.0&quot; &quot;;&quot; &quot;@&quot; &quot;">
                  <c:v>4892.4870000000001</c:v>
                </c:pt>
                <c:pt idx="194" formatCode="&quot; &quot;* #,##0.0&quot; &quot;;&quot;-&quot;* #,##0.0&quot; &quot;;&quot; &quot;* &quot;-&quot;#.0&quot; &quot;;&quot; &quot;@&quot; &quot;">
                  <c:v>4942.3869999999997</c:v>
                </c:pt>
                <c:pt idx="195" formatCode="&quot; &quot;* #,##0.0&quot; &quot;;&quot;-&quot;* #,##0.0&quot; &quot;;&quot; &quot;* &quot;-&quot;#.0&quot; &quot;;&quot; &quot;@&quot; &quot;">
                  <c:v>4942.3869999999997</c:v>
                </c:pt>
                <c:pt idx="196" formatCode="&quot; &quot;* #,##0.0&quot; &quot;;&quot;-&quot;* #,##0.0&quot; &quot;;&quot; &quot;* &quot;-&quot;#.0&quot; &quot;;&quot; &quot;@&quot; &quot;">
                  <c:v>4942.3869999999997</c:v>
                </c:pt>
                <c:pt idx="197" formatCode="&quot; &quot;* #,##0.0&quot; &quot;;&quot;-&quot;* #,##0.0&quot; &quot;;&quot; &quot;* &quot;-&quot;#.0&quot; &quot;;&quot; &quot;@&quot; &quot;">
                  <c:v>4942.3869999999997</c:v>
                </c:pt>
              </c:numCache>
            </c:numRef>
          </c:val>
          <c:extLst>
            <c:ext xmlns:c16="http://schemas.microsoft.com/office/drawing/2014/chart" uri="{C3380CC4-5D6E-409C-BE32-E72D297353CC}">
              <c16:uniqueId val="{00000006-81FF-49FF-8CF7-390DE669A330}"/>
            </c:ext>
          </c:extLst>
        </c:ser>
        <c:dLbls>
          <c:showLegendKey val="0"/>
          <c:showVal val="0"/>
          <c:showCatName val="0"/>
          <c:showSerName val="0"/>
          <c:showPercent val="0"/>
          <c:showBubbleSize val="0"/>
        </c:dLbls>
        <c:axId val="708264672"/>
        <c:axId val="708265984"/>
      </c:areaChart>
      <c:valAx>
        <c:axId val="708265984"/>
        <c:scaling>
          <c:orientation val="minMax"/>
        </c:scaling>
        <c:delete val="0"/>
        <c:axPos val="r"/>
        <c:title>
          <c:tx>
            <c:rich>
              <a:bodyPr lIns="0" tIns="0" rIns="0" bIns="0"/>
              <a:lstStyle/>
              <a:p>
                <a:pPr marL="0" marR="0" indent="0" algn="ctr" defTabSz="914400" fontAlgn="auto" hangingPunct="1">
                  <a:lnSpc>
                    <a:spcPct val="100000"/>
                  </a:lnSpc>
                  <a:spcBef>
                    <a:spcPts val="0"/>
                  </a:spcBef>
                  <a:spcAft>
                    <a:spcPts val="0"/>
                  </a:spcAft>
                  <a:tabLst/>
                  <a:defRPr sz="1200" b="1" i="0" u="none" strike="noStrike" kern="1200" baseline="0">
                    <a:solidFill>
                      <a:srgbClr val="000000"/>
                    </a:solidFill>
                    <a:latin typeface="Calibri"/>
                  </a:defRPr>
                </a:pPr>
                <a:r>
                  <a:rPr lang="en-GB" sz="1200" b="1" i="0" u="none" strike="noStrike" kern="1200" cap="none" spc="0" baseline="0">
                    <a:solidFill>
                      <a:srgbClr val="000000"/>
                    </a:solidFill>
                    <a:uFillTx/>
                    <a:latin typeface="Calibri"/>
                  </a:rPr>
                  <a:t>UK Solar Capacity (MW)</a:t>
                </a:r>
              </a:p>
            </c:rich>
          </c:tx>
          <c:layout>
            <c:manualLayout>
              <c:xMode val="edge"/>
              <c:yMode val="edge"/>
              <c:x val="0.96837135861126955"/>
              <c:y val="0.32160759980522818"/>
            </c:manualLayout>
          </c:layout>
          <c:overlay val="0"/>
          <c:spPr>
            <a:noFill/>
            <a:ln>
              <a:noFill/>
            </a:ln>
          </c:spPr>
        </c:title>
        <c:numFmt formatCode="#,##0" sourceLinked="0"/>
        <c:majorTickMark val="out"/>
        <c:minorTickMark val="none"/>
        <c:tickLblPos val="nextTo"/>
        <c:spPr>
          <a:noFill/>
          <a:ln w="9528" cap="flat">
            <a:solidFill>
              <a:srgbClr val="868686"/>
            </a:solidFill>
            <a:prstDash val="solid"/>
            <a:round/>
          </a:ln>
        </c:spPr>
        <c:txPr>
          <a:bodyPr lIns="0" tIns="0" rIns="0" bIns="0"/>
          <a:lstStyle/>
          <a:p>
            <a:pPr marL="0" marR="0" indent="0" defTabSz="914400" fontAlgn="auto" hangingPunct="1">
              <a:lnSpc>
                <a:spcPct val="100000"/>
              </a:lnSpc>
              <a:spcBef>
                <a:spcPts val="0"/>
              </a:spcBef>
              <a:spcAft>
                <a:spcPts val="0"/>
              </a:spcAft>
              <a:tabLst/>
              <a:defRPr sz="1100" b="0" i="0" u="none" strike="noStrike" kern="1200" baseline="0">
                <a:solidFill>
                  <a:srgbClr val="000000"/>
                </a:solidFill>
                <a:latin typeface="Calibri"/>
              </a:defRPr>
            </a:pPr>
            <a:endParaRPr lang="en-US"/>
          </a:p>
        </c:txPr>
        <c:crossAx val="708264672"/>
        <c:crosses val="max"/>
        <c:crossBetween val="midCat"/>
      </c:valAx>
      <c:catAx>
        <c:axId val="708264672"/>
        <c:scaling>
          <c:orientation val="minMax"/>
        </c:scaling>
        <c:delete val="0"/>
        <c:axPos val="b"/>
        <c:numFmt formatCode="General" sourceLinked="0"/>
        <c:majorTickMark val="none"/>
        <c:minorTickMark val="none"/>
        <c:tickLblPos val="nextTo"/>
        <c:spPr>
          <a:noFill/>
          <a:ln w="9528" cap="flat">
            <a:solidFill>
              <a:srgbClr val="868686"/>
            </a:solidFill>
            <a:prstDash val="solid"/>
            <a:round/>
          </a:ln>
        </c:spPr>
        <c:txPr>
          <a:bodyPr lIns="0" tIns="0" rIns="0" bIns="0"/>
          <a:lstStyle/>
          <a:p>
            <a:pPr marL="0" marR="0" indent="0" defTabSz="914400" fontAlgn="auto" hangingPunct="1">
              <a:lnSpc>
                <a:spcPct val="100000"/>
              </a:lnSpc>
              <a:spcBef>
                <a:spcPts val="0"/>
              </a:spcBef>
              <a:spcAft>
                <a:spcPts val="0"/>
              </a:spcAft>
              <a:tabLst/>
              <a:defRPr sz="1000" b="0" i="0" u="none" strike="noStrike" kern="1200" baseline="0">
                <a:solidFill>
                  <a:srgbClr val="000000"/>
                </a:solidFill>
                <a:latin typeface="Calibri"/>
              </a:defRPr>
            </a:pPr>
            <a:endParaRPr lang="en-US"/>
          </a:p>
        </c:txPr>
        <c:crossAx val="708265984"/>
        <c:crosses val="autoZero"/>
        <c:auto val="1"/>
        <c:lblAlgn val="ctr"/>
        <c:lblOffset val="100"/>
        <c:tickLblSkip val="6"/>
        <c:tickMarkSkip val="3"/>
        <c:noMultiLvlLbl val="0"/>
      </c:catAx>
      <c:spPr>
        <a:solidFill>
          <a:srgbClr val="FFFFFF"/>
        </a:solidFill>
        <a:ln>
          <a:noFill/>
        </a:ln>
      </c:spPr>
    </c:plotArea>
    <c:legend>
      <c:legendPos val="r"/>
      <c:layout>
        <c:manualLayout>
          <c:xMode val="edge"/>
          <c:yMode val="edge"/>
          <c:x val="1.2086203370451935E-3"/>
          <c:y val="0.2429864696055265"/>
          <c:w val="0.24007758390894274"/>
          <c:h val="0.2131579182532396"/>
        </c:manualLayout>
      </c:layout>
      <c:overlay val="0"/>
      <c:spPr>
        <a:noFill/>
        <a:ln>
          <a:noFill/>
        </a:ln>
      </c:spPr>
      <c:txPr>
        <a:bodyPr lIns="0" tIns="0" rIns="0" bIns="0"/>
        <a:lstStyle/>
        <a:p>
          <a:pPr marL="0" marR="0" indent="0" defTabSz="914400" fontAlgn="auto" hangingPunct="1">
            <a:lnSpc>
              <a:spcPct val="100000"/>
            </a:lnSpc>
            <a:spcBef>
              <a:spcPts val="0"/>
            </a:spcBef>
            <a:spcAft>
              <a:spcPts val="0"/>
            </a:spcAft>
            <a:tabLst/>
            <a:defRPr sz="1100" b="0" i="0" u="none" strike="noStrike" kern="1200" baseline="0">
              <a:solidFill>
                <a:srgbClr val="000000"/>
              </a:solidFill>
              <a:latin typeface="Calibri"/>
            </a:defRPr>
          </a:pPr>
          <a:endParaRPr lang="en-US"/>
        </a:p>
      </c:txPr>
    </c:legend>
    <c:plotVisOnly val="1"/>
    <c:dispBlanksAs val="zero"/>
    <c:showDLblsOverMax val="0"/>
  </c:chart>
  <c:spPr>
    <a:solidFill>
      <a:srgbClr val="FFFFFF"/>
    </a:solidFill>
    <a:ln>
      <a:noFill/>
    </a:ln>
  </c:spPr>
  <c:txPr>
    <a:bodyPr lIns="0" tIns="0" rIns="0" bIns="0"/>
    <a:lstStyle/>
    <a:p>
      <a:pPr marL="0" marR="0" indent="0" defTabSz="914400" fontAlgn="auto" hangingPunct="1">
        <a:lnSpc>
          <a:spcPct val="100000"/>
        </a:lnSpc>
        <a:spcBef>
          <a:spcPts val="0"/>
        </a:spcBef>
        <a:spcAft>
          <a:spcPts val="0"/>
        </a:spcAft>
        <a:tabLst/>
        <a:defRPr lang="en-US" sz="1000" b="0" i="0" u="none" strike="noStrike" kern="1200" baseline="0">
          <a:solidFill>
            <a:srgbClr val="000000"/>
          </a:solidFill>
          <a:latin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lIns="0" tIns="0" rIns="0" bIns="0"/>
          <a:lstStyle/>
          <a:p>
            <a:pPr marL="0" marR="0" indent="0" algn="l" defTabSz="914400" fontAlgn="auto" hangingPunct="1">
              <a:lnSpc>
                <a:spcPct val="100000"/>
              </a:lnSpc>
              <a:spcBef>
                <a:spcPts val="0"/>
              </a:spcBef>
              <a:spcAft>
                <a:spcPts val="0"/>
              </a:spcAft>
              <a:tabLst/>
              <a:defRPr sz="1800" b="1" i="0" u="none" strike="noStrike" kern="1200" baseline="0">
                <a:solidFill>
                  <a:srgbClr val="000000"/>
                </a:solidFill>
                <a:latin typeface="Calibri"/>
              </a:defRPr>
            </a:pPr>
            <a:r>
              <a:rPr lang="en-GB" sz="1800" b="1" i="0" u="none" strike="noStrike" kern="1200" cap="none" spc="0" baseline="0">
                <a:solidFill>
                  <a:srgbClr val="000000"/>
                </a:solidFill>
                <a:uFillTx/>
                <a:latin typeface="Calibri"/>
              </a:rPr>
              <a:t>UK Solar Deployment:</a:t>
            </a:r>
            <a:br>
              <a:rPr lang="en-GB" sz="1800" b="1" i="0" u="none" strike="noStrike" kern="1200" cap="none" spc="0" baseline="0">
                <a:solidFill>
                  <a:srgbClr val="000000"/>
                </a:solidFill>
                <a:uFillTx/>
                <a:latin typeface="Calibri"/>
              </a:rPr>
            </a:br>
            <a:r>
              <a:rPr lang="en-GB" sz="1800" b="1" i="0" u="none" strike="noStrike" kern="1200" cap="none" spc="0" baseline="0">
                <a:solidFill>
                  <a:srgbClr val="000000"/>
                </a:solidFill>
                <a:uFillTx/>
                <a:latin typeface="Calibri"/>
              </a:rPr>
              <a:t>By Accreditation</a:t>
            </a:r>
            <a:br>
              <a:rPr lang="en-GB" sz="1800" b="1" i="0" u="none" strike="noStrike" kern="1200" cap="none" spc="0" baseline="0">
                <a:solidFill>
                  <a:srgbClr val="000000"/>
                </a:solidFill>
                <a:uFillTx/>
                <a:latin typeface="Calibri"/>
              </a:rPr>
            </a:br>
            <a:r>
              <a:rPr lang="en-GB" sz="1800" b="1" i="0" u="none" strike="noStrike" kern="1200" cap="none" spc="0" baseline="0">
                <a:solidFill>
                  <a:srgbClr val="000000"/>
                </a:solidFill>
                <a:uFillTx/>
                <a:latin typeface="Calibri"/>
              </a:rPr>
              <a:t>(updated monthly)</a:t>
            </a:r>
          </a:p>
        </c:rich>
      </c:tx>
      <c:layout>
        <c:manualLayout>
          <c:xMode val="edge"/>
          <c:yMode val="edge"/>
          <c:x val="5.2481894624283078E-2"/>
          <c:y val="6.5308451349817317E-2"/>
        </c:manualLayout>
      </c:layout>
      <c:overlay val="0"/>
      <c:spPr>
        <a:noFill/>
        <a:ln>
          <a:noFill/>
        </a:ln>
      </c:spPr>
    </c:title>
    <c:autoTitleDeleted val="0"/>
    <c:plotArea>
      <c:layout>
        <c:manualLayout>
          <c:layoutTarget val="inner"/>
          <c:xMode val="edge"/>
          <c:yMode val="edge"/>
          <c:x val="2.5081738541486088E-2"/>
          <c:y val="8.7117229433314056E-2"/>
          <c:w val="0.88437816220313081"/>
          <c:h val="0.81084373714191349"/>
        </c:manualLayout>
      </c:layout>
      <c:areaChart>
        <c:grouping val="stacked"/>
        <c:varyColors val="0"/>
        <c:ser>
          <c:idx val="0"/>
          <c:order val="0"/>
          <c:tx>
            <c:strRef>
              <c:f>Table_2_by_Accreditation!$A$20</c:f>
              <c:strCache>
                <c:ptCount val="1"/>
                <c:pt idx="0">
                  <c:v> FiTs (standalone) </c:v>
                </c:pt>
              </c:strCache>
            </c:strRef>
          </c:tx>
          <c:spPr>
            <a:solidFill>
              <a:srgbClr val="E31A1C"/>
            </a:solidFill>
            <a:ln>
              <a:noFill/>
            </a:ln>
          </c:spPr>
          <c:cat>
            <c:strRef>
              <c:f>Table_2_by_Accreditation!$B$5:$GQ$5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Table_2_by_Accreditation!$B$20:$GQ$20</c:f>
              <c:numCache>
                <c:formatCode>#,##0.0;\-#,##0.0</c:formatCode>
                <c:ptCount val="198"/>
                <c:pt idx="0">
                  <c:v>5.0000000000000001E-3</c:v>
                </c:pt>
                <c:pt idx="1">
                  <c:v>5.0000000000000001E-3</c:v>
                </c:pt>
                <c:pt idx="2">
                  <c:v>5.0000000000000001E-3</c:v>
                </c:pt>
                <c:pt idx="3">
                  <c:v>1.2E-2</c:v>
                </c:pt>
                <c:pt idx="4">
                  <c:v>2.3E-2</c:v>
                </c:pt>
                <c:pt idx="5">
                  <c:v>0.78700000000000003</c:v>
                </c:pt>
                <c:pt idx="6">
                  <c:v>0.78900000000000003</c:v>
                </c:pt>
                <c:pt idx="7">
                  <c:v>0.81799999999999995</c:v>
                </c:pt>
                <c:pt idx="8">
                  <c:v>0.83199999999999996</c:v>
                </c:pt>
                <c:pt idx="9">
                  <c:v>0.84199999999999997</c:v>
                </c:pt>
                <c:pt idx="10">
                  <c:v>0.872</c:v>
                </c:pt>
                <c:pt idx="11">
                  <c:v>0.93300000000000005</c:v>
                </c:pt>
                <c:pt idx="12">
                  <c:v>0.93700000000000006</c:v>
                </c:pt>
                <c:pt idx="13">
                  <c:v>0.95</c:v>
                </c:pt>
                <c:pt idx="14">
                  <c:v>1.01</c:v>
                </c:pt>
                <c:pt idx="15">
                  <c:v>1.077</c:v>
                </c:pt>
                <c:pt idx="16">
                  <c:v>1.1200000000000001</c:v>
                </c:pt>
                <c:pt idx="17">
                  <c:v>1.7909999999999999</c:v>
                </c:pt>
                <c:pt idx="18">
                  <c:v>86.438000000000002</c:v>
                </c:pt>
                <c:pt idx="19">
                  <c:v>87.072999999999993</c:v>
                </c:pt>
                <c:pt idx="20">
                  <c:v>92.716999999999999</c:v>
                </c:pt>
                <c:pt idx="21">
                  <c:v>104.771</c:v>
                </c:pt>
                <c:pt idx="22">
                  <c:v>105.297</c:v>
                </c:pt>
                <c:pt idx="23">
                  <c:v>105.98</c:v>
                </c:pt>
                <c:pt idx="24">
                  <c:v>105.98</c:v>
                </c:pt>
                <c:pt idx="25">
                  <c:v>106.392</c:v>
                </c:pt>
                <c:pt idx="26">
                  <c:v>111.581</c:v>
                </c:pt>
                <c:pt idx="27">
                  <c:v>111.581</c:v>
                </c:pt>
                <c:pt idx="28">
                  <c:v>111.64100000000001</c:v>
                </c:pt>
                <c:pt idx="29">
                  <c:v>121.617</c:v>
                </c:pt>
                <c:pt idx="30">
                  <c:v>177.93899999999999</c:v>
                </c:pt>
                <c:pt idx="31">
                  <c:v>177.93899999999999</c:v>
                </c:pt>
                <c:pt idx="32">
                  <c:v>177.93899999999999</c:v>
                </c:pt>
                <c:pt idx="33">
                  <c:v>177.94200000000001</c:v>
                </c:pt>
                <c:pt idx="34">
                  <c:v>181.327</c:v>
                </c:pt>
                <c:pt idx="35">
                  <c:v>181.327</c:v>
                </c:pt>
                <c:pt idx="36">
                  <c:v>181.327</c:v>
                </c:pt>
                <c:pt idx="37">
                  <c:v>181.327</c:v>
                </c:pt>
                <c:pt idx="38">
                  <c:v>186.166</c:v>
                </c:pt>
                <c:pt idx="39">
                  <c:v>192.941</c:v>
                </c:pt>
                <c:pt idx="40">
                  <c:v>192.947</c:v>
                </c:pt>
                <c:pt idx="41">
                  <c:v>194.19200000000001</c:v>
                </c:pt>
                <c:pt idx="42">
                  <c:v>198.096</c:v>
                </c:pt>
                <c:pt idx="43">
                  <c:v>202.75</c:v>
                </c:pt>
                <c:pt idx="44">
                  <c:v>203.86</c:v>
                </c:pt>
                <c:pt idx="45">
                  <c:v>210.44800000000001</c:v>
                </c:pt>
                <c:pt idx="46">
                  <c:v>210.452</c:v>
                </c:pt>
                <c:pt idx="47">
                  <c:v>213.83199999999999</c:v>
                </c:pt>
                <c:pt idx="48">
                  <c:v>213.83199999999999</c:v>
                </c:pt>
                <c:pt idx="49">
                  <c:v>219.64500000000001</c:v>
                </c:pt>
                <c:pt idx="50">
                  <c:v>229.172</c:v>
                </c:pt>
                <c:pt idx="51">
                  <c:v>234.166</c:v>
                </c:pt>
                <c:pt idx="52">
                  <c:v>245.434</c:v>
                </c:pt>
                <c:pt idx="53">
                  <c:v>255.26</c:v>
                </c:pt>
                <c:pt idx="54">
                  <c:v>260.18299999999999</c:v>
                </c:pt>
                <c:pt idx="55">
                  <c:v>263.80099999999999</c:v>
                </c:pt>
                <c:pt idx="56">
                  <c:v>265.58800000000002</c:v>
                </c:pt>
                <c:pt idx="57">
                  <c:v>265.87599999999998</c:v>
                </c:pt>
                <c:pt idx="58">
                  <c:v>268.85500000000002</c:v>
                </c:pt>
                <c:pt idx="59">
                  <c:v>285.61500000000001</c:v>
                </c:pt>
                <c:pt idx="60">
                  <c:v>285.61500000000001</c:v>
                </c:pt>
                <c:pt idx="61">
                  <c:v>289.358</c:v>
                </c:pt>
                <c:pt idx="62">
                  <c:v>326.36799999999999</c:v>
                </c:pt>
                <c:pt idx="63">
                  <c:v>328.20800000000003</c:v>
                </c:pt>
                <c:pt idx="64">
                  <c:v>332.11399999999998</c:v>
                </c:pt>
                <c:pt idx="65">
                  <c:v>364.01100000000002</c:v>
                </c:pt>
                <c:pt idx="66">
                  <c:v>373.15499999999997</c:v>
                </c:pt>
                <c:pt idx="67">
                  <c:v>382.76600000000002</c:v>
                </c:pt>
                <c:pt idx="68">
                  <c:v>404.47800000000001</c:v>
                </c:pt>
                <c:pt idx="69">
                  <c:v>438.08</c:v>
                </c:pt>
                <c:pt idx="70">
                  <c:v>478.149</c:v>
                </c:pt>
                <c:pt idx="71">
                  <c:v>786.798</c:v>
                </c:pt>
                <c:pt idx="72">
                  <c:v>787.06500000000005</c:v>
                </c:pt>
                <c:pt idx="73">
                  <c:v>792.495</c:v>
                </c:pt>
                <c:pt idx="74">
                  <c:v>803.65800000000002</c:v>
                </c:pt>
                <c:pt idx="75">
                  <c:v>803.65800000000002</c:v>
                </c:pt>
                <c:pt idx="76">
                  <c:v>818.64200000000005</c:v>
                </c:pt>
                <c:pt idx="77">
                  <c:v>946.69299999999998</c:v>
                </c:pt>
                <c:pt idx="78">
                  <c:v>946.69299999999998</c:v>
                </c:pt>
                <c:pt idx="79">
                  <c:v>956.18</c:v>
                </c:pt>
                <c:pt idx="80">
                  <c:v>965.89499999999998</c:v>
                </c:pt>
                <c:pt idx="81">
                  <c:v>965.89499999999998</c:v>
                </c:pt>
                <c:pt idx="82">
                  <c:v>970.7</c:v>
                </c:pt>
                <c:pt idx="83">
                  <c:v>970.7</c:v>
                </c:pt>
                <c:pt idx="84">
                  <c:v>970.70399999999995</c:v>
                </c:pt>
                <c:pt idx="85">
                  <c:v>970.70399999999995</c:v>
                </c:pt>
                <c:pt idx="86">
                  <c:v>975.71400000000006</c:v>
                </c:pt>
                <c:pt idx="87">
                  <c:v>975.71400000000006</c:v>
                </c:pt>
                <c:pt idx="88">
                  <c:v>975.71799999999996</c:v>
                </c:pt>
                <c:pt idx="89">
                  <c:v>975.71799999999996</c:v>
                </c:pt>
                <c:pt idx="90">
                  <c:v>975.71799999999996</c:v>
                </c:pt>
                <c:pt idx="91">
                  <c:v>975.71799999999996</c:v>
                </c:pt>
                <c:pt idx="92">
                  <c:v>975.71799999999996</c:v>
                </c:pt>
                <c:pt idx="93">
                  <c:v>975.71799999999996</c:v>
                </c:pt>
                <c:pt idx="94">
                  <c:v>975.71799999999996</c:v>
                </c:pt>
                <c:pt idx="95">
                  <c:v>975.71799999999996</c:v>
                </c:pt>
                <c:pt idx="96">
                  <c:v>975.72199999999998</c:v>
                </c:pt>
                <c:pt idx="97">
                  <c:v>975.72199999999998</c:v>
                </c:pt>
                <c:pt idx="98">
                  <c:v>975.72199999999998</c:v>
                </c:pt>
                <c:pt idx="99">
                  <c:v>975.72199999999998</c:v>
                </c:pt>
                <c:pt idx="100">
                  <c:v>975.72199999999998</c:v>
                </c:pt>
                <c:pt idx="101">
                  <c:v>975.72199999999998</c:v>
                </c:pt>
                <c:pt idx="102">
                  <c:v>975.72199999999998</c:v>
                </c:pt>
                <c:pt idx="103">
                  <c:v>975.72199999999998</c:v>
                </c:pt>
                <c:pt idx="104">
                  <c:v>975.72199999999998</c:v>
                </c:pt>
                <c:pt idx="105">
                  <c:v>975.72199999999998</c:v>
                </c:pt>
                <c:pt idx="106">
                  <c:v>975.72199999999998</c:v>
                </c:pt>
                <c:pt idx="107">
                  <c:v>975.72199999999998</c:v>
                </c:pt>
                <c:pt idx="108">
                  <c:v>975.72199999999998</c:v>
                </c:pt>
                <c:pt idx="109">
                  <c:v>975.72199999999998</c:v>
                </c:pt>
                <c:pt idx="110">
                  <c:v>975.72199999999998</c:v>
                </c:pt>
                <c:pt idx="111">
                  <c:v>975.72199999999998</c:v>
                </c:pt>
                <c:pt idx="112">
                  <c:v>975.72199999999998</c:v>
                </c:pt>
                <c:pt idx="113">
                  <c:v>975.72199999999998</c:v>
                </c:pt>
                <c:pt idx="114">
                  <c:v>975.72199999999998</c:v>
                </c:pt>
                <c:pt idx="115">
                  <c:v>975.72199999999998</c:v>
                </c:pt>
                <c:pt idx="116">
                  <c:v>975.72199999999998</c:v>
                </c:pt>
                <c:pt idx="117">
                  <c:v>975.72199999999998</c:v>
                </c:pt>
                <c:pt idx="118">
                  <c:v>975.72199999999998</c:v>
                </c:pt>
                <c:pt idx="119">
                  <c:v>975.72199999999998</c:v>
                </c:pt>
                <c:pt idx="120">
                  <c:v>975.72199999999998</c:v>
                </c:pt>
                <c:pt idx="121">
                  <c:v>975.72199999999998</c:v>
                </c:pt>
                <c:pt idx="122">
                  <c:v>975.72199999999998</c:v>
                </c:pt>
                <c:pt idx="123">
                  <c:v>975.72199999999998</c:v>
                </c:pt>
                <c:pt idx="124">
                  <c:v>975.72199999999998</c:v>
                </c:pt>
                <c:pt idx="125">
                  <c:v>975.72199999999998</c:v>
                </c:pt>
                <c:pt idx="126">
                  <c:v>975.72199999999998</c:v>
                </c:pt>
                <c:pt idx="127">
                  <c:v>975.72199999999998</c:v>
                </c:pt>
                <c:pt idx="128">
                  <c:v>975.72199999999998</c:v>
                </c:pt>
                <c:pt idx="129">
                  <c:v>975.72199999999998</c:v>
                </c:pt>
                <c:pt idx="130">
                  <c:v>975.72199999999998</c:v>
                </c:pt>
                <c:pt idx="131">
                  <c:v>975.72199999999998</c:v>
                </c:pt>
                <c:pt idx="132">
                  <c:v>975.72199999999998</c:v>
                </c:pt>
                <c:pt idx="133">
                  <c:v>975.72199999999998</c:v>
                </c:pt>
                <c:pt idx="134">
                  <c:v>975.72199999999998</c:v>
                </c:pt>
                <c:pt idx="135">
                  <c:v>975.72199999999998</c:v>
                </c:pt>
                <c:pt idx="136">
                  <c:v>975.72199999999998</c:v>
                </c:pt>
                <c:pt idx="137">
                  <c:v>975.72199999999998</c:v>
                </c:pt>
                <c:pt idx="138">
                  <c:v>975.72199999999998</c:v>
                </c:pt>
                <c:pt idx="139">
                  <c:v>975.72199999999998</c:v>
                </c:pt>
                <c:pt idx="140">
                  <c:v>975.72199999999998</c:v>
                </c:pt>
                <c:pt idx="141">
                  <c:v>975.72199999999998</c:v>
                </c:pt>
                <c:pt idx="142">
                  <c:v>975.72199999999998</c:v>
                </c:pt>
                <c:pt idx="143">
                  <c:v>975.72199999999998</c:v>
                </c:pt>
                <c:pt idx="144">
                  <c:v>975.72199999999998</c:v>
                </c:pt>
                <c:pt idx="145">
                  <c:v>975.72199999999998</c:v>
                </c:pt>
                <c:pt idx="146">
                  <c:v>975.72199999999998</c:v>
                </c:pt>
                <c:pt idx="147">
                  <c:v>975.72199999999998</c:v>
                </c:pt>
                <c:pt idx="148">
                  <c:v>975.72199999999998</c:v>
                </c:pt>
                <c:pt idx="149">
                  <c:v>975.72199999999998</c:v>
                </c:pt>
                <c:pt idx="150">
                  <c:v>975.72199999999998</c:v>
                </c:pt>
                <c:pt idx="151">
                  <c:v>975.72199999999998</c:v>
                </c:pt>
                <c:pt idx="152">
                  <c:v>975.72199999999998</c:v>
                </c:pt>
                <c:pt idx="153">
                  <c:v>975.72199999999998</c:v>
                </c:pt>
                <c:pt idx="154">
                  <c:v>975.72199999999998</c:v>
                </c:pt>
                <c:pt idx="155">
                  <c:v>975.72199999999998</c:v>
                </c:pt>
                <c:pt idx="156">
                  <c:v>975.72199999999998</c:v>
                </c:pt>
                <c:pt idx="157">
                  <c:v>975.72199999999998</c:v>
                </c:pt>
                <c:pt idx="158">
                  <c:v>975.72199999999998</c:v>
                </c:pt>
                <c:pt idx="159">
                  <c:v>975.72199999999998</c:v>
                </c:pt>
                <c:pt idx="160">
                  <c:v>975.72199999999998</c:v>
                </c:pt>
                <c:pt idx="161">
                  <c:v>975.72199999999998</c:v>
                </c:pt>
                <c:pt idx="162">
                  <c:v>975.72199999999998</c:v>
                </c:pt>
                <c:pt idx="163">
                  <c:v>975.72199999999998</c:v>
                </c:pt>
                <c:pt idx="164">
                  <c:v>975.72199999999998</c:v>
                </c:pt>
                <c:pt idx="165">
                  <c:v>975.72199999999998</c:v>
                </c:pt>
                <c:pt idx="166">
                  <c:v>975.72199999999998</c:v>
                </c:pt>
                <c:pt idx="167">
                  <c:v>975.72199999999998</c:v>
                </c:pt>
                <c:pt idx="168">
                  <c:v>975.72199999999998</c:v>
                </c:pt>
                <c:pt idx="169">
                  <c:v>975.72199999999998</c:v>
                </c:pt>
                <c:pt idx="170">
                  <c:v>975.72199999999998</c:v>
                </c:pt>
                <c:pt idx="171">
                  <c:v>975.72199999999998</c:v>
                </c:pt>
                <c:pt idx="172">
                  <c:v>975.72199999999998</c:v>
                </c:pt>
                <c:pt idx="173">
                  <c:v>975.72199999999998</c:v>
                </c:pt>
                <c:pt idx="174">
                  <c:v>975.72199999999998</c:v>
                </c:pt>
                <c:pt idx="175">
                  <c:v>975.72199999999998</c:v>
                </c:pt>
                <c:pt idx="176">
                  <c:v>975.72199999999998</c:v>
                </c:pt>
                <c:pt idx="177">
                  <c:v>975.72199999999998</c:v>
                </c:pt>
                <c:pt idx="178">
                  <c:v>975.72199999999998</c:v>
                </c:pt>
                <c:pt idx="179">
                  <c:v>975.72199999999998</c:v>
                </c:pt>
                <c:pt idx="180">
                  <c:v>975.72199999999998</c:v>
                </c:pt>
                <c:pt idx="181">
                  <c:v>975.72199999999998</c:v>
                </c:pt>
                <c:pt idx="182">
                  <c:v>975.72199999999998</c:v>
                </c:pt>
                <c:pt idx="183">
                  <c:v>975.72199999999998</c:v>
                </c:pt>
                <c:pt idx="184">
                  <c:v>975.72199999999998</c:v>
                </c:pt>
                <c:pt idx="185">
                  <c:v>975.72199999999998</c:v>
                </c:pt>
                <c:pt idx="186">
                  <c:v>975.72199999999998</c:v>
                </c:pt>
                <c:pt idx="187">
                  <c:v>975.72199999999998</c:v>
                </c:pt>
                <c:pt idx="188">
                  <c:v>975.72199999999998</c:v>
                </c:pt>
                <c:pt idx="189">
                  <c:v>975.72199999999998</c:v>
                </c:pt>
                <c:pt idx="190">
                  <c:v>975.72199999999998</c:v>
                </c:pt>
                <c:pt idx="191">
                  <c:v>975.72199999999998</c:v>
                </c:pt>
                <c:pt idx="192">
                  <c:v>975.72199999999998</c:v>
                </c:pt>
                <c:pt idx="193">
                  <c:v>975.72199999999998</c:v>
                </c:pt>
                <c:pt idx="194">
                  <c:v>975.72199999999998</c:v>
                </c:pt>
                <c:pt idx="195">
                  <c:v>975.72199999999998</c:v>
                </c:pt>
                <c:pt idx="196">
                  <c:v>975.72199999999998</c:v>
                </c:pt>
                <c:pt idx="197">
                  <c:v>975.72199999999998</c:v>
                </c:pt>
              </c:numCache>
            </c:numRef>
          </c:val>
          <c:extLst>
            <c:ext xmlns:c16="http://schemas.microsoft.com/office/drawing/2014/chart" uri="{C3380CC4-5D6E-409C-BE32-E72D297353CC}">
              <c16:uniqueId val="{00000000-AE7A-4EFA-B5EA-7B3909378CF3}"/>
            </c:ext>
          </c:extLst>
        </c:ser>
        <c:ser>
          <c:idx val="1"/>
          <c:order val="1"/>
          <c:tx>
            <c:strRef>
              <c:f>Table_2_by_Accreditation!$A$21</c:f>
              <c:strCache>
                <c:ptCount val="1"/>
                <c:pt idx="0">
                  <c:v> FITs (not standalone) </c:v>
                </c:pt>
              </c:strCache>
            </c:strRef>
          </c:tx>
          <c:spPr>
            <a:solidFill>
              <a:srgbClr val="71588F"/>
            </a:solidFill>
            <a:ln>
              <a:noFill/>
            </a:ln>
          </c:spPr>
          <c:cat>
            <c:strRef>
              <c:f>Table_2_by_Accreditation!$B$5:$GQ$5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Table_2_by_Accreditation!$B$21:$GQ$21</c:f>
              <c:numCache>
                <c:formatCode>#,##0.0;\-#,##0.0</c:formatCode>
                <c:ptCount val="198"/>
                <c:pt idx="0">
                  <c:v>12.845000000000001</c:v>
                </c:pt>
                <c:pt idx="1">
                  <c:v>13.856999999999999</c:v>
                </c:pt>
                <c:pt idx="2">
                  <c:v>15.819000000000001</c:v>
                </c:pt>
                <c:pt idx="3">
                  <c:v>18.035</c:v>
                </c:pt>
                <c:pt idx="4">
                  <c:v>21.678999999999998</c:v>
                </c:pt>
                <c:pt idx="5">
                  <c:v>26.094000000000001</c:v>
                </c:pt>
                <c:pt idx="6">
                  <c:v>31.177</c:v>
                </c:pt>
                <c:pt idx="7">
                  <c:v>36.463999999999999</c:v>
                </c:pt>
                <c:pt idx="8">
                  <c:v>43.343000000000004</c:v>
                </c:pt>
                <c:pt idx="9">
                  <c:v>51.899000000000001</c:v>
                </c:pt>
                <c:pt idx="10">
                  <c:v>61.375</c:v>
                </c:pt>
                <c:pt idx="11">
                  <c:v>68.727999999999994</c:v>
                </c:pt>
                <c:pt idx="12">
                  <c:v>78.876999999999995</c:v>
                </c:pt>
                <c:pt idx="13">
                  <c:v>91.263999999999996</c:v>
                </c:pt>
                <c:pt idx="14">
                  <c:v>109.855</c:v>
                </c:pt>
                <c:pt idx="15">
                  <c:v>133.27199999999999</c:v>
                </c:pt>
                <c:pt idx="16">
                  <c:v>155.833</c:v>
                </c:pt>
                <c:pt idx="17">
                  <c:v>187.97499999999999</c:v>
                </c:pt>
                <c:pt idx="18">
                  <c:v>258.32299999999998</c:v>
                </c:pt>
                <c:pt idx="19">
                  <c:v>301.97300000000001</c:v>
                </c:pt>
                <c:pt idx="20">
                  <c:v>366.24299999999999</c:v>
                </c:pt>
                <c:pt idx="21">
                  <c:v>468.44299999999998</c:v>
                </c:pt>
                <c:pt idx="22">
                  <c:v>659.84699999999998</c:v>
                </c:pt>
                <c:pt idx="23">
                  <c:v>838.26900000000001</c:v>
                </c:pt>
                <c:pt idx="24">
                  <c:v>861.54200000000003</c:v>
                </c:pt>
                <c:pt idx="25">
                  <c:v>1029.3030000000001</c:v>
                </c:pt>
                <c:pt idx="26">
                  <c:v>1129.694</c:v>
                </c:pt>
                <c:pt idx="27">
                  <c:v>1145.461</c:v>
                </c:pt>
                <c:pt idx="28">
                  <c:v>1179.6369999999999</c:v>
                </c:pt>
                <c:pt idx="29">
                  <c:v>1232.527</c:v>
                </c:pt>
                <c:pt idx="30">
                  <c:v>1365.8869999999999</c:v>
                </c:pt>
                <c:pt idx="31">
                  <c:v>1379.604</c:v>
                </c:pt>
                <c:pt idx="32">
                  <c:v>1397.1780000000001</c:v>
                </c:pt>
                <c:pt idx="33">
                  <c:v>1439.5060000000001</c:v>
                </c:pt>
                <c:pt idx="34">
                  <c:v>1460.954</c:v>
                </c:pt>
                <c:pt idx="35">
                  <c:v>1481.809</c:v>
                </c:pt>
                <c:pt idx="36">
                  <c:v>1505.348</c:v>
                </c:pt>
                <c:pt idx="37">
                  <c:v>1532.778</c:v>
                </c:pt>
                <c:pt idx="38">
                  <c:v>1564.847</c:v>
                </c:pt>
                <c:pt idx="39">
                  <c:v>1611.0809999999999</c:v>
                </c:pt>
                <c:pt idx="40">
                  <c:v>1647.5050000000001</c:v>
                </c:pt>
                <c:pt idx="41">
                  <c:v>1713.261</c:v>
                </c:pt>
                <c:pt idx="42">
                  <c:v>1742.0730000000001</c:v>
                </c:pt>
                <c:pt idx="43">
                  <c:v>1779.2139999999999</c:v>
                </c:pt>
                <c:pt idx="44">
                  <c:v>1815.9290000000001</c:v>
                </c:pt>
                <c:pt idx="45">
                  <c:v>1853.0050000000001</c:v>
                </c:pt>
                <c:pt idx="46">
                  <c:v>1896.32</c:v>
                </c:pt>
                <c:pt idx="47">
                  <c:v>1939.405</c:v>
                </c:pt>
                <c:pt idx="48">
                  <c:v>1973.627</c:v>
                </c:pt>
                <c:pt idx="49">
                  <c:v>2010.3620000000001</c:v>
                </c:pt>
                <c:pt idx="50">
                  <c:v>2092.16</c:v>
                </c:pt>
                <c:pt idx="51">
                  <c:v>2128.4090000000001</c:v>
                </c:pt>
                <c:pt idx="52">
                  <c:v>2164.9960000000001</c:v>
                </c:pt>
                <c:pt idx="53">
                  <c:v>2225.0390000000002</c:v>
                </c:pt>
                <c:pt idx="54">
                  <c:v>2269.6909999999998</c:v>
                </c:pt>
                <c:pt idx="55">
                  <c:v>2313.4960000000001</c:v>
                </c:pt>
                <c:pt idx="56">
                  <c:v>2367.6959999999999</c:v>
                </c:pt>
                <c:pt idx="57">
                  <c:v>2424.8090000000002</c:v>
                </c:pt>
                <c:pt idx="58">
                  <c:v>2478.7249999999999</c:v>
                </c:pt>
                <c:pt idx="59">
                  <c:v>2551.1849999999999</c:v>
                </c:pt>
                <c:pt idx="60">
                  <c:v>2583.3270000000002</c:v>
                </c:pt>
                <c:pt idx="61">
                  <c:v>2623.1889999999999</c:v>
                </c:pt>
                <c:pt idx="62">
                  <c:v>2711.2669999999998</c:v>
                </c:pt>
                <c:pt idx="63">
                  <c:v>2753.3420000000001</c:v>
                </c:pt>
                <c:pt idx="64">
                  <c:v>2801.4549999999999</c:v>
                </c:pt>
                <c:pt idx="65">
                  <c:v>2891.5219999999999</c:v>
                </c:pt>
                <c:pt idx="66">
                  <c:v>2942.0169999999998</c:v>
                </c:pt>
                <c:pt idx="67">
                  <c:v>2993.5059999999999</c:v>
                </c:pt>
                <c:pt idx="68">
                  <c:v>3089.1280000000002</c:v>
                </c:pt>
                <c:pt idx="69">
                  <c:v>3164.587</c:v>
                </c:pt>
                <c:pt idx="70">
                  <c:v>3268.7570000000001</c:v>
                </c:pt>
                <c:pt idx="71">
                  <c:v>3472.1320000000001</c:v>
                </c:pt>
                <c:pt idx="72">
                  <c:v>3563.2489999999998</c:v>
                </c:pt>
                <c:pt idx="73">
                  <c:v>3582.5880000000002</c:v>
                </c:pt>
                <c:pt idx="74">
                  <c:v>3650.223</c:v>
                </c:pt>
                <c:pt idx="75">
                  <c:v>3659.5419999999999</c:v>
                </c:pt>
                <c:pt idx="76">
                  <c:v>3675.181</c:v>
                </c:pt>
                <c:pt idx="77">
                  <c:v>3687.9609999999998</c:v>
                </c:pt>
                <c:pt idx="78">
                  <c:v>3700.32</c:v>
                </c:pt>
                <c:pt idx="79">
                  <c:v>3714.6840000000002</c:v>
                </c:pt>
                <c:pt idx="80">
                  <c:v>3734.759</c:v>
                </c:pt>
                <c:pt idx="81">
                  <c:v>3744.1840000000002</c:v>
                </c:pt>
                <c:pt idx="82">
                  <c:v>3753.857</c:v>
                </c:pt>
                <c:pt idx="83">
                  <c:v>3765.01</c:v>
                </c:pt>
                <c:pt idx="84">
                  <c:v>3769.7959999999998</c:v>
                </c:pt>
                <c:pt idx="85">
                  <c:v>3777.192</c:v>
                </c:pt>
                <c:pt idx="86">
                  <c:v>3788.2489999999998</c:v>
                </c:pt>
                <c:pt idx="87">
                  <c:v>3796.078</c:v>
                </c:pt>
                <c:pt idx="88">
                  <c:v>3805.9589999999998</c:v>
                </c:pt>
                <c:pt idx="89">
                  <c:v>3817.9639999999999</c:v>
                </c:pt>
                <c:pt idx="90">
                  <c:v>3829.3490000000002</c:v>
                </c:pt>
                <c:pt idx="91">
                  <c:v>3843.1970000000001</c:v>
                </c:pt>
                <c:pt idx="92">
                  <c:v>3855.953</c:v>
                </c:pt>
                <c:pt idx="93">
                  <c:v>3865.1489999999999</c:v>
                </c:pt>
                <c:pt idx="94">
                  <c:v>3876.2979999999998</c:v>
                </c:pt>
                <c:pt idx="95">
                  <c:v>3884.3519999999999</c:v>
                </c:pt>
                <c:pt idx="96">
                  <c:v>3892.1460000000002</c:v>
                </c:pt>
                <c:pt idx="97">
                  <c:v>3899.3510000000001</c:v>
                </c:pt>
                <c:pt idx="98">
                  <c:v>3911.4349999999999</c:v>
                </c:pt>
                <c:pt idx="99">
                  <c:v>3921.3150000000001</c:v>
                </c:pt>
                <c:pt idx="100">
                  <c:v>3931.78</c:v>
                </c:pt>
                <c:pt idx="101">
                  <c:v>3944.444</c:v>
                </c:pt>
                <c:pt idx="102">
                  <c:v>3955.866</c:v>
                </c:pt>
                <c:pt idx="103">
                  <c:v>3967.7049999999999</c:v>
                </c:pt>
                <c:pt idx="104">
                  <c:v>3980.846</c:v>
                </c:pt>
                <c:pt idx="105">
                  <c:v>3992.8960000000002</c:v>
                </c:pt>
                <c:pt idx="106">
                  <c:v>4008.0219999999999</c:v>
                </c:pt>
                <c:pt idx="107">
                  <c:v>4026.8679999999999</c:v>
                </c:pt>
                <c:pt idx="108">
                  <c:v>4043.8629999999998</c:v>
                </c:pt>
                <c:pt idx="109">
                  <c:v>4068.7080000000001</c:v>
                </c:pt>
                <c:pt idx="110">
                  <c:v>4132.2510000000002</c:v>
                </c:pt>
                <c:pt idx="111">
                  <c:v>4136.4049999999997</c:v>
                </c:pt>
                <c:pt idx="112">
                  <c:v>4137.1880000000001</c:v>
                </c:pt>
                <c:pt idx="113">
                  <c:v>4138.9549999999999</c:v>
                </c:pt>
                <c:pt idx="114">
                  <c:v>4140.3389999999999</c:v>
                </c:pt>
                <c:pt idx="115">
                  <c:v>4142.6559999999999</c:v>
                </c:pt>
                <c:pt idx="116">
                  <c:v>4145.34</c:v>
                </c:pt>
                <c:pt idx="117">
                  <c:v>4145.6840000000002</c:v>
                </c:pt>
                <c:pt idx="118">
                  <c:v>4146.1459999999997</c:v>
                </c:pt>
                <c:pt idx="119">
                  <c:v>4146.5169999999998</c:v>
                </c:pt>
                <c:pt idx="120">
                  <c:v>4147.1409999999996</c:v>
                </c:pt>
                <c:pt idx="121">
                  <c:v>4147.9679999999998</c:v>
                </c:pt>
                <c:pt idx="122">
                  <c:v>4150.1779999999999</c:v>
                </c:pt>
                <c:pt idx="123">
                  <c:v>4150.1779999999999</c:v>
                </c:pt>
                <c:pt idx="124">
                  <c:v>4150.1779999999999</c:v>
                </c:pt>
                <c:pt idx="125">
                  <c:v>4150.2079999999996</c:v>
                </c:pt>
                <c:pt idx="126">
                  <c:v>4150.2380000000003</c:v>
                </c:pt>
                <c:pt idx="127">
                  <c:v>4150.4660000000003</c:v>
                </c:pt>
                <c:pt idx="128">
                  <c:v>4150.6790000000001</c:v>
                </c:pt>
                <c:pt idx="129">
                  <c:v>4150.6869999999999</c:v>
                </c:pt>
                <c:pt idx="130">
                  <c:v>4150.6869999999999</c:v>
                </c:pt>
                <c:pt idx="131">
                  <c:v>4150.7470000000003</c:v>
                </c:pt>
                <c:pt idx="132">
                  <c:v>4150.7969999999996</c:v>
                </c:pt>
                <c:pt idx="133">
                  <c:v>4150.7969999999996</c:v>
                </c:pt>
                <c:pt idx="134">
                  <c:v>4150.7969999999996</c:v>
                </c:pt>
                <c:pt idx="135">
                  <c:v>4150.7969999999996</c:v>
                </c:pt>
                <c:pt idx="136">
                  <c:v>4150.7969999999996</c:v>
                </c:pt>
                <c:pt idx="137">
                  <c:v>4150.7969999999996</c:v>
                </c:pt>
                <c:pt idx="138">
                  <c:v>4150.7969999999996</c:v>
                </c:pt>
                <c:pt idx="139">
                  <c:v>4150.7969999999996</c:v>
                </c:pt>
                <c:pt idx="140">
                  <c:v>4150.7969999999996</c:v>
                </c:pt>
                <c:pt idx="141">
                  <c:v>4150.7969999999996</c:v>
                </c:pt>
                <c:pt idx="142">
                  <c:v>4150.7969999999996</c:v>
                </c:pt>
                <c:pt idx="143">
                  <c:v>4150.7969999999996</c:v>
                </c:pt>
                <c:pt idx="144">
                  <c:v>4150.7969999999996</c:v>
                </c:pt>
                <c:pt idx="145">
                  <c:v>4150.7969999999996</c:v>
                </c:pt>
                <c:pt idx="146">
                  <c:v>4150.7969999999996</c:v>
                </c:pt>
                <c:pt idx="147">
                  <c:v>4150.7969999999996</c:v>
                </c:pt>
                <c:pt idx="148">
                  <c:v>4150.7969999999996</c:v>
                </c:pt>
                <c:pt idx="149">
                  <c:v>4150.7969999999996</c:v>
                </c:pt>
                <c:pt idx="150">
                  <c:v>4150.7969999999996</c:v>
                </c:pt>
                <c:pt idx="151">
                  <c:v>4150.7969999999996</c:v>
                </c:pt>
                <c:pt idx="152">
                  <c:v>4150.7969999999996</c:v>
                </c:pt>
                <c:pt idx="153">
                  <c:v>4150.7969999999996</c:v>
                </c:pt>
                <c:pt idx="154">
                  <c:v>4150.7969999999996</c:v>
                </c:pt>
                <c:pt idx="155">
                  <c:v>4150.7969999999996</c:v>
                </c:pt>
                <c:pt idx="156">
                  <c:v>4150.7969999999996</c:v>
                </c:pt>
                <c:pt idx="157">
                  <c:v>4150.7969999999996</c:v>
                </c:pt>
                <c:pt idx="158">
                  <c:v>4150.7969999999996</c:v>
                </c:pt>
                <c:pt idx="159">
                  <c:v>4150.7969999999996</c:v>
                </c:pt>
                <c:pt idx="160">
                  <c:v>4150.7969999999996</c:v>
                </c:pt>
                <c:pt idx="161">
                  <c:v>4150.7969999999996</c:v>
                </c:pt>
                <c:pt idx="162">
                  <c:v>4150.7969999999996</c:v>
                </c:pt>
                <c:pt idx="163">
                  <c:v>4150.7969999999996</c:v>
                </c:pt>
                <c:pt idx="164">
                  <c:v>4150.7969999999996</c:v>
                </c:pt>
                <c:pt idx="165">
                  <c:v>4150.7969999999996</c:v>
                </c:pt>
                <c:pt idx="166">
                  <c:v>4150.7969999999996</c:v>
                </c:pt>
                <c:pt idx="167">
                  <c:v>4150.7969999999996</c:v>
                </c:pt>
                <c:pt idx="168">
                  <c:v>4150.7969999999996</c:v>
                </c:pt>
                <c:pt idx="169">
                  <c:v>4150.7969999999996</c:v>
                </c:pt>
                <c:pt idx="170">
                  <c:v>4150.7969999999996</c:v>
                </c:pt>
                <c:pt idx="171">
                  <c:v>4150.7969999999996</c:v>
                </c:pt>
                <c:pt idx="172">
                  <c:v>4150.7969999999996</c:v>
                </c:pt>
                <c:pt idx="173">
                  <c:v>4150.7969999999996</c:v>
                </c:pt>
                <c:pt idx="174">
                  <c:v>4150.7969999999996</c:v>
                </c:pt>
                <c:pt idx="175">
                  <c:v>4150.7969999999996</c:v>
                </c:pt>
                <c:pt idx="176">
                  <c:v>4150.7969999999996</c:v>
                </c:pt>
                <c:pt idx="177">
                  <c:v>4150.7969999999996</c:v>
                </c:pt>
                <c:pt idx="178">
                  <c:v>4150.7969999999996</c:v>
                </c:pt>
                <c:pt idx="179">
                  <c:v>4150.7969999999996</c:v>
                </c:pt>
                <c:pt idx="180">
                  <c:v>4150.7969999999996</c:v>
                </c:pt>
                <c:pt idx="181">
                  <c:v>4150.7969999999996</c:v>
                </c:pt>
                <c:pt idx="182">
                  <c:v>4150.7969999999996</c:v>
                </c:pt>
                <c:pt idx="183">
                  <c:v>4150.7969999999996</c:v>
                </c:pt>
                <c:pt idx="184">
                  <c:v>4150.7969999999996</c:v>
                </c:pt>
                <c:pt idx="185">
                  <c:v>4150.7969999999996</c:v>
                </c:pt>
                <c:pt idx="186">
                  <c:v>4150.7969999999996</c:v>
                </c:pt>
                <c:pt idx="187">
                  <c:v>4150.7969999999996</c:v>
                </c:pt>
                <c:pt idx="188">
                  <c:v>4150.7969999999996</c:v>
                </c:pt>
                <c:pt idx="189">
                  <c:v>4150.7969999999996</c:v>
                </c:pt>
                <c:pt idx="190">
                  <c:v>4150.7969999999996</c:v>
                </c:pt>
                <c:pt idx="191">
                  <c:v>4150.7969999999996</c:v>
                </c:pt>
                <c:pt idx="192">
                  <c:v>4150.7969999999996</c:v>
                </c:pt>
                <c:pt idx="193">
                  <c:v>4150.7969999999996</c:v>
                </c:pt>
                <c:pt idx="194">
                  <c:v>4150.7969999999996</c:v>
                </c:pt>
                <c:pt idx="195">
                  <c:v>4150.7969999999996</c:v>
                </c:pt>
                <c:pt idx="196">
                  <c:v>4150.7969999999996</c:v>
                </c:pt>
                <c:pt idx="197">
                  <c:v>4150.7969999999996</c:v>
                </c:pt>
              </c:numCache>
            </c:numRef>
          </c:val>
          <c:extLst>
            <c:ext xmlns:c16="http://schemas.microsoft.com/office/drawing/2014/chart" uri="{C3380CC4-5D6E-409C-BE32-E72D297353CC}">
              <c16:uniqueId val="{00000001-AE7A-4EFA-B5EA-7B3909378CF3}"/>
            </c:ext>
          </c:extLst>
        </c:ser>
        <c:ser>
          <c:idx val="2"/>
          <c:order val="2"/>
          <c:tx>
            <c:strRef>
              <c:f>Table_2_by_Accreditation!$A$22</c:f>
              <c:strCache>
                <c:ptCount val="1"/>
                <c:pt idx="0">
                  <c:v> RO (ground mounted) </c:v>
                </c:pt>
              </c:strCache>
            </c:strRef>
          </c:tx>
          <c:spPr>
            <a:solidFill>
              <a:srgbClr val="33A02C"/>
            </a:solidFill>
            <a:ln>
              <a:noFill/>
            </a:ln>
          </c:spPr>
          <c:cat>
            <c:strRef>
              <c:f>Table_2_by_Accreditation!$B$5:$GQ$5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Table_2_by_Accreditation!$B$22:$GQ$22</c:f>
              <c:numCache>
                <c:formatCode>#,##0.0;\-#,##0.0</c:formatCode>
                <c:ptCount val="1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1.4410000000000001</c:v>
                </c:pt>
                <c:pt idx="19">
                  <c:v>1.4410000000000001</c:v>
                </c:pt>
                <c:pt idx="20">
                  <c:v>1.4410000000000001</c:v>
                </c:pt>
                <c:pt idx="21">
                  <c:v>1.4410000000000001</c:v>
                </c:pt>
                <c:pt idx="22">
                  <c:v>1.4410000000000001</c:v>
                </c:pt>
                <c:pt idx="23">
                  <c:v>6.4409999999999998</c:v>
                </c:pt>
                <c:pt idx="24">
                  <c:v>6.4409999999999998</c:v>
                </c:pt>
                <c:pt idx="25">
                  <c:v>6.4409999999999998</c:v>
                </c:pt>
                <c:pt idx="26">
                  <c:v>6.4409999999999998</c:v>
                </c:pt>
                <c:pt idx="27">
                  <c:v>6.4409999999999998</c:v>
                </c:pt>
                <c:pt idx="28">
                  <c:v>6.4409999999999998</c:v>
                </c:pt>
                <c:pt idx="29">
                  <c:v>6.4409999999999998</c:v>
                </c:pt>
                <c:pt idx="30">
                  <c:v>6.4409999999999998</c:v>
                </c:pt>
                <c:pt idx="31">
                  <c:v>6.4409999999999998</c:v>
                </c:pt>
                <c:pt idx="32">
                  <c:v>6.4409999999999998</c:v>
                </c:pt>
                <c:pt idx="33">
                  <c:v>6.4409999999999998</c:v>
                </c:pt>
                <c:pt idx="34">
                  <c:v>6.4409999999999998</c:v>
                </c:pt>
                <c:pt idx="35">
                  <c:v>6.4409999999999998</c:v>
                </c:pt>
                <c:pt idx="36">
                  <c:v>6.4409999999999998</c:v>
                </c:pt>
                <c:pt idx="37">
                  <c:v>6.4409999999999998</c:v>
                </c:pt>
                <c:pt idx="38">
                  <c:v>93.528999999999996</c:v>
                </c:pt>
                <c:pt idx="39">
                  <c:v>99.16</c:v>
                </c:pt>
                <c:pt idx="40">
                  <c:v>118.131</c:v>
                </c:pt>
                <c:pt idx="41">
                  <c:v>176.33500000000001</c:v>
                </c:pt>
                <c:pt idx="42">
                  <c:v>180.78800000000001</c:v>
                </c:pt>
                <c:pt idx="43">
                  <c:v>203.63399999999999</c:v>
                </c:pt>
                <c:pt idx="44">
                  <c:v>206.53399999999999</c:v>
                </c:pt>
                <c:pt idx="45">
                  <c:v>206.53399999999999</c:v>
                </c:pt>
                <c:pt idx="46">
                  <c:v>261.53500000000003</c:v>
                </c:pt>
                <c:pt idx="47">
                  <c:v>271.57900000000001</c:v>
                </c:pt>
                <c:pt idx="48">
                  <c:v>357.81900000000002</c:v>
                </c:pt>
                <c:pt idx="49">
                  <c:v>397.91199999999998</c:v>
                </c:pt>
                <c:pt idx="50">
                  <c:v>1292.3420000000001</c:v>
                </c:pt>
                <c:pt idx="51">
                  <c:v>1301.3330000000001</c:v>
                </c:pt>
                <c:pt idx="52">
                  <c:v>1352.367</c:v>
                </c:pt>
                <c:pt idx="53">
                  <c:v>1412.1610000000001</c:v>
                </c:pt>
                <c:pt idx="54">
                  <c:v>1524.8610000000001</c:v>
                </c:pt>
                <c:pt idx="55">
                  <c:v>1535.962</c:v>
                </c:pt>
                <c:pt idx="56">
                  <c:v>1680.5409999999999</c:v>
                </c:pt>
                <c:pt idx="57">
                  <c:v>1784.5129999999999</c:v>
                </c:pt>
                <c:pt idx="58">
                  <c:v>1856.7940000000001</c:v>
                </c:pt>
                <c:pt idx="59">
                  <c:v>2068.0369999999998</c:v>
                </c:pt>
                <c:pt idx="60">
                  <c:v>2100.4749999999999</c:v>
                </c:pt>
                <c:pt idx="61">
                  <c:v>2209.6840000000002</c:v>
                </c:pt>
                <c:pt idx="62">
                  <c:v>4426.5820000000003</c:v>
                </c:pt>
                <c:pt idx="63">
                  <c:v>4428.4669999999996</c:v>
                </c:pt>
                <c:pt idx="64">
                  <c:v>4433.09</c:v>
                </c:pt>
                <c:pt idx="65">
                  <c:v>4433.09</c:v>
                </c:pt>
                <c:pt idx="66">
                  <c:v>4453.4080000000004</c:v>
                </c:pt>
                <c:pt idx="67">
                  <c:v>4487.8549999999996</c:v>
                </c:pt>
                <c:pt idx="68">
                  <c:v>4491.8459999999995</c:v>
                </c:pt>
                <c:pt idx="69">
                  <c:v>4543.027</c:v>
                </c:pt>
                <c:pt idx="70">
                  <c:v>4580.5209999999997</c:v>
                </c:pt>
                <c:pt idx="71">
                  <c:v>4673.1750000000002</c:v>
                </c:pt>
                <c:pt idx="72">
                  <c:v>4710.43</c:v>
                </c:pt>
                <c:pt idx="73">
                  <c:v>4784.7579999999998</c:v>
                </c:pt>
                <c:pt idx="74">
                  <c:v>5831.6030000000001</c:v>
                </c:pt>
                <c:pt idx="75">
                  <c:v>5878.1610000000001</c:v>
                </c:pt>
                <c:pt idx="76">
                  <c:v>5892.9579999999996</c:v>
                </c:pt>
                <c:pt idx="77">
                  <c:v>5912.924</c:v>
                </c:pt>
                <c:pt idx="78">
                  <c:v>5922.902</c:v>
                </c:pt>
                <c:pt idx="79">
                  <c:v>5937.3509999999997</c:v>
                </c:pt>
                <c:pt idx="80">
                  <c:v>5946.97</c:v>
                </c:pt>
                <c:pt idx="81">
                  <c:v>5973.8440000000001</c:v>
                </c:pt>
                <c:pt idx="82">
                  <c:v>5996.84</c:v>
                </c:pt>
                <c:pt idx="83">
                  <c:v>6053.018</c:v>
                </c:pt>
                <c:pt idx="84">
                  <c:v>6071.433</c:v>
                </c:pt>
                <c:pt idx="85">
                  <c:v>6153.5690000000004</c:v>
                </c:pt>
                <c:pt idx="86">
                  <c:v>6636.5209999999997</c:v>
                </c:pt>
                <c:pt idx="87">
                  <c:v>6644.51</c:v>
                </c:pt>
                <c:pt idx="88">
                  <c:v>6648.89</c:v>
                </c:pt>
                <c:pt idx="89">
                  <c:v>6648.89</c:v>
                </c:pt>
                <c:pt idx="90">
                  <c:v>6653.7929999999997</c:v>
                </c:pt>
                <c:pt idx="91">
                  <c:v>6653.7929999999997</c:v>
                </c:pt>
                <c:pt idx="92">
                  <c:v>6653.7929999999997</c:v>
                </c:pt>
                <c:pt idx="93">
                  <c:v>6653.7929999999997</c:v>
                </c:pt>
                <c:pt idx="94">
                  <c:v>6653.7929999999997</c:v>
                </c:pt>
                <c:pt idx="95">
                  <c:v>6659.7529999999997</c:v>
                </c:pt>
                <c:pt idx="96">
                  <c:v>6686.8530000000001</c:v>
                </c:pt>
                <c:pt idx="97">
                  <c:v>6693.3530000000001</c:v>
                </c:pt>
                <c:pt idx="98">
                  <c:v>6717.4470000000001</c:v>
                </c:pt>
                <c:pt idx="99">
                  <c:v>6730.4470000000001</c:v>
                </c:pt>
                <c:pt idx="100">
                  <c:v>6730.4470000000001</c:v>
                </c:pt>
                <c:pt idx="101">
                  <c:v>6733.7389999999996</c:v>
                </c:pt>
                <c:pt idx="102">
                  <c:v>6733.7389999999996</c:v>
                </c:pt>
                <c:pt idx="103">
                  <c:v>6733.7389999999996</c:v>
                </c:pt>
                <c:pt idx="104">
                  <c:v>6733.7389999999996</c:v>
                </c:pt>
                <c:pt idx="105">
                  <c:v>6733.7389999999996</c:v>
                </c:pt>
                <c:pt idx="106">
                  <c:v>6733.7389999999996</c:v>
                </c:pt>
                <c:pt idx="107">
                  <c:v>6733.7389999999996</c:v>
                </c:pt>
                <c:pt idx="108">
                  <c:v>6733.7389999999996</c:v>
                </c:pt>
                <c:pt idx="109">
                  <c:v>6733.7389999999996</c:v>
                </c:pt>
                <c:pt idx="110">
                  <c:v>6733.7389999999996</c:v>
                </c:pt>
                <c:pt idx="111">
                  <c:v>6733.7389999999996</c:v>
                </c:pt>
                <c:pt idx="112">
                  <c:v>6733.7389999999996</c:v>
                </c:pt>
                <c:pt idx="113">
                  <c:v>6733.7389999999996</c:v>
                </c:pt>
                <c:pt idx="114">
                  <c:v>6733.7389999999996</c:v>
                </c:pt>
                <c:pt idx="115">
                  <c:v>6733.7389999999996</c:v>
                </c:pt>
                <c:pt idx="116">
                  <c:v>6733.7389999999996</c:v>
                </c:pt>
                <c:pt idx="117">
                  <c:v>6733.7389999999996</c:v>
                </c:pt>
                <c:pt idx="118">
                  <c:v>6733.7389999999996</c:v>
                </c:pt>
                <c:pt idx="119">
                  <c:v>6733.7389999999996</c:v>
                </c:pt>
                <c:pt idx="120">
                  <c:v>6733.7389999999996</c:v>
                </c:pt>
                <c:pt idx="121">
                  <c:v>6733.7389999999996</c:v>
                </c:pt>
                <c:pt idx="122">
                  <c:v>6733.7389999999996</c:v>
                </c:pt>
                <c:pt idx="123">
                  <c:v>6733.7389999999996</c:v>
                </c:pt>
                <c:pt idx="124">
                  <c:v>6733.7389999999996</c:v>
                </c:pt>
                <c:pt idx="125">
                  <c:v>6733.7389999999996</c:v>
                </c:pt>
                <c:pt idx="126">
                  <c:v>6733.7389999999996</c:v>
                </c:pt>
                <c:pt idx="127">
                  <c:v>6733.7389999999996</c:v>
                </c:pt>
                <c:pt idx="128">
                  <c:v>6733.7389999999996</c:v>
                </c:pt>
                <c:pt idx="129">
                  <c:v>6733.7389999999996</c:v>
                </c:pt>
                <c:pt idx="130">
                  <c:v>6733.7389999999996</c:v>
                </c:pt>
                <c:pt idx="131">
                  <c:v>6733.7389999999996</c:v>
                </c:pt>
                <c:pt idx="132">
                  <c:v>6733.7389999999996</c:v>
                </c:pt>
                <c:pt idx="133">
                  <c:v>6733.7389999999996</c:v>
                </c:pt>
                <c:pt idx="134">
                  <c:v>6733.7389999999996</c:v>
                </c:pt>
                <c:pt idx="135">
                  <c:v>6733.7389999999996</c:v>
                </c:pt>
                <c:pt idx="136">
                  <c:v>6733.7389999999996</c:v>
                </c:pt>
                <c:pt idx="137">
                  <c:v>6733.7389999999996</c:v>
                </c:pt>
                <c:pt idx="138">
                  <c:v>6733.7389999999996</c:v>
                </c:pt>
                <c:pt idx="139">
                  <c:v>6733.7389999999996</c:v>
                </c:pt>
                <c:pt idx="140">
                  <c:v>6733.7389999999996</c:v>
                </c:pt>
                <c:pt idx="141">
                  <c:v>6733.7389999999996</c:v>
                </c:pt>
                <c:pt idx="142">
                  <c:v>6733.7389999999996</c:v>
                </c:pt>
                <c:pt idx="143">
                  <c:v>6733.7389999999996</c:v>
                </c:pt>
                <c:pt idx="144">
                  <c:v>6733.7389999999996</c:v>
                </c:pt>
                <c:pt idx="145">
                  <c:v>6733.7389999999996</c:v>
                </c:pt>
                <c:pt idx="146">
                  <c:v>6733.7389999999996</c:v>
                </c:pt>
                <c:pt idx="147">
                  <c:v>6733.7389999999996</c:v>
                </c:pt>
                <c:pt idx="148">
                  <c:v>6733.7389999999996</c:v>
                </c:pt>
                <c:pt idx="149">
                  <c:v>6733.7389999999996</c:v>
                </c:pt>
                <c:pt idx="150">
                  <c:v>6733.7389999999996</c:v>
                </c:pt>
                <c:pt idx="151">
                  <c:v>6733.7389999999996</c:v>
                </c:pt>
                <c:pt idx="152">
                  <c:v>6733.7389999999996</c:v>
                </c:pt>
                <c:pt idx="153">
                  <c:v>6733.7389999999996</c:v>
                </c:pt>
                <c:pt idx="154">
                  <c:v>6733.7389999999996</c:v>
                </c:pt>
                <c:pt idx="155">
                  <c:v>6733.7389999999996</c:v>
                </c:pt>
                <c:pt idx="156">
                  <c:v>6733.7389999999996</c:v>
                </c:pt>
                <c:pt idx="157">
                  <c:v>6733.7389999999996</c:v>
                </c:pt>
                <c:pt idx="158">
                  <c:v>6733.7389999999996</c:v>
                </c:pt>
                <c:pt idx="159">
                  <c:v>6733.7389999999996</c:v>
                </c:pt>
                <c:pt idx="160">
                  <c:v>6733.7389999999996</c:v>
                </c:pt>
                <c:pt idx="161">
                  <c:v>6733.7389999999996</c:v>
                </c:pt>
                <c:pt idx="162">
                  <c:v>6733.7389999999996</c:v>
                </c:pt>
                <c:pt idx="163">
                  <c:v>6733.7389999999996</c:v>
                </c:pt>
                <c:pt idx="164">
                  <c:v>6733.7389999999996</c:v>
                </c:pt>
                <c:pt idx="165">
                  <c:v>6733.7389999999996</c:v>
                </c:pt>
                <c:pt idx="166">
                  <c:v>6733.7389999999996</c:v>
                </c:pt>
                <c:pt idx="167">
                  <c:v>6733.7389999999996</c:v>
                </c:pt>
                <c:pt idx="168">
                  <c:v>6733.7389999999996</c:v>
                </c:pt>
                <c:pt idx="169">
                  <c:v>6733.7389999999996</c:v>
                </c:pt>
                <c:pt idx="170">
                  <c:v>6733.7389999999996</c:v>
                </c:pt>
                <c:pt idx="171">
                  <c:v>6733.7389999999996</c:v>
                </c:pt>
                <c:pt idx="172">
                  <c:v>6733.7389999999996</c:v>
                </c:pt>
                <c:pt idx="173">
                  <c:v>6733.7389999999996</c:v>
                </c:pt>
                <c:pt idx="174">
                  <c:v>6733.7389999999996</c:v>
                </c:pt>
                <c:pt idx="175">
                  <c:v>6733.7389999999996</c:v>
                </c:pt>
                <c:pt idx="176">
                  <c:v>6733.7389999999996</c:v>
                </c:pt>
                <c:pt idx="177">
                  <c:v>6733.7389999999996</c:v>
                </c:pt>
                <c:pt idx="178">
                  <c:v>6733.7389999999996</c:v>
                </c:pt>
                <c:pt idx="179">
                  <c:v>6733.7389999999996</c:v>
                </c:pt>
                <c:pt idx="180">
                  <c:v>6733.7389999999996</c:v>
                </c:pt>
                <c:pt idx="181">
                  <c:v>6733.7389999999996</c:v>
                </c:pt>
                <c:pt idx="182">
                  <c:v>6733.7389999999996</c:v>
                </c:pt>
                <c:pt idx="183">
                  <c:v>6733.7389999999996</c:v>
                </c:pt>
                <c:pt idx="184">
                  <c:v>6733.7389999999996</c:v>
                </c:pt>
                <c:pt idx="185">
                  <c:v>6733.7389999999996</c:v>
                </c:pt>
                <c:pt idx="186">
                  <c:v>6733.7389999999996</c:v>
                </c:pt>
                <c:pt idx="187">
                  <c:v>6733.7389999999996</c:v>
                </c:pt>
                <c:pt idx="188">
                  <c:v>6733.7389999999996</c:v>
                </c:pt>
                <c:pt idx="189">
                  <c:v>6733.7389999999996</c:v>
                </c:pt>
                <c:pt idx="190">
                  <c:v>6733.7389999999996</c:v>
                </c:pt>
                <c:pt idx="191">
                  <c:v>6733.7389999999996</c:v>
                </c:pt>
                <c:pt idx="192">
                  <c:v>6733.7389999999996</c:v>
                </c:pt>
                <c:pt idx="193">
                  <c:v>6733.7389999999996</c:v>
                </c:pt>
                <c:pt idx="194">
                  <c:v>6733.7389999999996</c:v>
                </c:pt>
                <c:pt idx="195">
                  <c:v>6733.7389999999996</c:v>
                </c:pt>
                <c:pt idx="196">
                  <c:v>6733.7389999999996</c:v>
                </c:pt>
                <c:pt idx="197">
                  <c:v>6733.7389999999996</c:v>
                </c:pt>
              </c:numCache>
            </c:numRef>
          </c:val>
          <c:extLst>
            <c:ext xmlns:c16="http://schemas.microsoft.com/office/drawing/2014/chart" uri="{C3380CC4-5D6E-409C-BE32-E72D297353CC}">
              <c16:uniqueId val="{00000002-AE7A-4EFA-B5EA-7B3909378CF3}"/>
            </c:ext>
          </c:extLst>
        </c:ser>
        <c:ser>
          <c:idx val="3"/>
          <c:order val="3"/>
          <c:tx>
            <c:strRef>
              <c:f>Table_2_by_Accreditation!$A$23</c:f>
              <c:strCache>
                <c:ptCount val="1"/>
                <c:pt idx="0">
                  <c:v> RO (not ground mounted) </c:v>
                </c:pt>
              </c:strCache>
            </c:strRef>
          </c:tx>
          <c:spPr>
            <a:solidFill>
              <a:srgbClr val="B2DF8A"/>
            </a:solidFill>
            <a:ln>
              <a:noFill/>
            </a:ln>
          </c:spPr>
          <c:cat>
            <c:strRef>
              <c:f>Table_2_by_Accreditation!$B$5:$GQ$5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Table_2_by_Accreditation!$B$23:$GQ$23</c:f>
              <c:numCache>
                <c:formatCode>#,##0.0;\-#,##0.0</c:formatCode>
                <c:ptCount val="198"/>
                <c:pt idx="0">
                  <c:v>1.95</c:v>
                </c:pt>
                <c:pt idx="1">
                  <c:v>1.95</c:v>
                </c:pt>
                <c:pt idx="2">
                  <c:v>1.99</c:v>
                </c:pt>
                <c:pt idx="3">
                  <c:v>2.0030000000000001</c:v>
                </c:pt>
                <c:pt idx="4">
                  <c:v>2.0089999999999999</c:v>
                </c:pt>
                <c:pt idx="5">
                  <c:v>2.0369999999999999</c:v>
                </c:pt>
                <c:pt idx="6">
                  <c:v>2.056</c:v>
                </c:pt>
                <c:pt idx="7">
                  <c:v>2.0590000000000002</c:v>
                </c:pt>
                <c:pt idx="8">
                  <c:v>2.06</c:v>
                </c:pt>
                <c:pt idx="9">
                  <c:v>2.0720000000000001</c:v>
                </c:pt>
                <c:pt idx="10">
                  <c:v>2.0910000000000002</c:v>
                </c:pt>
                <c:pt idx="11">
                  <c:v>2.1019999999999999</c:v>
                </c:pt>
                <c:pt idx="12">
                  <c:v>2.1019999999999999</c:v>
                </c:pt>
                <c:pt idx="13">
                  <c:v>2.1110000000000002</c:v>
                </c:pt>
                <c:pt idx="14">
                  <c:v>2.1259999999999999</c:v>
                </c:pt>
                <c:pt idx="15">
                  <c:v>2.1339999999999999</c:v>
                </c:pt>
                <c:pt idx="16">
                  <c:v>2.1859999999999999</c:v>
                </c:pt>
                <c:pt idx="17">
                  <c:v>2.23</c:v>
                </c:pt>
                <c:pt idx="18">
                  <c:v>2.2469999999999999</c:v>
                </c:pt>
                <c:pt idx="19">
                  <c:v>2.2799999999999998</c:v>
                </c:pt>
                <c:pt idx="20">
                  <c:v>2.33</c:v>
                </c:pt>
                <c:pt idx="21">
                  <c:v>7.2510000000000003</c:v>
                </c:pt>
                <c:pt idx="22">
                  <c:v>7.3689999999999998</c:v>
                </c:pt>
                <c:pt idx="23">
                  <c:v>7.5380000000000003</c:v>
                </c:pt>
                <c:pt idx="24">
                  <c:v>7.7220000000000004</c:v>
                </c:pt>
                <c:pt idx="25">
                  <c:v>7.806</c:v>
                </c:pt>
                <c:pt idx="26">
                  <c:v>8.9450000000000003</c:v>
                </c:pt>
                <c:pt idx="27">
                  <c:v>9.0370000000000008</c:v>
                </c:pt>
                <c:pt idx="28">
                  <c:v>9.1180000000000003</c:v>
                </c:pt>
                <c:pt idx="29">
                  <c:v>9.2260000000000009</c:v>
                </c:pt>
                <c:pt idx="30">
                  <c:v>9.327</c:v>
                </c:pt>
                <c:pt idx="31">
                  <c:v>9.7739999999999991</c:v>
                </c:pt>
                <c:pt idx="32">
                  <c:v>10.223000000000001</c:v>
                </c:pt>
                <c:pt idx="33">
                  <c:v>10.978999999999999</c:v>
                </c:pt>
                <c:pt idx="34">
                  <c:v>13.85</c:v>
                </c:pt>
                <c:pt idx="35">
                  <c:v>14.477</c:v>
                </c:pt>
                <c:pt idx="36">
                  <c:v>18.105</c:v>
                </c:pt>
                <c:pt idx="37">
                  <c:v>59.723999999999997</c:v>
                </c:pt>
                <c:pt idx="38">
                  <c:v>331.01100000000002</c:v>
                </c:pt>
                <c:pt idx="39">
                  <c:v>331.82900000000001</c:v>
                </c:pt>
                <c:pt idx="40">
                  <c:v>345.44400000000002</c:v>
                </c:pt>
                <c:pt idx="41">
                  <c:v>346.68299999999999</c:v>
                </c:pt>
                <c:pt idx="42">
                  <c:v>348.72500000000002</c:v>
                </c:pt>
                <c:pt idx="43">
                  <c:v>351.50900000000001</c:v>
                </c:pt>
                <c:pt idx="44">
                  <c:v>354.30900000000003</c:v>
                </c:pt>
                <c:pt idx="45">
                  <c:v>356.98200000000003</c:v>
                </c:pt>
                <c:pt idx="46">
                  <c:v>360.41399999999999</c:v>
                </c:pt>
                <c:pt idx="47">
                  <c:v>362.98399999999998</c:v>
                </c:pt>
                <c:pt idx="48">
                  <c:v>366.54</c:v>
                </c:pt>
                <c:pt idx="49">
                  <c:v>409.517</c:v>
                </c:pt>
                <c:pt idx="50">
                  <c:v>431.02600000000001</c:v>
                </c:pt>
                <c:pt idx="51">
                  <c:v>433.31200000000001</c:v>
                </c:pt>
                <c:pt idx="52">
                  <c:v>436.21800000000002</c:v>
                </c:pt>
                <c:pt idx="53">
                  <c:v>439.98099999999999</c:v>
                </c:pt>
                <c:pt idx="54">
                  <c:v>443.15</c:v>
                </c:pt>
                <c:pt idx="55">
                  <c:v>445.31400000000002</c:v>
                </c:pt>
                <c:pt idx="56">
                  <c:v>447.97899999999998</c:v>
                </c:pt>
                <c:pt idx="57">
                  <c:v>450.971</c:v>
                </c:pt>
                <c:pt idx="58">
                  <c:v>453.31</c:v>
                </c:pt>
                <c:pt idx="59">
                  <c:v>457.48899999999998</c:v>
                </c:pt>
                <c:pt idx="60">
                  <c:v>466.33300000000003</c:v>
                </c:pt>
                <c:pt idx="61">
                  <c:v>469.065</c:v>
                </c:pt>
                <c:pt idx="62">
                  <c:v>475.51400000000001</c:v>
                </c:pt>
                <c:pt idx="63">
                  <c:v>478.16800000000001</c:v>
                </c:pt>
                <c:pt idx="64">
                  <c:v>485.67500000000001</c:v>
                </c:pt>
                <c:pt idx="65">
                  <c:v>489.005</c:v>
                </c:pt>
                <c:pt idx="66">
                  <c:v>491.61700000000002</c:v>
                </c:pt>
                <c:pt idx="67">
                  <c:v>496.7</c:v>
                </c:pt>
                <c:pt idx="68">
                  <c:v>508.495</c:v>
                </c:pt>
                <c:pt idx="69">
                  <c:v>512.71699999999998</c:v>
                </c:pt>
                <c:pt idx="70">
                  <c:v>516.33399999999995</c:v>
                </c:pt>
                <c:pt idx="71">
                  <c:v>517.87699999999995</c:v>
                </c:pt>
                <c:pt idx="72">
                  <c:v>523.28800000000001</c:v>
                </c:pt>
                <c:pt idx="73">
                  <c:v>527.03800000000001</c:v>
                </c:pt>
                <c:pt idx="74">
                  <c:v>541.91499999999996</c:v>
                </c:pt>
                <c:pt idx="75">
                  <c:v>545.01599999999996</c:v>
                </c:pt>
                <c:pt idx="76">
                  <c:v>546.27200000000005</c:v>
                </c:pt>
                <c:pt idx="77">
                  <c:v>549.16</c:v>
                </c:pt>
                <c:pt idx="78">
                  <c:v>551.07000000000005</c:v>
                </c:pt>
                <c:pt idx="79">
                  <c:v>553.33000000000004</c:v>
                </c:pt>
                <c:pt idx="80">
                  <c:v>560.43899999999996</c:v>
                </c:pt>
                <c:pt idx="81">
                  <c:v>560.60199999999998</c:v>
                </c:pt>
                <c:pt idx="82">
                  <c:v>560.87</c:v>
                </c:pt>
                <c:pt idx="83">
                  <c:v>561.11500000000001</c:v>
                </c:pt>
                <c:pt idx="84">
                  <c:v>561.31500000000005</c:v>
                </c:pt>
                <c:pt idx="85">
                  <c:v>561.86</c:v>
                </c:pt>
                <c:pt idx="86">
                  <c:v>564.12599999999998</c:v>
                </c:pt>
                <c:pt idx="87">
                  <c:v>564.12599999999998</c:v>
                </c:pt>
                <c:pt idx="88">
                  <c:v>564.12599999999998</c:v>
                </c:pt>
                <c:pt idx="89">
                  <c:v>564.12599999999998</c:v>
                </c:pt>
                <c:pt idx="90">
                  <c:v>564.12599999999998</c:v>
                </c:pt>
                <c:pt idx="91">
                  <c:v>564.12599999999998</c:v>
                </c:pt>
                <c:pt idx="92">
                  <c:v>564.12599999999998</c:v>
                </c:pt>
                <c:pt idx="93">
                  <c:v>564.12599999999998</c:v>
                </c:pt>
                <c:pt idx="94">
                  <c:v>564.12599999999998</c:v>
                </c:pt>
                <c:pt idx="95">
                  <c:v>564.12599999999998</c:v>
                </c:pt>
                <c:pt idx="96">
                  <c:v>564.12599999999998</c:v>
                </c:pt>
                <c:pt idx="97">
                  <c:v>564.12599999999998</c:v>
                </c:pt>
                <c:pt idx="98">
                  <c:v>564.29600000000005</c:v>
                </c:pt>
                <c:pt idx="99">
                  <c:v>564.29600000000005</c:v>
                </c:pt>
                <c:pt idx="100">
                  <c:v>564.29600000000005</c:v>
                </c:pt>
                <c:pt idx="101">
                  <c:v>564.29600000000005</c:v>
                </c:pt>
                <c:pt idx="102">
                  <c:v>564.29600000000005</c:v>
                </c:pt>
                <c:pt idx="103">
                  <c:v>564.29600000000005</c:v>
                </c:pt>
                <c:pt idx="104">
                  <c:v>564.29600000000005</c:v>
                </c:pt>
                <c:pt idx="105">
                  <c:v>564.29600000000005</c:v>
                </c:pt>
                <c:pt idx="106">
                  <c:v>564.29600000000005</c:v>
                </c:pt>
                <c:pt idx="107">
                  <c:v>564.29600000000005</c:v>
                </c:pt>
                <c:pt idx="108">
                  <c:v>564.29600000000005</c:v>
                </c:pt>
                <c:pt idx="109">
                  <c:v>564.29600000000005</c:v>
                </c:pt>
                <c:pt idx="110">
                  <c:v>564.29600000000005</c:v>
                </c:pt>
                <c:pt idx="111">
                  <c:v>564.29600000000005</c:v>
                </c:pt>
                <c:pt idx="112">
                  <c:v>564.29600000000005</c:v>
                </c:pt>
                <c:pt idx="113">
                  <c:v>564.29600000000005</c:v>
                </c:pt>
                <c:pt idx="114">
                  <c:v>564.29600000000005</c:v>
                </c:pt>
                <c:pt idx="115">
                  <c:v>564.29600000000005</c:v>
                </c:pt>
                <c:pt idx="116">
                  <c:v>564.29600000000005</c:v>
                </c:pt>
                <c:pt idx="117">
                  <c:v>564.29600000000005</c:v>
                </c:pt>
                <c:pt idx="118">
                  <c:v>564.29600000000005</c:v>
                </c:pt>
                <c:pt idx="119">
                  <c:v>564.29600000000005</c:v>
                </c:pt>
                <c:pt idx="120">
                  <c:v>564.29600000000005</c:v>
                </c:pt>
                <c:pt idx="121">
                  <c:v>564.29600000000005</c:v>
                </c:pt>
                <c:pt idx="122">
                  <c:v>564.29600000000005</c:v>
                </c:pt>
                <c:pt idx="123">
                  <c:v>564.29600000000005</c:v>
                </c:pt>
                <c:pt idx="124">
                  <c:v>564.29600000000005</c:v>
                </c:pt>
                <c:pt idx="125">
                  <c:v>564.29600000000005</c:v>
                </c:pt>
                <c:pt idx="126">
                  <c:v>564.29600000000005</c:v>
                </c:pt>
                <c:pt idx="127">
                  <c:v>564.29600000000005</c:v>
                </c:pt>
                <c:pt idx="128">
                  <c:v>564.29600000000005</c:v>
                </c:pt>
                <c:pt idx="129">
                  <c:v>564.29600000000005</c:v>
                </c:pt>
                <c:pt idx="130">
                  <c:v>564.29600000000005</c:v>
                </c:pt>
                <c:pt idx="131">
                  <c:v>564.29600000000005</c:v>
                </c:pt>
                <c:pt idx="132">
                  <c:v>564.29600000000005</c:v>
                </c:pt>
                <c:pt idx="133">
                  <c:v>564.29600000000005</c:v>
                </c:pt>
                <c:pt idx="134">
                  <c:v>564.29600000000005</c:v>
                </c:pt>
                <c:pt idx="135">
                  <c:v>564.29600000000005</c:v>
                </c:pt>
                <c:pt idx="136">
                  <c:v>564.29600000000005</c:v>
                </c:pt>
                <c:pt idx="137">
                  <c:v>564.29600000000005</c:v>
                </c:pt>
                <c:pt idx="138">
                  <c:v>564.29600000000005</c:v>
                </c:pt>
                <c:pt idx="139">
                  <c:v>564.29600000000005</c:v>
                </c:pt>
                <c:pt idx="140">
                  <c:v>564.29600000000005</c:v>
                </c:pt>
                <c:pt idx="141">
                  <c:v>564.29600000000005</c:v>
                </c:pt>
                <c:pt idx="142">
                  <c:v>564.29600000000005</c:v>
                </c:pt>
                <c:pt idx="143">
                  <c:v>564.29600000000005</c:v>
                </c:pt>
                <c:pt idx="144">
                  <c:v>564.29600000000005</c:v>
                </c:pt>
                <c:pt idx="145">
                  <c:v>564.29600000000005</c:v>
                </c:pt>
                <c:pt idx="146">
                  <c:v>564.29600000000005</c:v>
                </c:pt>
                <c:pt idx="147">
                  <c:v>564.29600000000005</c:v>
                </c:pt>
                <c:pt idx="148">
                  <c:v>564.29600000000005</c:v>
                </c:pt>
                <c:pt idx="149">
                  <c:v>564.29600000000005</c:v>
                </c:pt>
                <c:pt idx="150">
                  <c:v>564.29600000000005</c:v>
                </c:pt>
                <c:pt idx="151">
                  <c:v>564.29600000000005</c:v>
                </c:pt>
                <c:pt idx="152">
                  <c:v>564.29600000000005</c:v>
                </c:pt>
                <c:pt idx="153">
                  <c:v>564.29600000000005</c:v>
                </c:pt>
                <c:pt idx="154">
                  <c:v>564.29600000000005</c:v>
                </c:pt>
                <c:pt idx="155">
                  <c:v>564.29600000000005</c:v>
                </c:pt>
                <c:pt idx="156">
                  <c:v>564.29600000000005</c:v>
                </c:pt>
                <c:pt idx="157">
                  <c:v>564.29600000000005</c:v>
                </c:pt>
                <c:pt idx="158">
                  <c:v>564.29600000000005</c:v>
                </c:pt>
                <c:pt idx="159">
                  <c:v>564.29600000000005</c:v>
                </c:pt>
                <c:pt idx="160">
                  <c:v>564.29600000000005</c:v>
                </c:pt>
                <c:pt idx="161">
                  <c:v>564.29600000000005</c:v>
                </c:pt>
                <c:pt idx="162">
                  <c:v>564.29600000000005</c:v>
                </c:pt>
                <c:pt idx="163">
                  <c:v>564.29600000000005</c:v>
                </c:pt>
                <c:pt idx="164">
                  <c:v>564.29600000000005</c:v>
                </c:pt>
                <c:pt idx="165">
                  <c:v>564.29600000000005</c:v>
                </c:pt>
                <c:pt idx="166">
                  <c:v>564.29600000000005</c:v>
                </c:pt>
                <c:pt idx="167">
                  <c:v>564.29600000000005</c:v>
                </c:pt>
                <c:pt idx="168">
                  <c:v>587.51599999999996</c:v>
                </c:pt>
                <c:pt idx="169">
                  <c:v>587.51599999999996</c:v>
                </c:pt>
                <c:pt idx="170">
                  <c:v>591.98500000000001</c:v>
                </c:pt>
                <c:pt idx="171">
                  <c:v>591.98500000000001</c:v>
                </c:pt>
                <c:pt idx="172">
                  <c:v>594.08199999999999</c:v>
                </c:pt>
                <c:pt idx="173">
                  <c:v>594.73199999999997</c:v>
                </c:pt>
                <c:pt idx="174">
                  <c:v>594.73199999999997</c:v>
                </c:pt>
                <c:pt idx="175">
                  <c:v>595.45799999999997</c:v>
                </c:pt>
                <c:pt idx="176">
                  <c:v>595.45799999999997</c:v>
                </c:pt>
                <c:pt idx="177">
                  <c:v>619.54</c:v>
                </c:pt>
                <c:pt idx="178">
                  <c:v>619.54</c:v>
                </c:pt>
                <c:pt idx="179">
                  <c:v>619.54</c:v>
                </c:pt>
                <c:pt idx="180">
                  <c:v>619.54</c:v>
                </c:pt>
                <c:pt idx="181">
                  <c:v>619.54</c:v>
                </c:pt>
                <c:pt idx="182">
                  <c:v>619.54</c:v>
                </c:pt>
                <c:pt idx="183">
                  <c:v>619.54</c:v>
                </c:pt>
                <c:pt idx="184">
                  <c:v>619.54</c:v>
                </c:pt>
                <c:pt idx="185">
                  <c:v>619.54</c:v>
                </c:pt>
                <c:pt idx="186">
                  <c:v>619.54</c:v>
                </c:pt>
                <c:pt idx="187">
                  <c:v>619.54</c:v>
                </c:pt>
                <c:pt idx="188">
                  <c:v>619.54</c:v>
                </c:pt>
                <c:pt idx="189">
                  <c:v>619.54</c:v>
                </c:pt>
                <c:pt idx="190">
                  <c:v>619.54</c:v>
                </c:pt>
                <c:pt idx="191">
                  <c:v>619.54</c:v>
                </c:pt>
                <c:pt idx="192">
                  <c:v>619.54</c:v>
                </c:pt>
                <c:pt idx="193">
                  <c:v>619.54</c:v>
                </c:pt>
                <c:pt idx="194">
                  <c:v>619.54</c:v>
                </c:pt>
                <c:pt idx="195">
                  <c:v>619.54</c:v>
                </c:pt>
                <c:pt idx="196">
                  <c:v>619.54</c:v>
                </c:pt>
                <c:pt idx="197">
                  <c:v>619.54</c:v>
                </c:pt>
              </c:numCache>
            </c:numRef>
          </c:val>
          <c:extLst>
            <c:ext xmlns:c16="http://schemas.microsoft.com/office/drawing/2014/chart" uri="{C3380CC4-5D6E-409C-BE32-E72D297353CC}">
              <c16:uniqueId val="{00000003-AE7A-4EFA-B5EA-7B3909378CF3}"/>
            </c:ext>
          </c:extLst>
        </c:ser>
        <c:ser>
          <c:idx val="4"/>
          <c:order val="4"/>
          <c:tx>
            <c:strRef>
              <c:f>Table_2_by_Accreditation!$A$24</c:f>
              <c:strCache>
                <c:ptCount val="1"/>
                <c:pt idx="0">
                  <c:v> CfDs (ground-mounted) [note 5] </c:v>
                </c:pt>
              </c:strCache>
            </c:strRef>
          </c:tx>
          <c:spPr>
            <a:solidFill>
              <a:srgbClr val="1F78B4"/>
            </a:solidFill>
            <a:ln>
              <a:noFill/>
            </a:ln>
          </c:spPr>
          <c:cat>
            <c:strRef>
              <c:f>Table_2_by_Accreditation!$B$5:$GQ$5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Table_2_by_Accreditation!$B$24:$GQ$24</c:f>
              <c:numCache>
                <c:formatCode>#,##0.0;\-#,##0.0</c:formatCode>
                <c:ptCount val="1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11.94</c:v>
                </c:pt>
                <c:pt idx="78">
                  <c:v>11.94</c:v>
                </c:pt>
                <c:pt idx="79">
                  <c:v>11.94</c:v>
                </c:pt>
                <c:pt idx="80">
                  <c:v>11.94</c:v>
                </c:pt>
                <c:pt idx="81">
                  <c:v>11.94</c:v>
                </c:pt>
                <c:pt idx="82">
                  <c:v>11.94</c:v>
                </c:pt>
                <c:pt idx="83">
                  <c:v>11.94</c:v>
                </c:pt>
                <c:pt idx="84">
                  <c:v>11.94</c:v>
                </c:pt>
                <c:pt idx="85">
                  <c:v>11.94</c:v>
                </c:pt>
                <c:pt idx="86">
                  <c:v>11.94</c:v>
                </c:pt>
                <c:pt idx="87">
                  <c:v>11.94</c:v>
                </c:pt>
                <c:pt idx="88">
                  <c:v>11.94</c:v>
                </c:pt>
                <c:pt idx="89">
                  <c:v>11.94</c:v>
                </c:pt>
                <c:pt idx="90">
                  <c:v>22.84</c:v>
                </c:pt>
                <c:pt idx="91">
                  <c:v>22.84</c:v>
                </c:pt>
                <c:pt idx="92">
                  <c:v>22.84</c:v>
                </c:pt>
                <c:pt idx="93">
                  <c:v>22.84</c:v>
                </c:pt>
                <c:pt idx="94">
                  <c:v>22.84</c:v>
                </c:pt>
                <c:pt idx="95">
                  <c:v>22.84</c:v>
                </c:pt>
                <c:pt idx="96">
                  <c:v>22.84</c:v>
                </c:pt>
                <c:pt idx="97">
                  <c:v>22.84</c:v>
                </c:pt>
                <c:pt idx="98">
                  <c:v>22.84</c:v>
                </c:pt>
                <c:pt idx="99">
                  <c:v>22.84</c:v>
                </c:pt>
                <c:pt idx="100">
                  <c:v>22.84</c:v>
                </c:pt>
                <c:pt idx="101">
                  <c:v>22.84</c:v>
                </c:pt>
                <c:pt idx="102">
                  <c:v>22.84</c:v>
                </c:pt>
                <c:pt idx="103">
                  <c:v>22.84</c:v>
                </c:pt>
                <c:pt idx="104">
                  <c:v>22.84</c:v>
                </c:pt>
                <c:pt idx="105">
                  <c:v>22.84</c:v>
                </c:pt>
                <c:pt idx="106">
                  <c:v>22.84</c:v>
                </c:pt>
                <c:pt idx="107">
                  <c:v>22.84</c:v>
                </c:pt>
                <c:pt idx="108">
                  <c:v>22.84</c:v>
                </c:pt>
                <c:pt idx="109">
                  <c:v>22.84</c:v>
                </c:pt>
                <c:pt idx="110">
                  <c:v>22.84</c:v>
                </c:pt>
                <c:pt idx="111">
                  <c:v>22.84</c:v>
                </c:pt>
                <c:pt idx="112">
                  <c:v>22.84</c:v>
                </c:pt>
                <c:pt idx="113">
                  <c:v>22.84</c:v>
                </c:pt>
                <c:pt idx="114">
                  <c:v>22.84</c:v>
                </c:pt>
                <c:pt idx="115">
                  <c:v>22.84</c:v>
                </c:pt>
                <c:pt idx="116">
                  <c:v>22.84</c:v>
                </c:pt>
                <c:pt idx="117">
                  <c:v>22.84</c:v>
                </c:pt>
                <c:pt idx="118">
                  <c:v>22.84</c:v>
                </c:pt>
                <c:pt idx="119">
                  <c:v>22.84</c:v>
                </c:pt>
                <c:pt idx="120">
                  <c:v>22.84</c:v>
                </c:pt>
                <c:pt idx="121">
                  <c:v>22.84</c:v>
                </c:pt>
                <c:pt idx="122">
                  <c:v>22.84</c:v>
                </c:pt>
                <c:pt idx="123">
                  <c:v>22.84</c:v>
                </c:pt>
                <c:pt idx="124">
                  <c:v>22.84</c:v>
                </c:pt>
                <c:pt idx="125">
                  <c:v>22.84</c:v>
                </c:pt>
                <c:pt idx="126">
                  <c:v>22.84</c:v>
                </c:pt>
                <c:pt idx="127">
                  <c:v>22.84</c:v>
                </c:pt>
                <c:pt idx="128">
                  <c:v>22.84</c:v>
                </c:pt>
                <c:pt idx="129">
                  <c:v>22.84</c:v>
                </c:pt>
                <c:pt idx="130">
                  <c:v>22.84</c:v>
                </c:pt>
                <c:pt idx="131">
                  <c:v>22.84</c:v>
                </c:pt>
                <c:pt idx="132">
                  <c:v>22.84</c:v>
                </c:pt>
                <c:pt idx="133">
                  <c:v>22.84</c:v>
                </c:pt>
                <c:pt idx="134">
                  <c:v>22.84</c:v>
                </c:pt>
                <c:pt idx="135">
                  <c:v>22.84</c:v>
                </c:pt>
                <c:pt idx="136">
                  <c:v>22.84</c:v>
                </c:pt>
                <c:pt idx="137">
                  <c:v>22.84</c:v>
                </c:pt>
                <c:pt idx="138">
                  <c:v>22.84</c:v>
                </c:pt>
                <c:pt idx="139">
                  <c:v>22.84</c:v>
                </c:pt>
                <c:pt idx="140">
                  <c:v>22.84</c:v>
                </c:pt>
                <c:pt idx="141">
                  <c:v>22.84</c:v>
                </c:pt>
                <c:pt idx="142">
                  <c:v>22.84</c:v>
                </c:pt>
                <c:pt idx="143">
                  <c:v>22.84</c:v>
                </c:pt>
                <c:pt idx="144">
                  <c:v>22.84</c:v>
                </c:pt>
                <c:pt idx="145">
                  <c:v>22.84</c:v>
                </c:pt>
                <c:pt idx="146">
                  <c:v>22.84</c:v>
                </c:pt>
                <c:pt idx="147">
                  <c:v>22.84</c:v>
                </c:pt>
                <c:pt idx="148">
                  <c:v>22.84</c:v>
                </c:pt>
                <c:pt idx="149">
                  <c:v>22.84</c:v>
                </c:pt>
                <c:pt idx="150">
                  <c:v>22.84</c:v>
                </c:pt>
                <c:pt idx="151">
                  <c:v>22.84</c:v>
                </c:pt>
                <c:pt idx="152">
                  <c:v>22.84</c:v>
                </c:pt>
                <c:pt idx="153">
                  <c:v>22.84</c:v>
                </c:pt>
                <c:pt idx="154">
                  <c:v>22.84</c:v>
                </c:pt>
                <c:pt idx="155">
                  <c:v>22.84</c:v>
                </c:pt>
                <c:pt idx="156">
                  <c:v>22.84</c:v>
                </c:pt>
                <c:pt idx="157">
                  <c:v>22.84</c:v>
                </c:pt>
                <c:pt idx="158">
                  <c:v>22.84</c:v>
                </c:pt>
                <c:pt idx="159">
                  <c:v>22.84</c:v>
                </c:pt>
                <c:pt idx="160">
                  <c:v>22.84</c:v>
                </c:pt>
                <c:pt idx="161">
                  <c:v>22.84</c:v>
                </c:pt>
                <c:pt idx="162">
                  <c:v>22.84</c:v>
                </c:pt>
                <c:pt idx="163">
                  <c:v>22.84</c:v>
                </c:pt>
                <c:pt idx="164">
                  <c:v>22.84</c:v>
                </c:pt>
                <c:pt idx="165">
                  <c:v>22.84</c:v>
                </c:pt>
                <c:pt idx="166">
                  <c:v>22.84</c:v>
                </c:pt>
                <c:pt idx="167">
                  <c:v>22.84</c:v>
                </c:pt>
                <c:pt idx="168">
                  <c:v>22.84</c:v>
                </c:pt>
                <c:pt idx="169">
                  <c:v>22.84</c:v>
                </c:pt>
                <c:pt idx="170">
                  <c:v>22.84</c:v>
                </c:pt>
                <c:pt idx="171">
                  <c:v>22.84</c:v>
                </c:pt>
                <c:pt idx="172">
                  <c:v>22.84</c:v>
                </c:pt>
                <c:pt idx="173">
                  <c:v>22.84</c:v>
                </c:pt>
                <c:pt idx="174">
                  <c:v>22.84</c:v>
                </c:pt>
                <c:pt idx="175">
                  <c:v>22.84</c:v>
                </c:pt>
                <c:pt idx="176">
                  <c:v>22.84</c:v>
                </c:pt>
                <c:pt idx="177">
                  <c:v>22.84</c:v>
                </c:pt>
                <c:pt idx="178">
                  <c:v>22.84</c:v>
                </c:pt>
                <c:pt idx="179">
                  <c:v>22.84</c:v>
                </c:pt>
                <c:pt idx="180">
                  <c:v>117.316</c:v>
                </c:pt>
                <c:pt idx="181">
                  <c:v>117.316</c:v>
                </c:pt>
                <c:pt idx="182">
                  <c:v>140.316</c:v>
                </c:pt>
                <c:pt idx="183">
                  <c:v>148.316</c:v>
                </c:pt>
                <c:pt idx="184">
                  <c:v>186.57</c:v>
                </c:pt>
                <c:pt idx="185">
                  <c:v>226.63</c:v>
                </c:pt>
                <c:pt idx="186">
                  <c:v>336.63</c:v>
                </c:pt>
                <c:pt idx="187">
                  <c:v>363.33</c:v>
                </c:pt>
                <c:pt idx="188">
                  <c:v>363.33</c:v>
                </c:pt>
                <c:pt idx="189">
                  <c:v>399.42</c:v>
                </c:pt>
                <c:pt idx="190">
                  <c:v>509.21</c:v>
                </c:pt>
                <c:pt idx="191">
                  <c:v>542.80999999999995</c:v>
                </c:pt>
                <c:pt idx="192">
                  <c:v>622.71</c:v>
                </c:pt>
                <c:pt idx="193">
                  <c:v>622.71</c:v>
                </c:pt>
                <c:pt idx="194">
                  <c:v>697.61</c:v>
                </c:pt>
                <c:pt idx="195">
                  <c:v>852.41</c:v>
                </c:pt>
                <c:pt idx="196">
                  <c:v>852.41</c:v>
                </c:pt>
                <c:pt idx="197">
                  <c:v>955.995</c:v>
                </c:pt>
              </c:numCache>
            </c:numRef>
          </c:val>
          <c:extLst>
            <c:ext xmlns:c16="http://schemas.microsoft.com/office/drawing/2014/chart" uri="{C3380CC4-5D6E-409C-BE32-E72D297353CC}">
              <c16:uniqueId val="{00000004-AE7A-4EFA-B5EA-7B3909378CF3}"/>
            </c:ext>
          </c:extLst>
        </c:ser>
        <c:ser>
          <c:idx val="5"/>
          <c:order val="5"/>
          <c:tx>
            <c:strRef>
              <c:f>Table_2_by_Accreditation!$A$25</c:f>
              <c:strCache>
                <c:ptCount val="1"/>
                <c:pt idx="0">
                  <c:v> Unaccredited (includes pre 2009 estimate) [note 6] </c:v>
                </c:pt>
              </c:strCache>
            </c:strRef>
          </c:tx>
          <c:spPr>
            <a:solidFill>
              <a:srgbClr val="A6CEE3"/>
            </a:solidFill>
            <a:ln>
              <a:noFill/>
            </a:ln>
          </c:spPr>
          <c:cat>
            <c:strRef>
              <c:f>Table_2_by_Accreditation!$B$5:$GQ$5</c:f>
              <c:strCache>
                <c:ptCount val="198"/>
                <c:pt idx="0">
                  <c:v>Jan 
2010</c:v>
                </c:pt>
                <c:pt idx="1">
                  <c:v>Feb 
2010</c:v>
                </c:pt>
                <c:pt idx="2">
                  <c:v>Mar 
2010</c:v>
                </c:pt>
                <c:pt idx="3">
                  <c:v>Apr 
2010</c:v>
                </c:pt>
                <c:pt idx="4">
                  <c:v>May 
2010</c:v>
                </c:pt>
                <c:pt idx="5">
                  <c:v>Jun 
2010</c:v>
                </c:pt>
                <c:pt idx="6">
                  <c:v>Jul 
2010</c:v>
                </c:pt>
                <c:pt idx="7">
                  <c:v>Aug 
2010</c:v>
                </c:pt>
                <c:pt idx="8">
                  <c:v>Sep 
2010</c:v>
                </c:pt>
                <c:pt idx="9">
                  <c:v>Oct 
2010</c:v>
                </c:pt>
                <c:pt idx="10">
                  <c:v>Nov 
2010</c:v>
                </c:pt>
                <c:pt idx="11">
                  <c:v>Dec 
2010</c:v>
                </c:pt>
                <c:pt idx="12">
                  <c:v>Jan 
2011</c:v>
                </c:pt>
                <c:pt idx="13">
                  <c:v>Feb 
2011</c:v>
                </c:pt>
                <c:pt idx="14">
                  <c:v>Mar 
2011</c:v>
                </c:pt>
                <c:pt idx="15">
                  <c:v>Apr 
2011</c:v>
                </c:pt>
                <c:pt idx="16">
                  <c:v>May 
2011</c:v>
                </c:pt>
                <c:pt idx="17">
                  <c:v>Jun 
2011</c:v>
                </c:pt>
                <c:pt idx="18">
                  <c:v>Jul 
2011</c:v>
                </c:pt>
                <c:pt idx="19">
                  <c:v>Aug 
2011</c:v>
                </c:pt>
                <c:pt idx="20">
                  <c:v>Sep 
2011</c:v>
                </c:pt>
                <c:pt idx="21">
                  <c:v>Oct 
2011</c:v>
                </c:pt>
                <c:pt idx="22">
                  <c:v>Nov 
2011</c:v>
                </c:pt>
                <c:pt idx="23">
                  <c:v>Dec 
2011</c:v>
                </c:pt>
                <c:pt idx="24">
                  <c:v>Jan 
2012</c:v>
                </c:pt>
                <c:pt idx="25">
                  <c:v>Feb 
2012</c:v>
                </c:pt>
                <c:pt idx="26">
                  <c:v>Mar 
2012</c:v>
                </c:pt>
                <c:pt idx="27">
                  <c:v>Apr 
2012</c:v>
                </c:pt>
                <c:pt idx="28">
                  <c:v>May 
2012</c:v>
                </c:pt>
                <c:pt idx="29">
                  <c:v>Jun 
2012</c:v>
                </c:pt>
                <c:pt idx="30">
                  <c:v>Jul 
2012</c:v>
                </c:pt>
                <c:pt idx="31">
                  <c:v>Aug 
2012</c:v>
                </c:pt>
                <c:pt idx="32">
                  <c:v>Sep 
2012</c:v>
                </c:pt>
                <c:pt idx="33">
                  <c:v>Oct 
2012</c:v>
                </c:pt>
                <c:pt idx="34">
                  <c:v>Nov 
2012</c:v>
                </c:pt>
                <c:pt idx="35">
                  <c:v>Dec 
2012</c:v>
                </c:pt>
                <c:pt idx="36">
                  <c:v>Jan 
2013</c:v>
                </c:pt>
                <c:pt idx="37">
                  <c:v>Feb 
2013</c:v>
                </c:pt>
                <c:pt idx="38">
                  <c:v>Mar 
2013</c:v>
                </c:pt>
                <c:pt idx="39">
                  <c:v>Apr 
2013</c:v>
                </c:pt>
                <c:pt idx="40">
                  <c:v>May 
2013</c:v>
                </c:pt>
                <c:pt idx="41">
                  <c:v>Jun 
2013</c:v>
                </c:pt>
                <c:pt idx="42">
                  <c:v>Jul 
2013</c:v>
                </c:pt>
                <c:pt idx="43">
                  <c:v>Aug 
2013</c:v>
                </c:pt>
                <c:pt idx="44">
                  <c:v>Sep 
2013</c:v>
                </c:pt>
                <c:pt idx="45">
                  <c:v>Oct 
2013</c:v>
                </c:pt>
                <c:pt idx="46">
                  <c:v> Nov 
2013</c:v>
                </c:pt>
                <c:pt idx="47">
                  <c:v>Dec 
2013</c:v>
                </c:pt>
                <c:pt idx="48">
                  <c:v>Jan 
2014</c:v>
                </c:pt>
                <c:pt idx="49">
                  <c:v>Feb 
2014</c:v>
                </c:pt>
                <c:pt idx="50">
                  <c:v>Mar 
2014</c:v>
                </c:pt>
                <c:pt idx="51">
                  <c:v>Apr 
2014</c:v>
                </c:pt>
                <c:pt idx="52">
                  <c:v>May 
2014</c:v>
                </c:pt>
                <c:pt idx="53">
                  <c:v>Jun 
2014</c:v>
                </c:pt>
                <c:pt idx="54">
                  <c:v>Jul 
2014</c:v>
                </c:pt>
                <c:pt idx="55">
                  <c:v>Aug 
2014</c:v>
                </c:pt>
                <c:pt idx="56">
                  <c:v>Sep 
2014</c:v>
                </c:pt>
                <c:pt idx="57">
                  <c:v>Oct 
2014</c:v>
                </c:pt>
                <c:pt idx="58">
                  <c:v>Nov 
2014</c:v>
                </c:pt>
                <c:pt idx="59">
                  <c:v>Dec 
2014</c:v>
                </c:pt>
                <c:pt idx="60">
                  <c:v>Jan 
2015</c:v>
                </c:pt>
                <c:pt idx="61">
                  <c:v>Feb 
2015</c:v>
                </c:pt>
                <c:pt idx="62">
                  <c:v>Mar 
2015</c:v>
                </c:pt>
                <c:pt idx="63">
                  <c:v>Apr 
2015</c:v>
                </c:pt>
                <c:pt idx="64">
                  <c:v>May 
2015</c:v>
                </c:pt>
                <c:pt idx="65">
                  <c:v>Jun 
2015</c:v>
                </c:pt>
                <c:pt idx="66">
                  <c:v>Jul 
2015</c:v>
                </c:pt>
                <c:pt idx="67">
                  <c:v>Aug 
2015</c:v>
                </c:pt>
                <c:pt idx="68">
                  <c:v>Sep 
2015</c:v>
                </c:pt>
                <c:pt idx="69">
                  <c:v>Oct 
2015</c:v>
                </c:pt>
                <c:pt idx="70">
                  <c:v>Nov 
2015</c:v>
                </c:pt>
                <c:pt idx="71">
                  <c:v>Dec 
2015</c:v>
                </c:pt>
                <c:pt idx="72">
                  <c:v>Jan 
2016</c:v>
                </c:pt>
                <c:pt idx="73">
                  <c:v>Feb 
2016</c:v>
                </c:pt>
                <c:pt idx="74">
                  <c:v>Mar 
2016</c:v>
                </c:pt>
                <c:pt idx="75">
                  <c:v>Apr 
2016</c:v>
                </c:pt>
                <c:pt idx="76">
                  <c:v>May 
2016</c:v>
                </c:pt>
                <c:pt idx="77">
                  <c:v>Jun 
2016</c:v>
                </c:pt>
                <c:pt idx="78">
                  <c:v>Jul 
2016</c:v>
                </c:pt>
                <c:pt idx="79">
                  <c:v>Aug 
2016</c:v>
                </c:pt>
                <c:pt idx="80">
                  <c:v>Sep 
2016</c:v>
                </c:pt>
                <c:pt idx="81">
                  <c:v>Oct 
2016</c:v>
                </c:pt>
                <c:pt idx="82">
                  <c:v>Nov 
2016</c:v>
                </c:pt>
                <c:pt idx="83">
                  <c:v>Dec 
2016</c:v>
                </c:pt>
                <c:pt idx="84">
                  <c:v>Jan 
2017</c:v>
                </c:pt>
                <c:pt idx="85">
                  <c:v>Feb 
2017</c:v>
                </c:pt>
                <c:pt idx="86">
                  <c:v>Mar 
2017</c:v>
                </c:pt>
                <c:pt idx="87">
                  <c:v>Apr 
2017</c:v>
                </c:pt>
                <c:pt idx="88">
                  <c:v>May 
2017</c:v>
                </c:pt>
                <c:pt idx="89">
                  <c:v>Jun 
2017</c:v>
                </c:pt>
                <c:pt idx="90">
                  <c:v>Jul 
2017</c:v>
                </c:pt>
                <c:pt idx="91">
                  <c:v>Aug 
2017</c:v>
                </c:pt>
                <c:pt idx="92">
                  <c:v>Sep 
2017</c:v>
                </c:pt>
                <c:pt idx="93">
                  <c:v>Oct 
2017</c:v>
                </c:pt>
                <c:pt idx="94">
                  <c:v>Nov 
2017</c:v>
                </c:pt>
                <c:pt idx="95">
                  <c:v>Dec 
2017</c:v>
                </c:pt>
                <c:pt idx="96">
                  <c:v>Jan 
2018</c:v>
                </c:pt>
                <c:pt idx="97">
                  <c:v>Feb 
2018</c:v>
                </c:pt>
                <c:pt idx="98">
                  <c:v>Mar 
2018</c:v>
                </c:pt>
                <c:pt idx="99">
                  <c:v>Apr 
2018</c:v>
                </c:pt>
                <c:pt idx="100">
                  <c:v>May 
2018</c:v>
                </c:pt>
                <c:pt idx="101">
                  <c:v>Jun 
2018</c:v>
                </c:pt>
                <c:pt idx="102">
                  <c:v>Jul 
2018</c:v>
                </c:pt>
                <c:pt idx="103">
                  <c:v>Aug 
2018</c:v>
                </c:pt>
                <c:pt idx="104">
                  <c:v>Sep 
2018</c:v>
                </c:pt>
                <c:pt idx="105">
                  <c:v>Oct 
2018</c:v>
                </c:pt>
                <c:pt idx="106">
                  <c:v>Nov 
2018</c:v>
                </c:pt>
                <c:pt idx="107">
                  <c:v>Dec 
2018</c:v>
                </c:pt>
                <c:pt idx="108">
                  <c:v>Jan 
2019</c:v>
                </c:pt>
                <c:pt idx="109">
                  <c:v>Feb 
2019</c:v>
                </c:pt>
                <c:pt idx="110">
                  <c:v>Mar 
2019</c:v>
                </c:pt>
                <c:pt idx="111">
                  <c:v>Apr 
2019</c:v>
                </c:pt>
                <c:pt idx="112">
                  <c:v>May 
2019</c:v>
                </c:pt>
                <c:pt idx="113">
                  <c:v>Jun 
2019</c:v>
                </c:pt>
                <c:pt idx="114">
                  <c:v>Jul 
2019</c:v>
                </c:pt>
                <c:pt idx="115">
                  <c:v>Aug 
2019</c:v>
                </c:pt>
                <c:pt idx="116">
                  <c:v>Sep 
2019</c:v>
                </c:pt>
                <c:pt idx="117">
                  <c:v>Oct 
2019</c:v>
                </c:pt>
                <c:pt idx="118">
                  <c:v>Nov 
2019</c:v>
                </c:pt>
                <c:pt idx="119">
                  <c:v>Dec 
2019</c:v>
                </c:pt>
                <c:pt idx="120">
                  <c:v>Jan 
2020</c:v>
                </c:pt>
                <c:pt idx="121">
                  <c:v>Feb 
2020</c:v>
                </c:pt>
                <c:pt idx="122">
                  <c:v>Mar 
2020</c:v>
                </c:pt>
                <c:pt idx="123">
                  <c:v>Apr 
2020</c:v>
                </c:pt>
                <c:pt idx="124">
                  <c:v>May 
2020</c:v>
                </c:pt>
                <c:pt idx="125">
                  <c:v>Jun 
2020</c:v>
                </c:pt>
                <c:pt idx="126">
                  <c:v>Jul 
2020</c:v>
                </c:pt>
                <c:pt idx="127">
                  <c:v>Aug 
2020</c:v>
                </c:pt>
                <c:pt idx="128">
                  <c:v>Sep  
2020</c:v>
                </c:pt>
                <c:pt idx="129">
                  <c:v>Oct 
2020</c:v>
                </c:pt>
                <c:pt idx="130">
                  <c:v>Nov 
2020</c:v>
                </c:pt>
                <c:pt idx="131">
                  <c:v>Dec 
2020</c:v>
                </c:pt>
                <c:pt idx="132">
                  <c:v>Jan 
2021</c:v>
                </c:pt>
                <c:pt idx="133">
                  <c:v>Feb 
2021</c:v>
                </c:pt>
                <c:pt idx="134">
                  <c:v>Mar 
2021</c:v>
                </c:pt>
                <c:pt idx="135">
                  <c:v>Apr 
2021</c:v>
                </c:pt>
                <c:pt idx="136">
                  <c:v>May 
2021</c:v>
                </c:pt>
                <c:pt idx="137">
                  <c:v>Jun 
2021</c:v>
                </c:pt>
                <c:pt idx="138">
                  <c:v>Jul
2021</c:v>
                </c:pt>
                <c:pt idx="139">
                  <c:v>Aug 
2021</c:v>
                </c:pt>
                <c:pt idx="140">
                  <c:v>Sep
2021</c:v>
                </c:pt>
                <c:pt idx="141">
                  <c:v>Oct
2021</c:v>
                </c:pt>
                <c:pt idx="142">
                  <c:v>Nov
2021</c:v>
                </c:pt>
                <c:pt idx="143">
                  <c:v>Dec
2021</c:v>
                </c:pt>
                <c:pt idx="144">
                  <c:v>Jan
2022</c:v>
                </c:pt>
                <c:pt idx="145">
                  <c:v>Feb
2022</c:v>
                </c:pt>
                <c:pt idx="146">
                  <c:v>Mar
2022</c:v>
                </c:pt>
                <c:pt idx="147">
                  <c:v>Apr
2022</c:v>
                </c:pt>
                <c:pt idx="148">
                  <c:v>May
2022</c:v>
                </c:pt>
                <c:pt idx="149">
                  <c:v>Jun
2022</c:v>
                </c:pt>
                <c:pt idx="150">
                  <c:v>Jul
2022</c:v>
                </c:pt>
                <c:pt idx="151">
                  <c:v>Aug 
2022</c:v>
                </c:pt>
                <c:pt idx="152">
                  <c:v>Sep
2022</c:v>
                </c:pt>
                <c:pt idx="153">
                  <c:v>Oct
2022</c:v>
                </c:pt>
                <c:pt idx="154">
                  <c:v>Nov
2022</c:v>
                </c:pt>
                <c:pt idx="155">
                  <c:v>Dec
2022</c:v>
                </c:pt>
                <c:pt idx="156">
                  <c:v>Jan
2023</c:v>
                </c:pt>
                <c:pt idx="157">
                  <c:v>Feb
2023</c:v>
                </c:pt>
                <c:pt idx="158">
                  <c:v>Mar
2023</c:v>
                </c:pt>
                <c:pt idx="159">
                  <c:v>Apr
2023</c:v>
                </c:pt>
                <c:pt idx="160">
                  <c:v>May
2023</c:v>
                </c:pt>
                <c:pt idx="161">
                  <c:v>Jun
2023</c:v>
                </c:pt>
                <c:pt idx="162">
                  <c:v>Jul
2023</c:v>
                </c:pt>
                <c:pt idx="163">
                  <c:v>Aug
2023</c:v>
                </c:pt>
                <c:pt idx="164">
                  <c:v>Sep
2023</c:v>
                </c:pt>
                <c:pt idx="165">
                  <c:v>Oct
2023</c:v>
                </c:pt>
                <c:pt idx="166">
                  <c:v>Nov
2023</c:v>
                </c:pt>
                <c:pt idx="167">
                  <c:v>Dec
2023</c:v>
                </c:pt>
                <c:pt idx="168">
                  <c:v>Jan
2024</c:v>
                </c:pt>
                <c:pt idx="169">
                  <c:v>Feb
2024</c:v>
                </c:pt>
                <c:pt idx="170">
                  <c:v>Mar
2024</c:v>
                </c:pt>
                <c:pt idx="171">
                  <c:v>Apr
2024</c:v>
                </c:pt>
                <c:pt idx="172">
                  <c:v>May
2024</c:v>
                </c:pt>
                <c:pt idx="173">
                  <c:v>Jun
2024</c:v>
                </c:pt>
                <c:pt idx="174">
                  <c:v>Jul
2024</c:v>
                </c:pt>
                <c:pt idx="175">
                  <c:v>Aug
2024</c:v>
                </c:pt>
                <c:pt idx="176">
                  <c:v>Sep
2024</c:v>
                </c:pt>
                <c:pt idx="177">
                  <c:v>Oct
2024</c:v>
                </c:pt>
                <c:pt idx="178">
                  <c:v>Nov
2024</c:v>
                </c:pt>
                <c:pt idx="179">
                  <c:v>Dec
2024</c:v>
                </c:pt>
                <c:pt idx="180">
                  <c:v>Jan
2025</c:v>
                </c:pt>
                <c:pt idx="181">
                  <c:v>Feb
2025</c:v>
                </c:pt>
                <c:pt idx="182">
                  <c:v>Mar
2025</c:v>
                </c:pt>
                <c:pt idx="183">
                  <c:v>Apr
2025</c:v>
                </c:pt>
                <c:pt idx="184">
                  <c:v>May
2025</c:v>
                </c:pt>
                <c:pt idx="185">
                  <c:v>Jun
2025</c:v>
                </c:pt>
                <c:pt idx="186">
                  <c:v>Jul
2025</c:v>
                </c:pt>
                <c:pt idx="187">
                  <c:v>Aug
2025</c:v>
                </c:pt>
                <c:pt idx="188">
                  <c:v>Sep
2025</c:v>
                </c:pt>
                <c:pt idx="189">
                  <c:v>Oct
2025</c:v>
                </c:pt>
                <c:pt idx="190">
                  <c:v>Nov
2025</c:v>
                </c:pt>
                <c:pt idx="191">
                  <c:v>Dec
2025</c:v>
                </c:pt>
                <c:pt idx="192">
                  <c:v>Jan
2026</c:v>
                </c:pt>
                <c:pt idx="193">
                  <c:v>Feb
2026</c:v>
                </c:pt>
                <c:pt idx="194">
                  <c:v>Mar
2026</c:v>
                </c:pt>
                <c:pt idx="195">
                  <c:v>Apr
2026</c:v>
                </c:pt>
                <c:pt idx="196">
                  <c:v>May
2026</c:v>
                </c:pt>
                <c:pt idx="197">
                  <c:v>Jun
2026</c:v>
                </c:pt>
              </c:strCache>
            </c:strRef>
          </c:cat>
          <c:val>
            <c:numRef>
              <c:f>Table_2_by_Accreditation!$B$25:$GQ$25</c:f>
              <c:numCache>
                <c:formatCode>#,##0.0;\-#,##0.0</c:formatCode>
                <c:ptCount val="198"/>
                <c:pt idx="0">
                  <c:v>15.071999999999999</c:v>
                </c:pt>
                <c:pt idx="1">
                  <c:v>15.476000000000001</c:v>
                </c:pt>
                <c:pt idx="2">
                  <c:v>16.007000000000001</c:v>
                </c:pt>
                <c:pt idx="3">
                  <c:v>16.431999999999999</c:v>
                </c:pt>
                <c:pt idx="4">
                  <c:v>17.074000000000002</c:v>
                </c:pt>
                <c:pt idx="5">
                  <c:v>17.507000000000001</c:v>
                </c:pt>
                <c:pt idx="6">
                  <c:v>18.298999999999999</c:v>
                </c:pt>
                <c:pt idx="7">
                  <c:v>18.803000000000001</c:v>
                </c:pt>
                <c:pt idx="8">
                  <c:v>19.433</c:v>
                </c:pt>
                <c:pt idx="9">
                  <c:v>20.302</c:v>
                </c:pt>
                <c:pt idx="10">
                  <c:v>21.239000000000001</c:v>
                </c:pt>
                <c:pt idx="11">
                  <c:v>21.815999999999999</c:v>
                </c:pt>
                <c:pt idx="12">
                  <c:v>22.87</c:v>
                </c:pt>
                <c:pt idx="13">
                  <c:v>23.943000000000001</c:v>
                </c:pt>
                <c:pt idx="14">
                  <c:v>25.196999999999999</c:v>
                </c:pt>
                <c:pt idx="15">
                  <c:v>26.138000000000002</c:v>
                </c:pt>
                <c:pt idx="16">
                  <c:v>27.175999999999998</c:v>
                </c:pt>
                <c:pt idx="17">
                  <c:v>28.312999999999999</c:v>
                </c:pt>
                <c:pt idx="18">
                  <c:v>29.706</c:v>
                </c:pt>
                <c:pt idx="19">
                  <c:v>31.353000000000002</c:v>
                </c:pt>
                <c:pt idx="20">
                  <c:v>33.35</c:v>
                </c:pt>
                <c:pt idx="21">
                  <c:v>35.820999999999998</c:v>
                </c:pt>
                <c:pt idx="22">
                  <c:v>42.389000000000003</c:v>
                </c:pt>
                <c:pt idx="23">
                  <c:v>51.841000000000001</c:v>
                </c:pt>
                <c:pt idx="24">
                  <c:v>58.978999999999999</c:v>
                </c:pt>
                <c:pt idx="25">
                  <c:v>65.346999999999994</c:v>
                </c:pt>
                <c:pt idx="26">
                  <c:v>70.861999999999995</c:v>
                </c:pt>
                <c:pt idx="27">
                  <c:v>72.394999999999996</c:v>
                </c:pt>
                <c:pt idx="28">
                  <c:v>74.352000000000004</c:v>
                </c:pt>
                <c:pt idx="29">
                  <c:v>76.647999999999996</c:v>
                </c:pt>
                <c:pt idx="30">
                  <c:v>82.715999999999994</c:v>
                </c:pt>
                <c:pt idx="31">
                  <c:v>84.037000000000006</c:v>
                </c:pt>
                <c:pt idx="32">
                  <c:v>85.388999999999996</c:v>
                </c:pt>
                <c:pt idx="33">
                  <c:v>87.492999999999995</c:v>
                </c:pt>
                <c:pt idx="34">
                  <c:v>89.197999999999993</c:v>
                </c:pt>
                <c:pt idx="35">
                  <c:v>90.876999999999995</c:v>
                </c:pt>
                <c:pt idx="36">
                  <c:v>93.16</c:v>
                </c:pt>
                <c:pt idx="37">
                  <c:v>95.070999999999998</c:v>
                </c:pt>
                <c:pt idx="38">
                  <c:v>97.838999999999999</c:v>
                </c:pt>
                <c:pt idx="39">
                  <c:v>100.405</c:v>
                </c:pt>
                <c:pt idx="40">
                  <c:v>102.40600000000001</c:v>
                </c:pt>
                <c:pt idx="41">
                  <c:v>105.084</c:v>
                </c:pt>
                <c:pt idx="42">
                  <c:v>106.914</c:v>
                </c:pt>
                <c:pt idx="43">
                  <c:v>108.92400000000001</c:v>
                </c:pt>
                <c:pt idx="44">
                  <c:v>111.473</c:v>
                </c:pt>
                <c:pt idx="45">
                  <c:v>114.048</c:v>
                </c:pt>
                <c:pt idx="46">
                  <c:v>117.292</c:v>
                </c:pt>
                <c:pt idx="47">
                  <c:v>131.38300000000001</c:v>
                </c:pt>
                <c:pt idx="48">
                  <c:v>133.55799999999999</c:v>
                </c:pt>
                <c:pt idx="49">
                  <c:v>135.80699999999999</c:v>
                </c:pt>
                <c:pt idx="50">
                  <c:v>170.79</c:v>
                </c:pt>
                <c:pt idx="51">
                  <c:v>205.14500000000001</c:v>
                </c:pt>
                <c:pt idx="52">
                  <c:v>207.834</c:v>
                </c:pt>
                <c:pt idx="53">
                  <c:v>210.91499999999999</c:v>
                </c:pt>
                <c:pt idx="54">
                  <c:v>214.00399999999999</c:v>
                </c:pt>
                <c:pt idx="55">
                  <c:v>217.322</c:v>
                </c:pt>
                <c:pt idx="56">
                  <c:v>221.49700000000001</c:v>
                </c:pt>
                <c:pt idx="57">
                  <c:v>225.375</c:v>
                </c:pt>
                <c:pt idx="58">
                  <c:v>234.89400000000001</c:v>
                </c:pt>
                <c:pt idx="59">
                  <c:v>238.16300000000001</c:v>
                </c:pt>
                <c:pt idx="60">
                  <c:v>264.81</c:v>
                </c:pt>
                <c:pt idx="61">
                  <c:v>274.161</c:v>
                </c:pt>
                <c:pt idx="62">
                  <c:v>296.77800000000002</c:v>
                </c:pt>
                <c:pt idx="63">
                  <c:v>300.387</c:v>
                </c:pt>
                <c:pt idx="64">
                  <c:v>307.14100000000002</c:v>
                </c:pt>
                <c:pt idx="65">
                  <c:v>317.834</c:v>
                </c:pt>
                <c:pt idx="66">
                  <c:v>322.697</c:v>
                </c:pt>
                <c:pt idx="67">
                  <c:v>343.99</c:v>
                </c:pt>
                <c:pt idx="68">
                  <c:v>349.86900000000003</c:v>
                </c:pt>
                <c:pt idx="69">
                  <c:v>356.33699999999999</c:v>
                </c:pt>
                <c:pt idx="70">
                  <c:v>382.42200000000003</c:v>
                </c:pt>
                <c:pt idx="71">
                  <c:v>459.34500000000003</c:v>
                </c:pt>
                <c:pt idx="72">
                  <c:v>490.82100000000003</c:v>
                </c:pt>
                <c:pt idx="73">
                  <c:v>493.60300000000001</c:v>
                </c:pt>
                <c:pt idx="74">
                  <c:v>522.851</c:v>
                </c:pt>
                <c:pt idx="75">
                  <c:v>536.71900000000005</c:v>
                </c:pt>
                <c:pt idx="76">
                  <c:v>539.38499999999999</c:v>
                </c:pt>
                <c:pt idx="77">
                  <c:v>583.39499999999998</c:v>
                </c:pt>
                <c:pt idx="78">
                  <c:v>601.74599999999998</c:v>
                </c:pt>
                <c:pt idx="79">
                  <c:v>624.22500000000002</c:v>
                </c:pt>
                <c:pt idx="80">
                  <c:v>628.58100000000002</c:v>
                </c:pt>
                <c:pt idx="81">
                  <c:v>632.72700000000009</c:v>
                </c:pt>
                <c:pt idx="82">
                  <c:v>637.13100000000009</c:v>
                </c:pt>
                <c:pt idx="83">
                  <c:v>646.13200000000006</c:v>
                </c:pt>
                <c:pt idx="84">
                  <c:v>661.53899999999999</c:v>
                </c:pt>
                <c:pt idx="85">
                  <c:v>665.02800000000002</c:v>
                </c:pt>
                <c:pt idx="86">
                  <c:v>725.28800000000001</c:v>
                </c:pt>
                <c:pt idx="87">
                  <c:v>728.495</c:v>
                </c:pt>
                <c:pt idx="88">
                  <c:v>732.0630000000001</c:v>
                </c:pt>
                <c:pt idx="89">
                  <c:v>737.202</c:v>
                </c:pt>
                <c:pt idx="90">
                  <c:v>738.74599999999998</c:v>
                </c:pt>
                <c:pt idx="91">
                  <c:v>742.34499999999991</c:v>
                </c:pt>
                <c:pt idx="92">
                  <c:v>746.38299999999992</c:v>
                </c:pt>
                <c:pt idx="93">
                  <c:v>761.875</c:v>
                </c:pt>
                <c:pt idx="94">
                  <c:v>766.64799999999991</c:v>
                </c:pt>
                <c:pt idx="95">
                  <c:v>776.12099999999998</c:v>
                </c:pt>
                <c:pt idx="96">
                  <c:v>780.6339999999999</c:v>
                </c:pt>
                <c:pt idx="97">
                  <c:v>784.399</c:v>
                </c:pt>
                <c:pt idx="98">
                  <c:v>789.01</c:v>
                </c:pt>
                <c:pt idx="99">
                  <c:v>793.04</c:v>
                </c:pt>
                <c:pt idx="100">
                  <c:v>805.40199999999993</c:v>
                </c:pt>
                <c:pt idx="101">
                  <c:v>809.93499999999995</c:v>
                </c:pt>
                <c:pt idx="102">
                  <c:v>814.00099999999998</c:v>
                </c:pt>
                <c:pt idx="103">
                  <c:v>819.32899999999995</c:v>
                </c:pt>
                <c:pt idx="104">
                  <c:v>823.4799999999999</c:v>
                </c:pt>
                <c:pt idx="105">
                  <c:v>837.52599999999995</c:v>
                </c:pt>
                <c:pt idx="106">
                  <c:v>849.53099999999995</c:v>
                </c:pt>
                <c:pt idx="107">
                  <c:v>860.11299999999994</c:v>
                </c:pt>
                <c:pt idx="108">
                  <c:v>867.06099999999992</c:v>
                </c:pt>
                <c:pt idx="109">
                  <c:v>874.53199999999993</c:v>
                </c:pt>
                <c:pt idx="110">
                  <c:v>898.49899999999991</c:v>
                </c:pt>
                <c:pt idx="111">
                  <c:v>912.64299999999992</c:v>
                </c:pt>
                <c:pt idx="112">
                  <c:v>919.54199999999992</c:v>
                </c:pt>
                <c:pt idx="113">
                  <c:v>928.09899999999993</c:v>
                </c:pt>
                <c:pt idx="114">
                  <c:v>945.42199999999991</c:v>
                </c:pt>
                <c:pt idx="115">
                  <c:v>959.99</c:v>
                </c:pt>
                <c:pt idx="116">
                  <c:v>983.69899999999996</c:v>
                </c:pt>
                <c:pt idx="117">
                  <c:v>996.56599999999992</c:v>
                </c:pt>
                <c:pt idx="118">
                  <c:v>1008.9799999999999</c:v>
                </c:pt>
                <c:pt idx="119">
                  <c:v>1053.328</c:v>
                </c:pt>
                <c:pt idx="120">
                  <c:v>1135.2659999999998</c:v>
                </c:pt>
                <c:pt idx="121">
                  <c:v>1151.472</c:v>
                </c:pt>
                <c:pt idx="122">
                  <c:v>1165.414</c:v>
                </c:pt>
                <c:pt idx="123">
                  <c:v>1170.4449999999999</c:v>
                </c:pt>
                <c:pt idx="124">
                  <c:v>1184.4449999999999</c:v>
                </c:pt>
                <c:pt idx="125">
                  <c:v>1194.8419999999999</c:v>
                </c:pt>
                <c:pt idx="126">
                  <c:v>1213.961</c:v>
                </c:pt>
                <c:pt idx="127">
                  <c:v>1231.0639999999999</c:v>
                </c:pt>
                <c:pt idx="128">
                  <c:v>1246.78</c:v>
                </c:pt>
                <c:pt idx="129">
                  <c:v>1265.72</c:v>
                </c:pt>
                <c:pt idx="130">
                  <c:v>1283.808</c:v>
                </c:pt>
                <c:pt idx="131">
                  <c:v>1360.915</c:v>
                </c:pt>
                <c:pt idx="132">
                  <c:v>1382.741</c:v>
                </c:pt>
                <c:pt idx="133">
                  <c:v>1398.1849999999999</c:v>
                </c:pt>
                <c:pt idx="134">
                  <c:v>1533.037</c:v>
                </c:pt>
                <c:pt idx="135">
                  <c:v>1601.576</c:v>
                </c:pt>
                <c:pt idx="136">
                  <c:v>1628.44</c:v>
                </c:pt>
                <c:pt idx="137">
                  <c:v>1663.229</c:v>
                </c:pt>
                <c:pt idx="138">
                  <c:v>1689.1209999999999</c:v>
                </c:pt>
                <c:pt idx="139">
                  <c:v>1710.8719999999998</c:v>
                </c:pt>
                <c:pt idx="140">
                  <c:v>1741.902</c:v>
                </c:pt>
                <c:pt idx="141">
                  <c:v>1768.287</c:v>
                </c:pt>
                <c:pt idx="142">
                  <c:v>1799.5809999999999</c:v>
                </c:pt>
                <c:pt idx="143">
                  <c:v>1823.575</c:v>
                </c:pt>
                <c:pt idx="144">
                  <c:v>1911.6089999999999</c:v>
                </c:pt>
                <c:pt idx="145">
                  <c:v>1944.973</c:v>
                </c:pt>
                <c:pt idx="146">
                  <c:v>1998.3429999999998</c:v>
                </c:pt>
                <c:pt idx="147">
                  <c:v>2046.114</c:v>
                </c:pt>
                <c:pt idx="148">
                  <c:v>2106.8690000000001</c:v>
                </c:pt>
                <c:pt idx="149">
                  <c:v>2158.6000000000004</c:v>
                </c:pt>
                <c:pt idx="150">
                  <c:v>2230.3920000000003</c:v>
                </c:pt>
                <c:pt idx="151">
                  <c:v>2286.8160000000003</c:v>
                </c:pt>
                <c:pt idx="152">
                  <c:v>2372.3760000000002</c:v>
                </c:pt>
                <c:pt idx="153">
                  <c:v>2486.9960000000001</c:v>
                </c:pt>
                <c:pt idx="154">
                  <c:v>2567.7170000000001</c:v>
                </c:pt>
                <c:pt idx="155">
                  <c:v>2691.415</c:v>
                </c:pt>
                <c:pt idx="156">
                  <c:v>3117.71</c:v>
                </c:pt>
                <c:pt idx="157">
                  <c:v>3483.0810000000001</c:v>
                </c:pt>
                <c:pt idx="158">
                  <c:v>4022.7940000000003</c:v>
                </c:pt>
                <c:pt idx="159">
                  <c:v>4112.1660000000002</c:v>
                </c:pt>
                <c:pt idx="160">
                  <c:v>4280.4539999999997</c:v>
                </c:pt>
                <c:pt idx="161">
                  <c:v>4433.1820000000007</c:v>
                </c:pt>
                <c:pt idx="162">
                  <c:v>4521.3250000000007</c:v>
                </c:pt>
                <c:pt idx="163">
                  <c:v>4608.9130000000005</c:v>
                </c:pt>
                <c:pt idx="164">
                  <c:v>4796.3980000000001</c:v>
                </c:pt>
                <c:pt idx="165">
                  <c:v>4923.8040000000001</c:v>
                </c:pt>
                <c:pt idx="166">
                  <c:v>5047.835</c:v>
                </c:pt>
                <c:pt idx="167">
                  <c:v>5102.6899999999996</c:v>
                </c:pt>
                <c:pt idx="168">
                  <c:v>5235.0999999999995</c:v>
                </c:pt>
                <c:pt idx="169">
                  <c:v>5333.95</c:v>
                </c:pt>
                <c:pt idx="170">
                  <c:v>5567.5700000000006</c:v>
                </c:pt>
                <c:pt idx="171">
                  <c:v>5695.9160000000002</c:v>
                </c:pt>
                <c:pt idx="172">
                  <c:v>5830.7129999999997</c:v>
                </c:pt>
                <c:pt idx="173">
                  <c:v>5999.2190000000001</c:v>
                </c:pt>
                <c:pt idx="174">
                  <c:v>6143.5510000000004</c:v>
                </c:pt>
                <c:pt idx="175">
                  <c:v>6252.7449999999999</c:v>
                </c:pt>
                <c:pt idx="176">
                  <c:v>6333.5889999999999</c:v>
                </c:pt>
                <c:pt idx="177">
                  <c:v>6676.2699999999995</c:v>
                </c:pt>
                <c:pt idx="178">
                  <c:v>6817.8109999999997</c:v>
                </c:pt>
                <c:pt idx="179">
                  <c:v>6924.2190000000001</c:v>
                </c:pt>
                <c:pt idx="180">
                  <c:v>7024.5079999999998</c:v>
                </c:pt>
                <c:pt idx="181">
                  <c:v>7127.7020000000002</c:v>
                </c:pt>
                <c:pt idx="182">
                  <c:v>7459.4519999999993</c:v>
                </c:pt>
                <c:pt idx="183">
                  <c:v>7597.8610000000008</c:v>
                </c:pt>
                <c:pt idx="184">
                  <c:v>7701.1949999999997</c:v>
                </c:pt>
                <c:pt idx="185">
                  <c:v>7836.277</c:v>
                </c:pt>
                <c:pt idx="186">
                  <c:v>8303.875</c:v>
                </c:pt>
                <c:pt idx="187">
                  <c:v>8472.7860000000001</c:v>
                </c:pt>
                <c:pt idx="188">
                  <c:v>8627.8649999999998</c:v>
                </c:pt>
                <c:pt idx="189">
                  <c:v>8868.8090000000011</c:v>
                </c:pt>
                <c:pt idx="190">
                  <c:v>8934.1890000000003</c:v>
                </c:pt>
                <c:pt idx="191">
                  <c:v>9043.5389999999989</c:v>
                </c:pt>
                <c:pt idx="192">
                  <c:v>9055.0049999999992</c:v>
                </c:pt>
                <c:pt idx="193">
                  <c:v>9159.0360000000001</c:v>
                </c:pt>
                <c:pt idx="194">
                  <c:v>9261.130000000001</c:v>
                </c:pt>
                <c:pt idx="195">
                  <c:v>9218.8549999999996</c:v>
                </c:pt>
                <c:pt idx="196">
                  <c:v>9307.7059999999983</c:v>
                </c:pt>
                <c:pt idx="197">
                  <c:v>9335.8770000000004</c:v>
                </c:pt>
              </c:numCache>
            </c:numRef>
          </c:val>
          <c:extLst>
            <c:ext xmlns:c16="http://schemas.microsoft.com/office/drawing/2014/chart" uri="{C3380CC4-5D6E-409C-BE32-E72D297353CC}">
              <c16:uniqueId val="{00000005-AE7A-4EFA-B5EA-7B3909378CF3}"/>
            </c:ext>
          </c:extLst>
        </c:ser>
        <c:dLbls>
          <c:showLegendKey val="0"/>
          <c:showVal val="0"/>
          <c:showCatName val="0"/>
          <c:showSerName val="0"/>
          <c:showPercent val="0"/>
          <c:showBubbleSize val="0"/>
        </c:dLbls>
        <c:axId val="708262704"/>
        <c:axId val="708262376"/>
      </c:areaChart>
      <c:valAx>
        <c:axId val="708262376"/>
        <c:scaling>
          <c:orientation val="minMax"/>
        </c:scaling>
        <c:delete val="0"/>
        <c:axPos val="r"/>
        <c:title>
          <c:tx>
            <c:rich>
              <a:bodyPr lIns="0" tIns="0" rIns="0" bIns="0"/>
              <a:lstStyle/>
              <a:p>
                <a:pPr marL="0" marR="0" indent="0" algn="ctr" defTabSz="914400" fontAlgn="auto" hangingPunct="1">
                  <a:lnSpc>
                    <a:spcPct val="100000"/>
                  </a:lnSpc>
                  <a:spcBef>
                    <a:spcPts val="0"/>
                  </a:spcBef>
                  <a:spcAft>
                    <a:spcPts val="0"/>
                  </a:spcAft>
                  <a:tabLst/>
                  <a:defRPr sz="1200" b="1" i="0" u="none" strike="noStrike" kern="1200" baseline="0">
                    <a:solidFill>
                      <a:srgbClr val="000000"/>
                    </a:solidFill>
                    <a:latin typeface="Calibri"/>
                  </a:defRPr>
                </a:pPr>
                <a:r>
                  <a:rPr lang="en-GB" sz="1200" b="1" i="0" u="none" strike="noStrike" kern="1200" cap="none" spc="0" baseline="0">
                    <a:solidFill>
                      <a:srgbClr val="000000"/>
                    </a:solidFill>
                    <a:uFillTx/>
                    <a:latin typeface="Calibri"/>
                  </a:rPr>
                  <a:t>UK Solar Capacity (MW)</a:t>
                </a:r>
              </a:p>
            </c:rich>
          </c:tx>
          <c:layout>
            <c:manualLayout>
              <c:xMode val="edge"/>
              <c:yMode val="edge"/>
              <c:x val="0.95779248080101109"/>
              <c:y val="0.32357884943225657"/>
            </c:manualLayout>
          </c:layout>
          <c:overlay val="0"/>
          <c:spPr>
            <a:noFill/>
            <a:ln>
              <a:noFill/>
            </a:ln>
          </c:spPr>
        </c:title>
        <c:numFmt formatCode="#,##0" sourceLinked="0"/>
        <c:majorTickMark val="out"/>
        <c:minorTickMark val="none"/>
        <c:tickLblPos val="nextTo"/>
        <c:spPr>
          <a:noFill/>
          <a:ln w="9528" cap="flat">
            <a:solidFill>
              <a:srgbClr val="868686"/>
            </a:solidFill>
            <a:prstDash val="solid"/>
            <a:round/>
          </a:ln>
        </c:spPr>
        <c:txPr>
          <a:bodyPr lIns="0" tIns="0" rIns="0" bIns="0"/>
          <a:lstStyle/>
          <a:p>
            <a:pPr marL="0" marR="0" indent="0" defTabSz="914400" fontAlgn="auto" hangingPunct="1">
              <a:lnSpc>
                <a:spcPct val="100000"/>
              </a:lnSpc>
              <a:spcBef>
                <a:spcPts val="0"/>
              </a:spcBef>
              <a:spcAft>
                <a:spcPts val="0"/>
              </a:spcAft>
              <a:tabLst/>
              <a:defRPr sz="1050" b="0" i="0" u="none" strike="noStrike" kern="1200" baseline="0">
                <a:solidFill>
                  <a:srgbClr val="000000"/>
                </a:solidFill>
                <a:latin typeface="Calibri"/>
              </a:defRPr>
            </a:pPr>
            <a:endParaRPr lang="en-US"/>
          </a:p>
        </c:txPr>
        <c:crossAx val="708262704"/>
        <c:crosses val="max"/>
        <c:crossBetween val="midCat"/>
      </c:valAx>
      <c:catAx>
        <c:axId val="708262704"/>
        <c:scaling>
          <c:orientation val="minMax"/>
        </c:scaling>
        <c:delete val="0"/>
        <c:axPos val="b"/>
        <c:numFmt formatCode="General" sourceLinked="1"/>
        <c:majorTickMark val="none"/>
        <c:minorTickMark val="none"/>
        <c:tickLblPos val="nextTo"/>
        <c:spPr>
          <a:noFill/>
          <a:ln w="9528" cap="flat">
            <a:solidFill>
              <a:srgbClr val="868686"/>
            </a:solidFill>
            <a:prstDash val="solid"/>
            <a:round/>
          </a:ln>
        </c:spPr>
        <c:txPr>
          <a:bodyPr lIns="0" tIns="0" rIns="0" bIns="0"/>
          <a:lstStyle/>
          <a:p>
            <a:pPr marL="0" marR="0" indent="0" defTabSz="914400" fontAlgn="auto" hangingPunct="1">
              <a:lnSpc>
                <a:spcPct val="100000"/>
              </a:lnSpc>
              <a:spcBef>
                <a:spcPts val="0"/>
              </a:spcBef>
              <a:spcAft>
                <a:spcPts val="0"/>
              </a:spcAft>
              <a:tabLst/>
              <a:defRPr sz="1000" b="0" i="0" u="none" strike="noStrike" kern="1200" baseline="0">
                <a:solidFill>
                  <a:srgbClr val="000000"/>
                </a:solidFill>
                <a:latin typeface="Calibri"/>
              </a:defRPr>
            </a:pPr>
            <a:endParaRPr lang="en-US"/>
          </a:p>
        </c:txPr>
        <c:crossAx val="708262376"/>
        <c:crosses val="autoZero"/>
        <c:auto val="1"/>
        <c:lblAlgn val="ctr"/>
        <c:lblOffset val="100"/>
        <c:tickLblSkip val="6"/>
        <c:noMultiLvlLbl val="0"/>
      </c:catAx>
      <c:spPr>
        <a:solidFill>
          <a:srgbClr val="FFFFFF"/>
        </a:solidFill>
        <a:ln>
          <a:noFill/>
        </a:ln>
      </c:spPr>
    </c:plotArea>
    <c:legend>
      <c:legendPos val="r"/>
      <c:layout>
        <c:manualLayout>
          <c:xMode val="edge"/>
          <c:yMode val="edge"/>
          <c:x val="5.3804924066809909E-2"/>
          <c:y val="0.2305492660491473"/>
          <c:w val="0.24859542747946961"/>
          <c:h val="0.19605264180717177"/>
        </c:manualLayout>
      </c:layout>
      <c:overlay val="0"/>
      <c:txPr>
        <a:bodyPr/>
        <a:lstStyle/>
        <a:p>
          <a:pPr>
            <a:defRPr>
              <a:ln>
                <a:noFill/>
              </a:ln>
              <a:solidFill>
                <a:srgbClr val="000000"/>
              </a:solidFill>
            </a:defRPr>
          </a:pPr>
          <a:endParaRPr lang="en-US"/>
        </a:p>
      </c:txPr>
    </c:legend>
    <c:plotVisOnly val="1"/>
    <c:dispBlanksAs val="zero"/>
    <c:showDLblsOverMax val="0"/>
  </c:chart>
  <c:spPr>
    <a:solidFill>
      <a:srgbClr val="FFFFFF"/>
    </a:solidFill>
    <a:ln>
      <a:noFill/>
    </a:ln>
  </c:spPr>
  <c:txPr>
    <a:bodyPr lIns="0" tIns="0" rIns="0" bIns="0"/>
    <a:lstStyle/>
    <a:p>
      <a:pPr marL="0" marR="0" indent="0" defTabSz="914400" fontAlgn="auto" hangingPunct="1">
        <a:lnSpc>
          <a:spcPct val="100000"/>
        </a:lnSpc>
        <a:spcBef>
          <a:spcPts val="0"/>
        </a:spcBef>
        <a:spcAft>
          <a:spcPts val="0"/>
        </a:spcAft>
        <a:tabLst/>
        <a:defRPr lang="en-US" sz="1000" b="0" i="0" u="none" strike="noStrike" kern="1200" baseline="0">
          <a:solidFill>
            <a:srgbClr val="000000"/>
          </a:solidFill>
          <a:latin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106176</xdr:colOff>
      <xdr:row>13</xdr:row>
      <xdr:rowOff>248771</xdr:rowOff>
    </xdr:from>
    <xdr:ext cx="10507849" cy="8504704"/>
    <xdr:graphicFrame macro="">
      <xdr:nvGraphicFramePr>
        <xdr:cNvPr id="31" name="Chart 1" descr="Chart of UK solar deployment installed capacity by tariff bands, monthly from January 2010 to latest month. Between 2011 and 2016 capacity increased rapidly. The following years saw a steady, but slow, growth">
          <a:extLst>
            <a:ext uri="{FF2B5EF4-FFF2-40B4-BE49-F238E27FC236}">
              <a16:creationId xmlns:a16="http://schemas.microsoft.com/office/drawing/2014/main" id="{C7554F05-6468-480E-B24C-3D1B56C92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66670</xdr:colOff>
      <xdr:row>13</xdr:row>
      <xdr:rowOff>79374</xdr:rowOff>
    </xdr:from>
    <xdr:ext cx="9921880" cy="8361795"/>
    <xdr:graphicFrame macro="">
      <xdr:nvGraphicFramePr>
        <xdr:cNvPr id="14" name="Chart 3" descr="Chart of UK solar deployment installed capacity by accreditation type, monthly from January 2010 to the latest month. With the majority of supporting mechanism now closed, the only new capacity installed comes from unaccredited schemes.">
          <a:extLst>
            <a:ext uri="{FF2B5EF4-FFF2-40B4-BE49-F238E27FC236}">
              <a16:creationId xmlns:a16="http://schemas.microsoft.com/office/drawing/2014/main" id="{55EF0195-F69A-40EC-8DF4-8B4342AA4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4:B16" totalsRowShown="0" dataDxfId="986">
  <tableColumns count="2">
    <tableColumn id="1" xr3:uid="{00000000-0010-0000-0000-000001000000}" name="Contents" dataDxfId="985"/>
    <tableColumn id="2" xr3:uid="{00000000-0010-0000-0000-000002000000}" name="Description" dataDxfId="98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ta_sources_methodology" displayName="Data_sources_methodology" ref="A15:C21" totalsRowShown="0">
  <tableColumns count="3">
    <tableColumn id="1" xr3:uid="{00000000-0010-0000-0200-000001000000}" name="Data sources" dataDxfId="983"/>
    <tableColumn id="2" xr3:uid="{00000000-0010-0000-0200-000002000000}" name="Description" dataDxfId="982"/>
    <tableColumn id="3" xr3:uid="{00000000-0010-0000-0200-000003000000}" name="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umulative_installed_capacity_by_tariff" displayName="Cumulative_installed_capacity_by_tariff" ref="A5:GQ31" totalsRowShown="0">
  <tableColumns count="199">
    <tableColumn id="1" xr3:uid="{00000000-0010-0000-0300-000001000000}" name="CUMULATIVE CAPACITY (MW) [note 1]"/>
    <tableColumn id="2" xr3:uid="{00000000-0010-0000-0300-000002000000}" name="Jan _x000a_2010"/>
    <tableColumn id="3" xr3:uid="{00000000-0010-0000-0300-000003000000}" name="Feb _x000a_2010"/>
    <tableColumn id="4" xr3:uid="{00000000-0010-0000-0300-000004000000}" name="Mar _x000a_2010"/>
    <tableColumn id="5" xr3:uid="{00000000-0010-0000-0300-000005000000}" name="Apr _x000a_2010"/>
    <tableColumn id="6" xr3:uid="{00000000-0010-0000-0300-000006000000}" name="May _x000a_2010"/>
    <tableColumn id="7" xr3:uid="{00000000-0010-0000-0300-000007000000}" name="Jun _x000a_2010"/>
    <tableColumn id="8" xr3:uid="{00000000-0010-0000-0300-000008000000}" name="Jul _x000a_2010"/>
    <tableColumn id="9" xr3:uid="{00000000-0010-0000-0300-000009000000}" name="Aug _x000a_2010"/>
    <tableColumn id="10" xr3:uid="{00000000-0010-0000-0300-00000A000000}" name="Sep _x000a_2010"/>
    <tableColumn id="11" xr3:uid="{00000000-0010-0000-0300-00000B000000}" name="Oct _x000a_2010"/>
    <tableColumn id="12" xr3:uid="{00000000-0010-0000-0300-00000C000000}" name="Nov _x000a_2010"/>
    <tableColumn id="13" xr3:uid="{00000000-0010-0000-0300-00000D000000}" name="Dec _x000a_2010"/>
    <tableColumn id="14" xr3:uid="{00000000-0010-0000-0300-00000E000000}" name="Jan _x000a_2011"/>
    <tableColumn id="15" xr3:uid="{00000000-0010-0000-0300-00000F000000}" name="Feb _x000a_2011"/>
    <tableColumn id="16" xr3:uid="{00000000-0010-0000-0300-000010000000}" name="Mar _x000a_2011"/>
    <tableColumn id="17" xr3:uid="{00000000-0010-0000-0300-000011000000}" name="Apr _x000a_2011"/>
    <tableColumn id="18" xr3:uid="{00000000-0010-0000-0300-000012000000}" name="May _x000a_2011"/>
    <tableColumn id="19" xr3:uid="{00000000-0010-0000-0300-000013000000}" name="Jun _x000a_2011"/>
    <tableColumn id="20" xr3:uid="{00000000-0010-0000-0300-000014000000}" name="Jul _x000a_2011"/>
    <tableColumn id="21" xr3:uid="{00000000-0010-0000-0300-000015000000}" name="Aug _x000a_2011"/>
    <tableColumn id="22" xr3:uid="{00000000-0010-0000-0300-000016000000}" name="Sep _x000a_2011"/>
    <tableColumn id="23" xr3:uid="{00000000-0010-0000-0300-000017000000}" name="Oct _x000a_2011"/>
    <tableColumn id="24" xr3:uid="{00000000-0010-0000-0300-000018000000}" name="Nov _x000a_2011"/>
    <tableColumn id="25" xr3:uid="{00000000-0010-0000-0300-000019000000}" name="Dec _x000a_2011"/>
    <tableColumn id="26" xr3:uid="{00000000-0010-0000-0300-00001A000000}" name="Jan _x000a_2012"/>
    <tableColumn id="27" xr3:uid="{00000000-0010-0000-0300-00001B000000}" name="Feb _x000a_2012"/>
    <tableColumn id="28" xr3:uid="{00000000-0010-0000-0300-00001C000000}" name="Mar _x000a_2012"/>
    <tableColumn id="29" xr3:uid="{00000000-0010-0000-0300-00001D000000}" name="Apr _x000a_2012"/>
    <tableColumn id="30" xr3:uid="{00000000-0010-0000-0300-00001E000000}" name="May _x000a_2012"/>
    <tableColumn id="31" xr3:uid="{00000000-0010-0000-0300-00001F000000}" name="Jun _x000a_2012"/>
    <tableColumn id="32" xr3:uid="{00000000-0010-0000-0300-000020000000}" name="Jul _x000a_2012"/>
    <tableColumn id="33" xr3:uid="{00000000-0010-0000-0300-000021000000}" name="Aug _x000a_2012"/>
    <tableColumn id="34" xr3:uid="{00000000-0010-0000-0300-000022000000}" name="Sep _x000a_2012"/>
    <tableColumn id="35" xr3:uid="{00000000-0010-0000-0300-000023000000}" name="Oct _x000a_2012"/>
    <tableColumn id="36" xr3:uid="{00000000-0010-0000-0300-000024000000}" name="Nov _x000a_2012"/>
    <tableColumn id="37" xr3:uid="{00000000-0010-0000-0300-000025000000}" name="Dec _x000a_2012"/>
    <tableColumn id="38" xr3:uid="{00000000-0010-0000-0300-000026000000}" name="Jan _x000a_2013"/>
    <tableColumn id="39" xr3:uid="{00000000-0010-0000-0300-000027000000}" name="Feb _x000a_2013"/>
    <tableColumn id="40" xr3:uid="{00000000-0010-0000-0300-000028000000}" name="Mar _x000a_2013"/>
    <tableColumn id="41" xr3:uid="{00000000-0010-0000-0300-000029000000}" name="Apr _x000a_2013"/>
    <tableColumn id="42" xr3:uid="{00000000-0010-0000-0300-00002A000000}" name="May _x000a_2013"/>
    <tableColumn id="43" xr3:uid="{00000000-0010-0000-0300-00002B000000}" name="Jun _x000a_2013"/>
    <tableColumn id="44" xr3:uid="{00000000-0010-0000-0300-00002C000000}" name="Jul _x000a_2013"/>
    <tableColumn id="45" xr3:uid="{00000000-0010-0000-0300-00002D000000}" name="Aug _x000a_2013"/>
    <tableColumn id="46" xr3:uid="{00000000-0010-0000-0300-00002E000000}" name="Sep _x000a_2013"/>
    <tableColumn id="47" xr3:uid="{00000000-0010-0000-0300-00002F000000}" name="Oct _x000a_2013"/>
    <tableColumn id="48" xr3:uid="{00000000-0010-0000-0300-000030000000}" name=" Nov _x000a_2013"/>
    <tableColumn id="49" xr3:uid="{00000000-0010-0000-0300-000031000000}" name="Dec _x000a_2013"/>
    <tableColumn id="50" xr3:uid="{00000000-0010-0000-0300-000032000000}" name="Jan _x000a_2014"/>
    <tableColumn id="51" xr3:uid="{00000000-0010-0000-0300-000033000000}" name="Feb _x000a_2014"/>
    <tableColumn id="52" xr3:uid="{00000000-0010-0000-0300-000034000000}" name="Mar _x000a_2014"/>
    <tableColumn id="53" xr3:uid="{00000000-0010-0000-0300-000035000000}" name="Apr _x000a_2014"/>
    <tableColumn id="54" xr3:uid="{00000000-0010-0000-0300-000036000000}" name="May _x000a_2014"/>
    <tableColumn id="55" xr3:uid="{00000000-0010-0000-0300-000037000000}" name="Jun _x000a_2014"/>
    <tableColumn id="56" xr3:uid="{00000000-0010-0000-0300-000038000000}" name="Jul _x000a_2014"/>
    <tableColumn id="57" xr3:uid="{00000000-0010-0000-0300-000039000000}" name="Aug _x000a_2014"/>
    <tableColumn id="58" xr3:uid="{00000000-0010-0000-0300-00003A000000}" name="Sep _x000a_2014"/>
    <tableColumn id="59" xr3:uid="{00000000-0010-0000-0300-00003B000000}" name="Oct _x000a_2014"/>
    <tableColumn id="60" xr3:uid="{00000000-0010-0000-0300-00003C000000}" name="Nov _x000a_2014"/>
    <tableColumn id="61" xr3:uid="{00000000-0010-0000-0300-00003D000000}" name="Dec _x000a_2014"/>
    <tableColumn id="62" xr3:uid="{00000000-0010-0000-0300-00003E000000}" name="Jan _x000a_2015"/>
    <tableColumn id="63" xr3:uid="{00000000-0010-0000-0300-00003F000000}" name="Feb _x000a_2015"/>
    <tableColumn id="64" xr3:uid="{00000000-0010-0000-0300-000040000000}" name="Mar _x000a_2015"/>
    <tableColumn id="65" xr3:uid="{00000000-0010-0000-0300-000041000000}" name="Apr _x000a_2015"/>
    <tableColumn id="66" xr3:uid="{00000000-0010-0000-0300-000042000000}" name="May _x000a_2015"/>
    <tableColumn id="67" xr3:uid="{00000000-0010-0000-0300-000043000000}" name="Jun _x000a_2015"/>
    <tableColumn id="68" xr3:uid="{00000000-0010-0000-0300-000044000000}" name="Jul _x000a_2015"/>
    <tableColumn id="69" xr3:uid="{00000000-0010-0000-0300-000045000000}" name="Aug _x000a_2015"/>
    <tableColumn id="70" xr3:uid="{00000000-0010-0000-0300-000046000000}" name="Sep _x000a_2015"/>
    <tableColumn id="71" xr3:uid="{00000000-0010-0000-0300-000047000000}" name="Oct _x000a_2015"/>
    <tableColumn id="72" xr3:uid="{00000000-0010-0000-0300-000048000000}" name="Nov _x000a_2015"/>
    <tableColumn id="73" xr3:uid="{00000000-0010-0000-0300-000049000000}" name="Dec _x000a_2015"/>
    <tableColumn id="74" xr3:uid="{00000000-0010-0000-0300-00004A000000}" name="Jan _x000a_2016"/>
    <tableColumn id="75" xr3:uid="{00000000-0010-0000-0300-00004B000000}" name="Feb _x000a_2016"/>
    <tableColumn id="76" xr3:uid="{00000000-0010-0000-0300-00004C000000}" name="Mar _x000a_2016"/>
    <tableColumn id="77" xr3:uid="{00000000-0010-0000-0300-00004D000000}" name="Apr _x000a_2016"/>
    <tableColumn id="78" xr3:uid="{00000000-0010-0000-0300-00004E000000}" name="May _x000a_2016"/>
    <tableColumn id="79" xr3:uid="{00000000-0010-0000-0300-00004F000000}" name="Jun _x000a_2016"/>
    <tableColumn id="80" xr3:uid="{00000000-0010-0000-0300-000050000000}" name="Jul _x000a_2016"/>
    <tableColumn id="81" xr3:uid="{00000000-0010-0000-0300-000051000000}" name="Aug _x000a_2016"/>
    <tableColumn id="82" xr3:uid="{00000000-0010-0000-0300-000052000000}" name="Sep _x000a_2016"/>
    <tableColumn id="83" xr3:uid="{00000000-0010-0000-0300-000053000000}" name="Oct _x000a_2016"/>
    <tableColumn id="84" xr3:uid="{00000000-0010-0000-0300-000054000000}" name="Nov _x000a_2016"/>
    <tableColumn id="85" xr3:uid="{00000000-0010-0000-0300-000055000000}" name="Dec _x000a_2016"/>
    <tableColumn id="86" xr3:uid="{00000000-0010-0000-0300-000056000000}" name="Jan _x000a_2017"/>
    <tableColumn id="87" xr3:uid="{00000000-0010-0000-0300-000057000000}" name="Feb _x000a_2017"/>
    <tableColumn id="88" xr3:uid="{00000000-0010-0000-0300-000058000000}" name="Mar _x000a_2017"/>
    <tableColumn id="89" xr3:uid="{00000000-0010-0000-0300-000059000000}" name="Apr _x000a_2017"/>
    <tableColumn id="90" xr3:uid="{00000000-0010-0000-0300-00005A000000}" name="May _x000a_2017"/>
    <tableColumn id="91" xr3:uid="{00000000-0010-0000-0300-00005B000000}" name="Jun _x000a_2017"/>
    <tableColumn id="92" xr3:uid="{00000000-0010-0000-0300-00005C000000}" name="Jul _x000a_2017"/>
    <tableColumn id="93" xr3:uid="{00000000-0010-0000-0300-00005D000000}" name="Aug _x000a_2017"/>
    <tableColumn id="94" xr3:uid="{00000000-0010-0000-0300-00005E000000}" name="Sep _x000a_2017"/>
    <tableColumn id="95" xr3:uid="{00000000-0010-0000-0300-00005F000000}" name="Oct _x000a_2017"/>
    <tableColumn id="96" xr3:uid="{00000000-0010-0000-0300-000060000000}" name="Nov _x000a_2017"/>
    <tableColumn id="97" xr3:uid="{00000000-0010-0000-0300-000061000000}" name="Dec _x000a_2017"/>
    <tableColumn id="98" xr3:uid="{00000000-0010-0000-0300-000062000000}" name="Jan _x000a_2018"/>
    <tableColumn id="99" xr3:uid="{00000000-0010-0000-0300-000063000000}" name="Feb _x000a_2018"/>
    <tableColumn id="100" xr3:uid="{00000000-0010-0000-0300-000064000000}" name="Mar _x000a_2018"/>
    <tableColumn id="101" xr3:uid="{00000000-0010-0000-0300-000065000000}" name="Apr _x000a_2018"/>
    <tableColumn id="102" xr3:uid="{00000000-0010-0000-0300-000066000000}" name="May _x000a_2018"/>
    <tableColumn id="103" xr3:uid="{00000000-0010-0000-0300-000067000000}" name="Jun _x000a_2018"/>
    <tableColumn id="104" xr3:uid="{00000000-0010-0000-0300-000068000000}" name="Jul _x000a_2018"/>
    <tableColumn id="105" xr3:uid="{00000000-0010-0000-0300-000069000000}" name="Aug _x000a_2018"/>
    <tableColumn id="106" xr3:uid="{00000000-0010-0000-0300-00006A000000}" name="Sep _x000a_2018"/>
    <tableColumn id="107" xr3:uid="{00000000-0010-0000-0300-00006B000000}" name="Oct _x000a_2018"/>
    <tableColumn id="108" xr3:uid="{00000000-0010-0000-0300-00006C000000}" name="Nov _x000a_2018"/>
    <tableColumn id="109" xr3:uid="{00000000-0010-0000-0300-00006D000000}" name="Dec _x000a_2018"/>
    <tableColumn id="110" xr3:uid="{00000000-0010-0000-0300-00006E000000}" name="Jan _x000a_2019"/>
    <tableColumn id="111" xr3:uid="{00000000-0010-0000-0300-00006F000000}" name="Feb _x000a_2019"/>
    <tableColumn id="112" xr3:uid="{00000000-0010-0000-0300-000070000000}" name="Mar _x000a_2019"/>
    <tableColumn id="113" xr3:uid="{00000000-0010-0000-0300-000071000000}" name="Apr _x000a_2019"/>
    <tableColumn id="114" xr3:uid="{00000000-0010-0000-0300-000072000000}" name="May _x000a_2019"/>
    <tableColumn id="115" xr3:uid="{00000000-0010-0000-0300-000073000000}" name="Jun _x000a_2019"/>
    <tableColumn id="116" xr3:uid="{00000000-0010-0000-0300-000074000000}" name="Jul _x000a_2019"/>
    <tableColumn id="117" xr3:uid="{00000000-0010-0000-0300-000075000000}" name="Aug _x000a_2019"/>
    <tableColumn id="118" xr3:uid="{00000000-0010-0000-0300-000076000000}" name="Sep _x000a_2019"/>
    <tableColumn id="119" xr3:uid="{00000000-0010-0000-0300-000077000000}" name="Oct _x000a_2019"/>
    <tableColumn id="120" xr3:uid="{00000000-0010-0000-0300-000078000000}" name="Nov _x000a_2019"/>
    <tableColumn id="121" xr3:uid="{00000000-0010-0000-0300-000079000000}" name="Dec _x000a_2019"/>
    <tableColumn id="122" xr3:uid="{00000000-0010-0000-0300-00007A000000}" name="Jan _x000a_2020"/>
    <tableColumn id="123" xr3:uid="{00000000-0010-0000-0300-00007B000000}" name="Feb _x000a_2020"/>
    <tableColumn id="124" xr3:uid="{00000000-0010-0000-0300-00007C000000}" name="Mar _x000a_2020"/>
    <tableColumn id="125" xr3:uid="{00000000-0010-0000-0300-00007D000000}" name="Apr _x000a_2020"/>
    <tableColumn id="126" xr3:uid="{00000000-0010-0000-0300-00007E000000}" name="May _x000a_2020"/>
    <tableColumn id="127" xr3:uid="{00000000-0010-0000-0300-00007F000000}" name="Jun _x000a_2020"/>
    <tableColumn id="128" xr3:uid="{00000000-0010-0000-0300-000080000000}" name="Jul _x000a_2020"/>
    <tableColumn id="129" xr3:uid="{00000000-0010-0000-0300-000081000000}" name="Aug _x000a_2020"/>
    <tableColumn id="130" xr3:uid="{00000000-0010-0000-0300-000082000000}" name="Sep  _x000a_2020"/>
    <tableColumn id="131" xr3:uid="{00000000-0010-0000-0300-000083000000}" name="Oct _x000a_2020"/>
    <tableColumn id="132" xr3:uid="{00000000-0010-0000-0300-000084000000}" name="Nov _x000a_2020"/>
    <tableColumn id="133" xr3:uid="{00000000-0010-0000-0300-000085000000}" name="Dec _x000a_2020"/>
    <tableColumn id="134" xr3:uid="{00000000-0010-0000-0300-000086000000}" name="Jan _x000a_2021"/>
    <tableColumn id="135" xr3:uid="{00000000-0010-0000-0300-000087000000}" name="Feb _x000a_2021"/>
    <tableColumn id="136" xr3:uid="{00000000-0010-0000-0300-000088000000}" name="Mar _x000a_2021"/>
    <tableColumn id="137" xr3:uid="{00000000-0010-0000-0300-000089000000}" name="Apr _x000a_2021"/>
    <tableColumn id="138" xr3:uid="{00000000-0010-0000-0300-00008A000000}" name="May _x000a_2021"/>
    <tableColumn id="139" xr3:uid="{00000000-0010-0000-0300-00008B000000}" name="Jun _x000a_2021"/>
    <tableColumn id="140" xr3:uid="{00000000-0010-0000-0300-00008C000000}" name="Jul _x000a_2021"/>
    <tableColumn id="141" xr3:uid="{00000000-0010-0000-0300-00008D000000}" name="Aug _x000a_2021"/>
    <tableColumn id="142" xr3:uid="{00000000-0010-0000-0300-00008E000000}" name="Sep_x000a_2021"/>
    <tableColumn id="143" xr3:uid="{00000000-0010-0000-0300-00008F000000}" name="Oct_x000a_2021"/>
    <tableColumn id="144" xr3:uid="{B809256D-A113-4E07-99E5-C549B735AF07}" name="Nov_x000a_2021"/>
    <tableColumn id="145" xr3:uid="{21137825-C17A-485B-A63A-763C48498188}" name="Dec_x000a_2021" dataDxfId="981" dataCellStyle="Comma"/>
    <tableColumn id="146" xr3:uid="{E3E77663-F4FE-437B-8A9F-EAACFBE6B526}" name="Jan_x000a_2022" dataDxfId="980" dataCellStyle="Comma"/>
    <tableColumn id="147" xr3:uid="{D813C4A9-628D-4D5F-B5BE-DECB51A6A8AE}" name="Feb_x000a_2022"/>
    <tableColumn id="148" xr3:uid="{3524766A-C1B5-48C9-B423-956F6682FF60}" name="Mar_x000a_2022"/>
    <tableColumn id="149" xr3:uid="{9138186D-3F01-4B27-835E-85DAAFC0428A}" name="Apr_x000a_2022" dataDxfId="979" dataCellStyle="Comma"/>
    <tableColumn id="150" xr3:uid="{4D7617A1-31BA-4FF8-9382-790751D326A3}" name="May_x000a_2022" dataDxfId="978" dataCellStyle="Comma"/>
    <tableColumn id="151" xr3:uid="{A61DAC97-66C8-4639-BDE9-EAA97465B181}" name="Jun_x000a_2022" dataDxfId="977" dataCellStyle="Comma"/>
    <tableColumn id="152" xr3:uid="{B90CB865-D1A9-43FC-9F0D-DABE6E533174}" name="Jul_x000a_2022" dataDxfId="976" dataCellStyle="Comma"/>
    <tableColumn id="153" xr3:uid="{339D758A-2D38-4A5A-B081-38BAC9390C0A}" name="Aug_x000a_2022" dataDxfId="975" dataCellStyle="Comma"/>
    <tableColumn id="154" xr3:uid="{726B4AB6-775C-4882-ADF8-3B6547C7B200}" name="Sep_x000a_2022" dataDxfId="974" dataCellStyle="Comma"/>
    <tableColumn id="155" xr3:uid="{F3E13308-6045-453E-BC4E-B49A2789A913}" name="Oct_x000a_2022" dataDxfId="973" dataCellStyle="Comma"/>
    <tableColumn id="156" xr3:uid="{6E8D0FB8-2B82-4430-B03C-665B3FB19A09}" name="Nov_x000a_2022" dataDxfId="972" dataCellStyle="Comma"/>
    <tableColumn id="157" xr3:uid="{54A83C83-66E6-4066-A9B6-D21D31A20479}" name="Dec_x000a_2022" dataDxfId="971" dataCellStyle="Comma"/>
    <tableColumn id="158" xr3:uid="{8489CEBA-0F77-43BC-BF84-FDE2CEC8F1EE}" name="Jan_x000a_2023" dataDxfId="970" dataCellStyle="Comma"/>
    <tableColumn id="159" xr3:uid="{ECA2FD97-2FEC-49C9-A572-4DE112CB1DE0}" name="Feb_x000a_2023" dataDxfId="969" dataCellStyle="Comma"/>
    <tableColumn id="160" xr3:uid="{C3CE205C-2A77-4180-A697-DDE2578F6F3C}" name="Mar_x000a_2023" dataDxfId="968" dataCellStyle="Comma"/>
    <tableColumn id="161" xr3:uid="{7012065F-C04A-49E6-B102-382AFEB27C18}" name="Apr_x000a_2023" dataDxfId="967" dataCellStyle="Comma"/>
    <tableColumn id="162" xr3:uid="{99553572-5F6F-4A95-989B-7FA47D4B07E0}" name="May_x000a_2023" dataDxfId="966" dataCellStyle="Comma"/>
    <tableColumn id="163" xr3:uid="{03114F59-46A9-47F0-B28F-CC7E459F3F46}" name="Jun_x000a_2023" dataDxfId="965" dataCellStyle="Comma"/>
    <tableColumn id="164" xr3:uid="{14032A26-5CB5-4C00-BEF2-749E62D48D02}" name="Jul_x000a_2023" dataDxfId="964" dataCellStyle="Comma"/>
    <tableColumn id="165" xr3:uid="{9E44AB81-5259-4903-B390-31B3CC1E56BB}" name="Aug_x000a_2023" dataDxfId="963" dataCellStyle="Comma"/>
    <tableColumn id="166" xr3:uid="{18E0C76F-51D5-47BF-9710-24D968D67D42}" name="Sep_x000a_2023" dataDxfId="962" dataCellStyle="Comma"/>
    <tableColumn id="168" xr3:uid="{51AE62F0-39AA-41E2-AC3F-92D15DD8A5C4}" name="Oct_x000a_2023" dataDxfId="961" dataCellStyle="Comma"/>
    <tableColumn id="167" xr3:uid="{F925FDF6-6FEA-41CA-B39A-FF8A263E3EA7}" name="Nov_x000a_2023" dataDxfId="960" dataCellStyle="Comma"/>
    <tableColumn id="169" xr3:uid="{DAF1E39A-C52E-437B-B453-505B028C6FDA}" name="Dec_x000a_2023" dataDxfId="959" dataCellStyle="Comma"/>
    <tableColumn id="170" xr3:uid="{84A94143-62A1-4B64-A22F-7AB5164D6438}" name="Jan_x000a_2024" dataDxfId="958" dataCellStyle="Comma"/>
    <tableColumn id="171" xr3:uid="{BF0B7DB6-FC1C-4C63-974C-108A80DF12D8}" name="Feb_x000a_2024" dataDxfId="957" dataCellStyle="Comma"/>
    <tableColumn id="172" xr3:uid="{39868ED6-A373-4750-9469-07A3811A27E9}" name="Mar_x000a_2024" dataDxfId="956" dataCellStyle="Comma"/>
    <tableColumn id="173" xr3:uid="{93D12D27-3D60-4C6C-9541-DE6EE71DDA51}" name="Apr_x000a_2024" dataDxfId="955" dataCellStyle="Comma"/>
    <tableColumn id="174" xr3:uid="{32840ABE-E957-4F63-850A-9DEB37ED2870}" name="May_x000a_2024" dataDxfId="954" dataCellStyle="Comma"/>
    <tableColumn id="175" xr3:uid="{0A533D97-AFF7-4012-88F5-34D6C6CA9D75}" name="Jun_x000a_2024" dataDxfId="953" dataCellStyle="Comma"/>
    <tableColumn id="176" xr3:uid="{C20E86F6-DA6D-4B58-BCD6-3C6A70B67314}" name="Jul_x000a_2024" dataDxfId="952" dataCellStyle="Comma"/>
    <tableColumn id="177" xr3:uid="{E160BD1D-9554-4C2D-8CA0-77EDD97ABCED}" name="Aug_x000a_2024" dataDxfId="951" dataCellStyle="Comma"/>
    <tableColumn id="178" xr3:uid="{F6AABC19-819B-4425-9571-9C6055B206D8}" name="Sep_x000a_2024" dataDxfId="950" dataCellStyle="Comma"/>
    <tableColumn id="179" xr3:uid="{94EB1D9C-3863-49F2-9C17-EF6678A29CB5}" name="Oct_x000a_2024" dataDxfId="949" dataCellStyle="Comma"/>
    <tableColumn id="180" xr3:uid="{ACB5D177-A9D0-4CC9-BC86-76950EAC2065}" name="Nov_x000a_2024" dataDxfId="948" dataCellStyle="Comma"/>
    <tableColumn id="181" xr3:uid="{67110C68-B233-44E3-96EF-FE4936AA4BBA}" name="Dec_x000a_2024" dataDxfId="947" dataCellStyle="Comma"/>
    <tableColumn id="182" xr3:uid="{E8463683-E54A-4472-83E9-46599A35850B}" name="Jan_x000a_2025" dataDxfId="946" dataCellStyle="Comma"/>
    <tableColumn id="183" xr3:uid="{62FD937D-DAF4-4D9C-A5B4-2C4FF6C71AEE}" name="Feb_x000a_2025" dataDxfId="945" dataCellStyle="Comma"/>
    <tableColumn id="184" xr3:uid="{AA85011C-AAC5-4B82-9574-CF76F6607338}" name="Mar_x000a_2025" dataDxfId="944" dataCellStyle="Comma"/>
    <tableColumn id="185" xr3:uid="{B7D7D87C-FB45-4660-A688-4893CB7268F2}" name="Apr_x000a_2025" dataDxfId="943" dataCellStyle="Comma"/>
    <tableColumn id="186" xr3:uid="{25DCF3ED-D605-4289-AEA5-E7A2D62461C8}" name="May_x000a_2025" dataDxfId="942" dataCellStyle="Comma"/>
    <tableColumn id="187" xr3:uid="{7B02F120-381D-405C-8091-34D84094BB61}" name="Jun_x000a_2025" dataDxfId="941" dataCellStyle="Comma"/>
    <tableColumn id="188" xr3:uid="{822D7A29-E12A-4412-A39B-5B59BE102F23}" name="Jul_x000a_2025" dataDxfId="940" dataCellStyle="Comma"/>
    <tableColumn id="189" xr3:uid="{495463D7-3965-48B9-BCCB-3AC1BCE88046}" name="Aug_x000a_2025" dataDxfId="939" dataCellStyle="Comma"/>
    <tableColumn id="190" xr3:uid="{3C1BFAB7-649D-4F54-9339-738D2742494F}" name="Sep_x000a_2025" dataDxfId="938" dataCellStyle="Comma"/>
    <tableColumn id="191" xr3:uid="{41E112E4-AA10-44D9-8809-09AF5209E9E5}" name="Oct_x000a_2025" dataDxfId="937" dataCellStyle="Comma"/>
    <tableColumn id="192" xr3:uid="{D155D76C-BDFD-448E-B6AC-068CDCB4F4EB}" name="Nov_x000a_2025" dataDxfId="936" dataCellStyle="Comma"/>
    <tableColumn id="193" xr3:uid="{C4762EC3-4777-4F69-BD92-C5720A2E04A2}" name="Dec_x000a_2025" dataDxfId="935" dataCellStyle="Comma"/>
    <tableColumn id="194" xr3:uid="{9E2E8F74-F45A-40B6-9CBE-7E42327C9921}" name="Jan_x000a_2026" dataDxfId="934" dataCellStyle="Comma"/>
    <tableColumn id="195" xr3:uid="{BCD73D3F-F0E0-4685-AC27-BAD363FF47CD}" name="Feb_x000a_2026" dataDxfId="933" dataCellStyle="Comma"/>
    <tableColumn id="196" xr3:uid="{5009C6DD-B5FC-4AED-A082-3E3AE1BD9C9A}" name="Mar_x000a_2026" dataDxfId="932" dataCellStyle="Comma"/>
    <tableColumn id="197" xr3:uid="{B2262BE4-5F74-4D87-A48B-32CE46561115}" name="Apr_x000a_2026" dataDxfId="931" dataCellStyle="Comma"/>
    <tableColumn id="198" xr3:uid="{DC4B0C5B-EBBD-434D-9F97-2B8298D1A545}" name="May_x000a_2026" dataDxfId="930" dataCellStyle="Comma"/>
    <tableColumn id="199" xr3:uid="{7A3A9D3B-5937-4D45-B4DD-D70EDBFF3C3E}" name="Jun_x000a_2026" dataDxfId="929"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umulative_count_by_tariff" displayName="Cumulative_count_by_tariff" ref="A33:GQ58" totalsRowShown="0">
  <tableColumns count="199">
    <tableColumn id="1" xr3:uid="{00000000-0010-0000-0400-000001000000}" name="CUMULATIVE COUNT"/>
    <tableColumn id="2" xr3:uid="{00000000-0010-0000-0400-000002000000}" name="Jan _x000a_2010"/>
    <tableColumn id="3" xr3:uid="{00000000-0010-0000-0400-000003000000}" name="Feb _x000a_2010"/>
    <tableColumn id="4" xr3:uid="{00000000-0010-0000-0400-000004000000}" name="Mar _x000a_2010"/>
    <tableColumn id="5" xr3:uid="{00000000-0010-0000-0400-000005000000}" name="Apr _x000a_2010"/>
    <tableColumn id="6" xr3:uid="{00000000-0010-0000-0400-000006000000}" name="May _x000a_2010"/>
    <tableColumn id="7" xr3:uid="{00000000-0010-0000-0400-000007000000}" name="Jun _x000a_2010"/>
    <tableColumn id="8" xr3:uid="{00000000-0010-0000-0400-000008000000}" name="Jul _x000a_2010"/>
    <tableColumn id="9" xr3:uid="{00000000-0010-0000-0400-000009000000}" name="Aug _x000a_2010"/>
    <tableColumn id="10" xr3:uid="{00000000-0010-0000-0400-00000A000000}" name="Sep _x000a_2010"/>
    <tableColumn id="11" xr3:uid="{00000000-0010-0000-0400-00000B000000}" name="Oct _x000a_2010"/>
    <tableColumn id="12" xr3:uid="{00000000-0010-0000-0400-00000C000000}" name="Nov _x000a_2010"/>
    <tableColumn id="13" xr3:uid="{00000000-0010-0000-0400-00000D000000}" name="Dec _x000a_2010"/>
    <tableColumn id="14" xr3:uid="{00000000-0010-0000-0400-00000E000000}" name="Jan _x000a_2011"/>
    <tableColumn id="15" xr3:uid="{00000000-0010-0000-0400-00000F000000}" name="Feb _x000a_2011"/>
    <tableColumn id="16" xr3:uid="{00000000-0010-0000-0400-000010000000}" name="Mar _x000a_2011"/>
    <tableColumn id="17" xr3:uid="{00000000-0010-0000-0400-000011000000}" name="Apr _x000a_2011"/>
    <tableColumn id="18" xr3:uid="{00000000-0010-0000-0400-000012000000}" name="May _x000a_2011"/>
    <tableColumn id="19" xr3:uid="{00000000-0010-0000-0400-000013000000}" name="Jun _x000a_2011"/>
    <tableColumn id="20" xr3:uid="{00000000-0010-0000-0400-000014000000}" name="Jul _x000a_2011"/>
    <tableColumn id="21" xr3:uid="{00000000-0010-0000-0400-000015000000}" name="Aug _x000a_2011"/>
    <tableColumn id="22" xr3:uid="{00000000-0010-0000-0400-000016000000}" name="Sep _x000a_2011"/>
    <tableColumn id="23" xr3:uid="{00000000-0010-0000-0400-000017000000}" name="Oct _x000a_2011"/>
    <tableColumn id="24" xr3:uid="{00000000-0010-0000-0400-000018000000}" name="Nov _x000a_2011"/>
    <tableColumn id="25" xr3:uid="{00000000-0010-0000-0400-000019000000}" name="Dec _x000a_2011"/>
    <tableColumn id="26" xr3:uid="{00000000-0010-0000-0400-00001A000000}" name="Jan _x000a_2012"/>
    <tableColumn id="27" xr3:uid="{00000000-0010-0000-0400-00001B000000}" name="Feb _x000a_2012"/>
    <tableColumn id="28" xr3:uid="{00000000-0010-0000-0400-00001C000000}" name="Mar _x000a_2012"/>
    <tableColumn id="29" xr3:uid="{00000000-0010-0000-0400-00001D000000}" name="Apr _x000a_2012"/>
    <tableColumn id="30" xr3:uid="{00000000-0010-0000-0400-00001E000000}" name="May _x000a_2012"/>
    <tableColumn id="31" xr3:uid="{00000000-0010-0000-0400-00001F000000}" name="Jun _x000a_2012"/>
    <tableColumn id="32" xr3:uid="{00000000-0010-0000-0400-000020000000}" name="Jul _x000a_2012"/>
    <tableColumn id="33" xr3:uid="{00000000-0010-0000-0400-000021000000}" name="Aug _x000a_2012"/>
    <tableColumn id="34" xr3:uid="{00000000-0010-0000-0400-000022000000}" name="Sep _x000a_2012"/>
    <tableColumn id="35" xr3:uid="{00000000-0010-0000-0400-000023000000}" name="Oct _x000a_2012"/>
    <tableColumn id="36" xr3:uid="{00000000-0010-0000-0400-000024000000}" name="Nov _x000a_2012"/>
    <tableColumn id="37" xr3:uid="{00000000-0010-0000-0400-000025000000}" name="Dec _x000a_2012"/>
    <tableColumn id="38" xr3:uid="{00000000-0010-0000-0400-000026000000}" name="Jan _x000a_2013"/>
    <tableColumn id="39" xr3:uid="{00000000-0010-0000-0400-000027000000}" name="Feb _x000a_2013"/>
    <tableColumn id="40" xr3:uid="{00000000-0010-0000-0400-000028000000}" name="Mar _x000a_2013"/>
    <tableColumn id="41" xr3:uid="{00000000-0010-0000-0400-000029000000}" name="Apr _x000a_2013"/>
    <tableColumn id="42" xr3:uid="{00000000-0010-0000-0400-00002A000000}" name="May _x000a_2013"/>
    <tableColumn id="43" xr3:uid="{00000000-0010-0000-0400-00002B000000}" name="Jun _x000a_2013"/>
    <tableColumn id="44" xr3:uid="{00000000-0010-0000-0400-00002C000000}" name="Jul _x000a_2013"/>
    <tableColumn id="45" xr3:uid="{00000000-0010-0000-0400-00002D000000}" name="Aug _x000a_2013"/>
    <tableColumn id="46" xr3:uid="{00000000-0010-0000-0400-00002E000000}" name="Sep _x000a_2013"/>
    <tableColumn id="47" xr3:uid="{00000000-0010-0000-0400-00002F000000}" name="Oct _x000a_2013"/>
    <tableColumn id="48" xr3:uid="{00000000-0010-0000-0400-000030000000}" name=" Nov _x000a_2013"/>
    <tableColumn id="49" xr3:uid="{00000000-0010-0000-0400-000031000000}" name="Dec _x000a_2013"/>
    <tableColumn id="50" xr3:uid="{00000000-0010-0000-0400-000032000000}" name="Jan _x000a_2014"/>
    <tableColumn id="51" xr3:uid="{00000000-0010-0000-0400-000033000000}" name="Feb _x000a_2014"/>
    <tableColumn id="52" xr3:uid="{00000000-0010-0000-0400-000034000000}" name="Mar _x000a_2014"/>
    <tableColumn id="53" xr3:uid="{00000000-0010-0000-0400-000035000000}" name="Apr _x000a_2014"/>
    <tableColumn id="54" xr3:uid="{00000000-0010-0000-0400-000036000000}" name="May _x000a_2014"/>
    <tableColumn id="55" xr3:uid="{00000000-0010-0000-0400-000037000000}" name="Jun _x000a_2014"/>
    <tableColumn id="56" xr3:uid="{00000000-0010-0000-0400-000038000000}" name="Jul _x000a_2014"/>
    <tableColumn id="57" xr3:uid="{00000000-0010-0000-0400-000039000000}" name="Aug _x000a_2014"/>
    <tableColumn id="58" xr3:uid="{00000000-0010-0000-0400-00003A000000}" name="Sep _x000a_2014"/>
    <tableColumn id="59" xr3:uid="{00000000-0010-0000-0400-00003B000000}" name="Oct _x000a_2014"/>
    <tableColumn id="60" xr3:uid="{00000000-0010-0000-0400-00003C000000}" name="Nov _x000a_2014"/>
    <tableColumn id="61" xr3:uid="{00000000-0010-0000-0400-00003D000000}" name="Dec _x000a_2014"/>
    <tableColumn id="62" xr3:uid="{00000000-0010-0000-0400-00003E000000}" name="Jan _x000a_2015"/>
    <tableColumn id="63" xr3:uid="{00000000-0010-0000-0400-00003F000000}" name="Feb _x000a_2015"/>
    <tableColumn id="64" xr3:uid="{00000000-0010-0000-0400-000040000000}" name="Mar _x000a_2015"/>
    <tableColumn id="65" xr3:uid="{00000000-0010-0000-0400-000041000000}" name="Apr _x000a_2015"/>
    <tableColumn id="66" xr3:uid="{00000000-0010-0000-0400-000042000000}" name="May _x000a_2015"/>
    <tableColumn id="67" xr3:uid="{00000000-0010-0000-0400-000043000000}" name="Jun _x000a_2015"/>
    <tableColumn id="68" xr3:uid="{00000000-0010-0000-0400-000044000000}" name="Jul _x000a_2015"/>
    <tableColumn id="69" xr3:uid="{00000000-0010-0000-0400-000045000000}" name="Aug _x000a_2015"/>
    <tableColumn id="70" xr3:uid="{00000000-0010-0000-0400-000046000000}" name="Sep _x000a_2015"/>
    <tableColumn id="71" xr3:uid="{00000000-0010-0000-0400-000047000000}" name="Oct _x000a_2015"/>
    <tableColumn id="72" xr3:uid="{00000000-0010-0000-0400-000048000000}" name="Nov _x000a_2015"/>
    <tableColumn id="73" xr3:uid="{00000000-0010-0000-0400-000049000000}" name="Dec _x000a_2015"/>
    <tableColumn id="74" xr3:uid="{00000000-0010-0000-0400-00004A000000}" name="Jan _x000a_2016"/>
    <tableColumn id="75" xr3:uid="{00000000-0010-0000-0400-00004B000000}" name="Feb _x000a_2016"/>
    <tableColumn id="76" xr3:uid="{00000000-0010-0000-0400-00004C000000}" name="Mar _x000a_2016"/>
    <tableColumn id="77" xr3:uid="{00000000-0010-0000-0400-00004D000000}" name="Apr _x000a_2016"/>
    <tableColumn id="78" xr3:uid="{00000000-0010-0000-0400-00004E000000}" name="May _x000a_2016"/>
    <tableColumn id="79" xr3:uid="{00000000-0010-0000-0400-00004F000000}" name="Jun _x000a_2016"/>
    <tableColumn id="80" xr3:uid="{00000000-0010-0000-0400-000050000000}" name="Jul _x000a_2016"/>
    <tableColumn id="81" xr3:uid="{00000000-0010-0000-0400-000051000000}" name="Aug _x000a_2016"/>
    <tableColumn id="82" xr3:uid="{00000000-0010-0000-0400-000052000000}" name="Sep _x000a_2016"/>
    <tableColumn id="83" xr3:uid="{00000000-0010-0000-0400-000053000000}" name="Oct _x000a_2016"/>
    <tableColumn id="84" xr3:uid="{00000000-0010-0000-0400-000054000000}" name="Nov _x000a_2016"/>
    <tableColumn id="85" xr3:uid="{00000000-0010-0000-0400-000055000000}" name="Dec _x000a_2016"/>
    <tableColumn id="86" xr3:uid="{00000000-0010-0000-0400-000056000000}" name="Jan _x000a_2017"/>
    <tableColumn id="87" xr3:uid="{00000000-0010-0000-0400-000057000000}" name="Feb _x000a_2017"/>
    <tableColumn id="88" xr3:uid="{00000000-0010-0000-0400-000058000000}" name="Mar _x000a_2017"/>
    <tableColumn id="89" xr3:uid="{00000000-0010-0000-0400-000059000000}" name="Apr _x000a_2017"/>
    <tableColumn id="90" xr3:uid="{00000000-0010-0000-0400-00005A000000}" name="May _x000a_2017"/>
    <tableColumn id="91" xr3:uid="{00000000-0010-0000-0400-00005B000000}" name="Jun _x000a_2017"/>
    <tableColumn id="92" xr3:uid="{00000000-0010-0000-0400-00005C000000}" name="Jul _x000a_2017"/>
    <tableColumn id="93" xr3:uid="{00000000-0010-0000-0400-00005D000000}" name="Aug _x000a_2017"/>
    <tableColumn id="94" xr3:uid="{00000000-0010-0000-0400-00005E000000}" name="Sep _x000a_2017"/>
    <tableColumn id="95" xr3:uid="{00000000-0010-0000-0400-00005F000000}" name="Oct _x000a_2017"/>
    <tableColumn id="96" xr3:uid="{00000000-0010-0000-0400-000060000000}" name="Nov _x000a_2017"/>
    <tableColumn id="97" xr3:uid="{00000000-0010-0000-0400-000061000000}" name="Dec _x000a_2017"/>
    <tableColumn id="98" xr3:uid="{00000000-0010-0000-0400-000062000000}" name="Jan _x000a_2018"/>
    <tableColumn id="99" xr3:uid="{00000000-0010-0000-0400-000063000000}" name="Feb _x000a_2018"/>
    <tableColumn id="100" xr3:uid="{00000000-0010-0000-0400-000064000000}" name="Mar _x000a_2018"/>
    <tableColumn id="101" xr3:uid="{00000000-0010-0000-0400-000065000000}" name="Apr _x000a_2018"/>
    <tableColumn id="102" xr3:uid="{00000000-0010-0000-0400-000066000000}" name="May _x000a_2018"/>
    <tableColumn id="103" xr3:uid="{00000000-0010-0000-0400-000067000000}" name="Jun _x000a_2018"/>
    <tableColumn id="104" xr3:uid="{00000000-0010-0000-0400-000068000000}" name="Jul _x000a_2018"/>
    <tableColumn id="105" xr3:uid="{00000000-0010-0000-0400-000069000000}" name="Aug _x000a_2018"/>
    <tableColumn id="106" xr3:uid="{00000000-0010-0000-0400-00006A000000}" name="Sep _x000a_2018"/>
    <tableColumn id="107" xr3:uid="{00000000-0010-0000-0400-00006B000000}" name="Oct _x000a_2018"/>
    <tableColumn id="108" xr3:uid="{00000000-0010-0000-0400-00006C000000}" name="Nov _x000a_2018"/>
    <tableColumn id="109" xr3:uid="{00000000-0010-0000-0400-00006D000000}" name="Dec _x000a_2018"/>
    <tableColumn id="110" xr3:uid="{00000000-0010-0000-0400-00006E000000}" name="Jan _x000a_2019"/>
    <tableColumn id="111" xr3:uid="{00000000-0010-0000-0400-00006F000000}" name="Feb _x000a_2019"/>
    <tableColumn id="112" xr3:uid="{00000000-0010-0000-0400-000070000000}" name="Mar _x000a_2019"/>
    <tableColumn id="113" xr3:uid="{00000000-0010-0000-0400-000071000000}" name="Apr _x000a_2019"/>
    <tableColumn id="114" xr3:uid="{00000000-0010-0000-0400-000072000000}" name="May _x000a_2019"/>
    <tableColumn id="115" xr3:uid="{00000000-0010-0000-0400-000073000000}" name="Jun _x000a_2019"/>
    <tableColumn id="116" xr3:uid="{00000000-0010-0000-0400-000074000000}" name="Jul _x000a_2019"/>
    <tableColumn id="117" xr3:uid="{00000000-0010-0000-0400-000075000000}" name="Aug _x000a_2019"/>
    <tableColumn id="118" xr3:uid="{00000000-0010-0000-0400-000076000000}" name="Sep _x000a_2019"/>
    <tableColumn id="119" xr3:uid="{00000000-0010-0000-0400-000077000000}" name="Oct _x000a_2019"/>
    <tableColumn id="120" xr3:uid="{00000000-0010-0000-0400-000078000000}" name="Nov _x000a_2019"/>
    <tableColumn id="121" xr3:uid="{00000000-0010-0000-0400-000079000000}" name="Dec _x000a_2019"/>
    <tableColumn id="122" xr3:uid="{00000000-0010-0000-0400-00007A000000}" name="Jan _x000a_2020"/>
    <tableColumn id="123" xr3:uid="{00000000-0010-0000-0400-00007B000000}" name="Feb _x000a_2020"/>
    <tableColumn id="124" xr3:uid="{00000000-0010-0000-0400-00007C000000}" name="Mar _x000a_2020"/>
    <tableColumn id="125" xr3:uid="{00000000-0010-0000-0400-00007D000000}" name="Apr _x000a_2020"/>
    <tableColumn id="126" xr3:uid="{00000000-0010-0000-0400-00007E000000}" name="May _x000a_2020"/>
    <tableColumn id="127" xr3:uid="{00000000-0010-0000-0400-00007F000000}" name="Jun _x000a_2020"/>
    <tableColumn id="128" xr3:uid="{00000000-0010-0000-0400-000080000000}" name="Jul _x000a_2020"/>
    <tableColumn id="129" xr3:uid="{00000000-0010-0000-0400-000081000000}" name="Aug _x000a_2020"/>
    <tableColumn id="130" xr3:uid="{00000000-0010-0000-0400-000082000000}" name="Sep  _x000a_2020"/>
    <tableColumn id="131" xr3:uid="{00000000-0010-0000-0400-000083000000}" name="Oct _x000a_2020"/>
    <tableColumn id="132" xr3:uid="{00000000-0010-0000-0400-000084000000}" name="Nov _x000a_2020"/>
    <tableColumn id="133" xr3:uid="{00000000-0010-0000-0400-000085000000}" name="Dec _x000a_2020"/>
    <tableColumn id="134" xr3:uid="{00000000-0010-0000-0400-000086000000}" name="Jan _x000a_2021"/>
    <tableColumn id="135" xr3:uid="{00000000-0010-0000-0400-000087000000}" name="Feb _x000a_2021"/>
    <tableColumn id="136" xr3:uid="{00000000-0010-0000-0400-000088000000}" name="Mar _x000a_2021"/>
    <tableColumn id="137" xr3:uid="{00000000-0010-0000-0400-000089000000}" name="Apr _x000a_2021"/>
    <tableColumn id="138" xr3:uid="{00000000-0010-0000-0400-00008A000000}" name="May _x000a_2021"/>
    <tableColumn id="139" xr3:uid="{00000000-0010-0000-0400-00008B000000}" name="Jun _x000a_2021"/>
    <tableColumn id="140" xr3:uid="{00000000-0010-0000-0400-00008C000000}" name="Jul _x000a_2021"/>
    <tableColumn id="141" xr3:uid="{00000000-0010-0000-0400-00008D000000}" name="Aug _x000a_2021"/>
    <tableColumn id="142" xr3:uid="{00000000-0010-0000-0400-00008E000000}" name="Sep _x000a_2021"/>
    <tableColumn id="143" xr3:uid="{00000000-0010-0000-0400-00008F000000}" name="Oct_x000a_2021"/>
    <tableColumn id="144" xr3:uid="{9B81E1B8-2D8A-430A-BBB3-646B806A7AA9}" name="Nov_x000a_2021" dataDxfId="928" dataCellStyle="Comma"/>
    <tableColumn id="145" xr3:uid="{AC6FBDC9-6C1D-43F6-9652-B69BE8F23E06}" name="Dec_x000a_2021" dataDxfId="927" dataCellStyle="Comma"/>
    <tableColumn id="146" xr3:uid="{4F761406-5DCB-4905-A5DF-7672944CD109}" name="Jan_x000a_2022" dataDxfId="926" dataCellStyle="Comma"/>
    <tableColumn id="147" xr3:uid="{E04A67B6-8E4F-430A-A6D3-F22457C89202}" name="Feb_x000a_2022" dataDxfId="925" dataCellStyle="Comma"/>
    <tableColumn id="148" xr3:uid="{5FD83537-251E-4AC9-B063-79EC42B1E18C}" name="Mar_x000a_2022" dataDxfId="924" dataCellStyle="Comma"/>
    <tableColumn id="149" xr3:uid="{F11A54C1-31A2-4181-AEF2-7AF7E62A43A5}" name="Apr_x000a_2022" dataDxfId="923" dataCellStyle="Comma"/>
    <tableColumn id="150" xr3:uid="{FD9788C8-F654-46F8-A71A-2C08FDE06CAF}" name="May_x000a_2022" dataDxfId="922" dataCellStyle="Comma"/>
    <tableColumn id="151" xr3:uid="{DE92E73A-0630-4697-A1CD-D754DAF966B8}" name="Jun_x000a_2022" dataDxfId="921" dataCellStyle="Comma"/>
    <tableColumn id="152" xr3:uid="{C108B406-68EB-4FD4-B563-70A5911D1214}" name="Jul_x000a_2022" dataDxfId="920" dataCellStyle="Comma"/>
    <tableColumn id="153" xr3:uid="{989DD76A-2793-4965-ADA2-DB73048DE5C2}" name="Aug_x000a_2022" dataDxfId="919" dataCellStyle="Comma"/>
    <tableColumn id="154" xr3:uid="{8E4D632B-FA73-422A-B8F1-3C33CAF5DD4B}" name="Sep_x000a_2022" dataDxfId="918" dataCellStyle="Comma"/>
    <tableColumn id="155" xr3:uid="{14B2E3D2-9CEC-49D4-A6E6-3FC7A7E6AB8C}" name="Oct_x000a_2022" dataDxfId="917" dataCellStyle="Comma"/>
    <tableColumn id="156" xr3:uid="{90662960-19C9-4432-9D4B-D812068BFE8E}" name="Nov_x000a_2022" dataDxfId="916" dataCellStyle="Comma"/>
    <tableColumn id="157" xr3:uid="{43CFF161-A5BD-4AC2-8FD9-85AD09CDBA91}" name="Dec_x000a_2022" dataDxfId="915" dataCellStyle="Comma"/>
    <tableColumn id="158" xr3:uid="{EADC9F17-AB1D-4265-87C1-98BF8A138481}" name="Jan_x000a_2023" dataDxfId="914" dataCellStyle="Comma"/>
    <tableColumn id="159" xr3:uid="{3847C50D-737A-4CB1-A574-937F15434D4C}" name="Feb_x000a_2023" dataDxfId="913" dataCellStyle="Comma"/>
    <tableColumn id="160" xr3:uid="{75F24B3D-F6BA-4FA7-93F3-03075065BB41}" name="Mar_x000a_2023" dataDxfId="912" dataCellStyle="Comma"/>
    <tableColumn id="161" xr3:uid="{73910D1D-3267-42E1-8D0F-57F2048D49ED}" name="Apr_x000a_2023" dataDxfId="911" dataCellStyle="Comma"/>
    <tableColumn id="162" xr3:uid="{50373F68-A52A-4170-90F7-618708D1B735}" name="May_x000a_2023" dataDxfId="910" dataCellStyle="Comma"/>
    <tableColumn id="163" xr3:uid="{460E75D3-2D67-4EF2-A297-88A8ED931DB5}" name="Jun_x000a_2023" dataDxfId="909" dataCellStyle="Comma"/>
    <tableColumn id="164" xr3:uid="{7AC78B2F-2D5E-46F7-A87F-37C09E79E2D6}" name="Jul_x000a_2023" dataDxfId="908" dataCellStyle="Comma"/>
    <tableColumn id="165" xr3:uid="{17F65E38-A2FC-4B8A-A01E-38CA24C5161E}" name="Aug_x000a_2023" dataDxfId="907" dataCellStyle="Comma"/>
    <tableColumn id="166" xr3:uid="{FB2721A1-5DCA-4372-B22B-C1B3FE55687B}" name="Sep_x000a_2023" dataDxfId="906" dataCellStyle="Comma"/>
    <tableColumn id="167" xr3:uid="{DE04F626-FE7C-402C-BCA8-DEC5D13C5036}" name="Oct_x000a_2023" dataDxfId="905" dataCellStyle="Comma"/>
    <tableColumn id="168" xr3:uid="{BA6705D9-C63B-4E5E-BA97-A8F58F97CFE9}" name="Nov_x000a_2023" dataDxfId="904" dataCellStyle="Comma"/>
    <tableColumn id="169" xr3:uid="{1FD56310-1AD4-452B-A036-97F612A77E5E}" name="Dec_x000a_2023" dataDxfId="903" dataCellStyle="Comma"/>
    <tableColumn id="170" xr3:uid="{9F68A661-05A4-47FA-8CD5-9DF96019AB8C}" name="Jan_x000a_2024" dataDxfId="902" dataCellStyle="Comma"/>
    <tableColumn id="171" xr3:uid="{CA9F9CDD-33C4-497A-9447-B425854C97E2}" name="Feb_x000a_2024" dataDxfId="901" dataCellStyle="Comma"/>
    <tableColumn id="172" xr3:uid="{175BA75F-2196-4713-9A12-E2721B83803F}" name="Mar_x000a_2024" dataDxfId="900" dataCellStyle="Comma"/>
    <tableColumn id="173" xr3:uid="{32141492-855D-45C1-8C44-B2DEE3CFAD96}" name="Apr_x000a_2024" dataDxfId="899" dataCellStyle="Comma"/>
    <tableColumn id="174" xr3:uid="{4A4EBC1B-6990-4C3E-BDA2-66DACD9ACF3C}" name="May_x000a_2024" dataDxfId="898" dataCellStyle="Comma"/>
    <tableColumn id="175" xr3:uid="{CC5E2410-AFF2-41BE-AA23-F58CC397EBE6}" name="Jun_x000a_2024" dataDxfId="897" dataCellStyle="Comma"/>
    <tableColumn id="176" xr3:uid="{AC5542F7-5072-4295-B31F-FEF051704453}" name="Jul_x000a_2024" dataDxfId="896" dataCellStyle="Comma"/>
    <tableColumn id="177" xr3:uid="{82589607-0EA1-4566-ADE2-6B0C103598BC}" name="Aug_x000a_2024" dataDxfId="895" dataCellStyle="Comma"/>
    <tableColumn id="178" xr3:uid="{B6E12CC9-684E-4242-ADD5-955E89FB071C}" name="Sep_x000a_2024" dataDxfId="894" dataCellStyle="Comma"/>
    <tableColumn id="179" xr3:uid="{1CF196B5-893B-44D6-96E0-5BB43527E641}" name="Oct_x000a_2024" dataDxfId="893" dataCellStyle="Comma"/>
    <tableColumn id="180" xr3:uid="{3F1DFF1D-0861-4764-B8B1-E711FCF0CC50}" name="Nov_x000a_2024" dataDxfId="892" dataCellStyle="Comma"/>
    <tableColumn id="181" xr3:uid="{684BF1D4-4F4D-4001-880F-D8534520922B}" name="Dec_x000a_2024" dataDxfId="891" dataCellStyle="Comma"/>
    <tableColumn id="182" xr3:uid="{9A621A20-B4A6-4580-9C70-7A60B70312CA}" name="Jan_x000a_2025" dataDxfId="890" dataCellStyle="Comma"/>
    <tableColumn id="183" xr3:uid="{DBF52229-22DF-4BB6-BAB9-DB1C7DD8E567}" name="Feb_x000a_2025" dataDxfId="889" dataCellStyle="Comma"/>
    <tableColumn id="184" xr3:uid="{2A3587D9-5610-4630-9FE5-B3B63B94F849}" name="Mar_x000a_2025" dataDxfId="888" dataCellStyle="Comma"/>
    <tableColumn id="185" xr3:uid="{19D29897-BC62-4606-A51C-7CC9B04F24A5}" name="Apr_x000a_2025" dataDxfId="887" dataCellStyle="Comma"/>
    <tableColumn id="186" xr3:uid="{CB8F0E00-B6AF-4B28-8733-A419BCB37611}" name="May_x000a_2025" dataDxfId="886" dataCellStyle="Comma"/>
    <tableColumn id="187" xr3:uid="{DD2D9141-5FAA-4EC1-9295-1799D2A8E0FF}" name="Jun_x000a_2025" dataDxfId="885" dataCellStyle="Comma"/>
    <tableColumn id="188" xr3:uid="{CFF7A530-816F-46E0-B930-F9AFCA3ACE87}" name="Jul_x000a_2025" dataDxfId="884" dataCellStyle="Comma"/>
    <tableColumn id="189" xr3:uid="{C61D7CA5-6B08-4027-87C8-0BD3EEB8A5D7}" name="Aug_x000a_2025" dataDxfId="883" dataCellStyle="Comma"/>
    <tableColumn id="190" xr3:uid="{3FAC4C1A-22FA-4B87-A7C8-6BDEA284FE87}" name="Sep_x000a_2025" dataDxfId="882" dataCellStyle="Comma"/>
    <tableColumn id="191" xr3:uid="{2E8C9AE0-6B8F-489E-9FA6-5D8ABEFF2F6E}" name="Oct_x000a_2025" dataDxfId="881" dataCellStyle="Comma"/>
    <tableColumn id="192" xr3:uid="{2066036B-D494-4FD4-8707-62413E0011FA}" name="Nov_x000a_2025" dataDxfId="880" dataCellStyle="Comma"/>
    <tableColumn id="193" xr3:uid="{5418781D-3414-4A13-BE74-FBAD14D22BCB}" name="Dec_x000a_2025" dataDxfId="879" dataCellStyle="Comma"/>
    <tableColumn id="194" xr3:uid="{ACA4BF77-95ED-4316-8002-57C7DD49566D}" name="Jan_x000a_2026" dataDxfId="878" dataCellStyle="Comma"/>
    <tableColumn id="195" xr3:uid="{FC26EE9C-F7FC-433C-9062-FF916F72ADBE}" name="Feb_x000a_2026" dataDxfId="877" dataCellStyle="Comma"/>
    <tableColumn id="196" xr3:uid="{BBE8DBF9-F48F-4511-A49B-4F217295E206}" name="Mar_x000a_2026" dataDxfId="876" dataCellStyle="Comma"/>
    <tableColumn id="197" xr3:uid="{D57DB306-7F8C-4103-BB04-7CEF629C6B11}" name="Apr_x000a_2026" dataDxfId="875" dataCellStyle="Comma"/>
    <tableColumn id="198" xr3:uid="{1EAF794D-9082-4160-9A7D-277846DE21FE}" name="May_x000a_2026" dataDxfId="874" dataCellStyle="Comma"/>
    <tableColumn id="199" xr3:uid="{E01478B9-E5F9-4BC2-8270-00A3DCC9DE28}" name="Jun_x000a_2026" dataDxfId="873"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umulative_capacity_by_scheme" displayName="Cumulative_capacity_by_scheme" ref="A5:GQ26" totalsRowShown="0" headerRowBorderDxfId="872">
  <tableColumns count="199">
    <tableColumn id="1" xr3:uid="{00000000-0010-0000-0500-000001000000}" name="CUMULATIVE CAPACITY (MW) [note 1]"/>
    <tableColumn id="2" xr3:uid="{00000000-0010-0000-0500-000002000000}" name="Jan _x000a_2010"/>
    <tableColumn id="3" xr3:uid="{00000000-0010-0000-0500-000003000000}" name="Feb _x000a_2010"/>
    <tableColumn id="4" xr3:uid="{00000000-0010-0000-0500-000004000000}" name="Mar _x000a_2010"/>
    <tableColumn id="5" xr3:uid="{00000000-0010-0000-0500-000005000000}" name="Apr _x000a_2010"/>
    <tableColumn id="6" xr3:uid="{00000000-0010-0000-0500-000006000000}" name="May _x000a_2010"/>
    <tableColumn id="7" xr3:uid="{00000000-0010-0000-0500-000007000000}" name="Jun _x000a_2010"/>
    <tableColumn id="8" xr3:uid="{00000000-0010-0000-0500-000008000000}" name="Jul _x000a_2010"/>
    <tableColumn id="9" xr3:uid="{00000000-0010-0000-0500-000009000000}" name="Aug _x000a_2010"/>
    <tableColumn id="10" xr3:uid="{00000000-0010-0000-0500-00000A000000}" name="Sep _x000a_2010"/>
    <tableColumn id="11" xr3:uid="{00000000-0010-0000-0500-00000B000000}" name="Oct _x000a_2010"/>
    <tableColumn id="12" xr3:uid="{00000000-0010-0000-0500-00000C000000}" name="Nov _x000a_2010"/>
    <tableColumn id="13" xr3:uid="{00000000-0010-0000-0500-00000D000000}" name="Dec _x000a_2010"/>
    <tableColumn id="14" xr3:uid="{00000000-0010-0000-0500-00000E000000}" name="Jan _x000a_2011"/>
    <tableColumn id="15" xr3:uid="{00000000-0010-0000-0500-00000F000000}" name="Feb _x000a_2011"/>
    <tableColumn id="16" xr3:uid="{00000000-0010-0000-0500-000010000000}" name="Mar _x000a_2011"/>
    <tableColumn id="17" xr3:uid="{00000000-0010-0000-0500-000011000000}" name="Apr _x000a_2011"/>
    <tableColumn id="18" xr3:uid="{00000000-0010-0000-0500-000012000000}" name="May _x000a_2011"/>
    <tableColumn id="19" xr3:uid="{00000000-0010-0000-0500-000013000000}" name="Jun _x000a_2011"/>
    <tableColumn id="20" xr3:uid="{00000000-0010-0000-0500-000014000000}" name="Jul _x000a_2011"/>
    <tableColumn id="21" xr3:uid="{00000000-0010-0000-0500-000015000000}" name="Aug _x000a_2011"/>
    <tableColumn id="22" xr3:uid="{00000000-0010-0000-0500-000016000000}" name="Sep _x000a_2011"/>
    <tableColumn id="23" xr3:uid="{00000000-0010-0000-0500-000017000000}" name="Oct _x000a_2011"/>
    <tableColumn id="24" xr3:uid="{00000000-0010-0000-0500-000018000000}" name="Nov _x000a_2011"/>
    <tableColumn id="25" xr3:uid="{00000000-0010-0000-0500-000019000000}" name="Dec _x000a_2011"/>
    <tableColumn id="26" xr3:uid="{00000000-0010-0000-0500-00001A000000}" name="Jan _x000a_2012"/>
    <tableColumn id="27" xr3:uid="{00000000-0010-0000-0500-00001B000000}" name="Feb _x000a_2012"/>
    <tableColumn id="28" xr3:uid="{00000000-0010-0000-0500-00001C000000}" name="Mar _x000a_2012"/>
    <tableColumn id="29" xr3:uid="{00000000-0010-0000-0500-00001D000000}" name="Apr _x000a_2012"/>
    <tableColumn id="30" xr3:uid="{00000000-0010-0000-0500-00001E000000}" name="May _x000a_2012"/>
    <tableColumn id="31" xr3:uid="{00000000-0010-0000-0500-00001F000000}" name="Jun _x000a_2012"/>
    <tableColumn id="32" xr3:uid="{00000000-0010-0000-0500-000020000000}" name="Jul _x000a_2012"/>
    <tableColumn id="33" xr3:uid="{00000000-0010-0000-0500-000021000000}" name="Aug _x000a_2012"/>
    <tableColumn id="34" xr3:uid="{00000000-0010-0000-0500-000022000000}" name="Sep _x000a_2012"/>
    <tableColumn id="35" xr3:uid="{00000000-0010-0000-0500-000023000000}" name="Oct _x000a_2012"/>
    <tableColumn id="36" xr3:uid="{00000000-0010-0000-0500-000024000000}" name="Nov _x000a_2012"/>
    <tableColumn id="37" xr3:uid="{00000000-0010-0000-0500-000025000000}" name="Dec _x000a_2012"/>
    <tableColumn id="38" xr3:uid="{00000000-0010-0000-0500-000026000000}" name="Jan _x000a_2013"/>
    <tableColumn id="39" xr3:uid="{00000000-0010-0000-0500-000027000000}" name="Feb _x000a_2013"/>
    <tableColumn id="40" xr3:uid="{00000000-0010-0000-0500-000028000000}" name="Mar _x000a_2013"/>
    <tableColumn id="41" xr3:uid="{00000000-0010-0000-0500-000029000000}" name="Apr _x000a_2013"/>
    <tableColumn id="42" xr3:uid="{00000000-0010-0000-0500-00002A000000}" name="May _x000a_2013"/>
    <tableColumn id="43" xr3:uid="{00000000-0010-0000-0500-00002B000000}" name="Jun _x000a_2013"/>
    <tableColumn id="44" xr3:uid="{00000000-0010-0000-0500-00002C000000}" name="Jul _x000a_2013"/>
    <tableColumn id="45" xr3:uid="{00000000-0010-0000-0500-00002D000000}" name="Aug _x000a_2013"/>
    <tableColumn id="46" xr3:uid="{00000000-0010-0000-0500-00002E000000}" name="Sep _x000a_2013"/>
    <tableColumn id="47" xr3:uid="{00000000-0010-0000-0500-00002F000000}" name="Oct _x000a_2013"/>
    <tableColumn id="48" xr3:uid="{00000000-0010-0000-0500-000030000000}" name=" Nov _x000a_2013"/>
    <tableColumn id="49" xr3:uid="{00000000-0010-0000-0500-000031000000}" name="Dec _x000a_2013"/>
    <tableColumn id="50" xr3:uid="{00000000-0010-0000-0500-000032000000}" name="Jan _x000a_2014"/>
    <tableColumn id="51" xr3:uid="{00000000-0010-0000-0500-000033000000}" name="Feb _x000a_2014"/>
    <tableColumn id="52" xr3:uid="{00000000-0010-0000-0500-000034000000}" name="Mar _x000a_2014"/>
    <tableColumn id="53" xr3:uid="{00000000-0010-0000-0500-000035000000}" name="Apr _x000a_2014"/>
    <tableColumn id="54" xr3:uid="{00000000-0010-0000-0500-000036000000}" name="May _x000a_2014"/>
    <tableColumn id="55" xr3:uid="{00000000-0010-0000-0500-000037000000}" name="Jun _x000a_2014"/>
    <tableColumn id="56" xr3:uid="{00000000-0010-0000-0500-000038000000}" name="Jul _x000a_2014"/>
    <tableColumn id="57" xr3:uid="{00000000-0010-0000-0500-000039000000}" name="Aug _x000a_2014"/>
    <tableColumn id="58" xr3:uid="{00000000-0010-0000-0500-00003A000000}" name="Sep _x000a_2014"/>
    <tableColumn id="59" xr3:uid="{00000000-0010-0000-0500-00003B000000}" name="Oct _x000a_2014"/>
    <tableColumn id="60" xr3:uid="{00000000-0010-0000-0500-00003C000000}" name="Nov _x000a_2014"/>
    <tableColumn id="61" xr3:uid="{00000000-0010-0000-0500-00003D000000}" name="Dec _x000a_2014"/>
    <tableColumn id="62" xr3:uid="{00000000-0010-0000-0500-00003E000000}" name="Jan _x000a_2015"/>
    <tableColumn id="63" xr3:uid="{00000000-0010-0000-0500-00003F000000}" name="Feb _x000a_2015"/>
    <tableColumn id="64" xr3:uid="{00000000-0010-0000-0500-000040000000}" name="Mar _x000a_2015"/>
    <tableColumn id="65" xr3:uid="{00000000-0010-0000-0500-000041000000}" name="Apr _x000a_2015"/>
    <tableColumn id="66" xr3:uid="{00000000-0010-0000-0500-000042000000}" name="May _x000a_2015"/>
    <tableColumn id="67" xr3:uid="{00000000-0010-0000-0500-000043000000}" name="Jun _x000a_2015"/>
    <tableColumn id="68" xr3:uid="{00000000-0010-0000-0500-000044000000}" name="Jul _x000a_2015"/>
    <tableColumn id="69" xr3:uid="{00000000-0010-0000-0500-000045000000}" name="Aug _x000a_2015"/>
    <tableColumn id="70" xr3:uid="{00000000-0010-0000-0500-000046000000}" name="Sep _x000a_2015"/>
    <tableColumn id="71" xr3:uid="{00000000-0010-0000-0500-000047000000}" name="Oct _x000a_2015"/>
    <tableColumn id="72" xr3:uid="{00000000-0010-0000-0500-000048000000}" name="Nov _x000a_2015"/>
    <tableColumn id="73" xr3:uid="{00000000-0010-0000-0500-000049000000}" name="Dec _x000a_2015"/>
    <tableColumn id="74" xr3:uid="{00000000-0010-0000-0500-00004A000000}" name="Jan _x000a_2016"/>
    <tableColumn id="75" xr3:uid="{00000000-0010-0000-0500-00004B000000}" name="Feb _x000a_2016"/>
    <tableColumn id="76" xr3:uid="{00000000-0010-0000-0500-00004C000000}" name="Mar _x000a_2016"/>
    <tableColumn id="77" xr3:uid="{00000000-0010-0000-0500-00004D000000}" name="Apr _x000a_2016"/>
    <tableColumn id="78" xr3:uid="{00000000-0010-0000-0500-00004E000000}" name="May _x000a_2016"/>
    <tableColumn id="79" xr3:uid="{00000000-0010-0000-0500-00004F000000}" name="Jun _x000a_2016"/>
    <tableColumn id="80" xr3:uid="{00000000-0010-0000-0500-000050000000}" name="Jul _x000a_2016"/>
    <tableColumn id="81" xr3:uid="{00000000-0010-0000-0500-000051000000}" name="Aug _x000a_2016"/>
    <tableColumn id="82" xr3:uid="{00000000-0010-0000-0500-000052000000}" name="Sep _x000a_2016"/>
    <tableColumn id="83" xr3:uid="{00000000-0010-0000-0500-000053000000}" name="Oct _x000a_2016"/>
    <tableColumn id="84" xr3:uid="{00000000-0010-0000-0500-000054000000}" name="Nov _x000a_2016"/>
    <tableColumn id="85" xr3:uid="{00000000-0010-0000-0500-000055000000}" name="Dec _x000a_2016"/>
    <tableColumn id="86" xr3:uid="{00000000-0010-0000-0500-000056000000}" name="Jan _x000a_2017"/>
    <tableColumn id="87" xr3:uid="{00000000-0010-0000-0500-000057000000}" name="Feb _x000a_2017"/>
    <tableColumn id="88" xr3:uid="{00000000-0010-0000-0500-000058000000}" name="Mar _x000a_2017"/>
    <tableColumn id="89" xr3:uid="{00000000-0010-0000-0500-000059000000}" name="Apr _x000a_2017"/>
    <tableColumn id="90" xr3:uid="{00000000-0010-0000-0500-00005A000000}" name="May _x000a_2017"/>
    <tableColumn id="91" xr3:uid="{00000000-0010-0000-0500-00005B000000}" name="Jun _x000a_2017"/>
    <tableColumn id="92" xr3:uid="{00000000-0010-0000-0500-00005C000000}" name="Jul _x000a_2017"/>
    <tableColumn id="93" xr3:uid="{00000000-0010-0000-0500-00005D000000}" name="Aug _x000a_2017"/>
    <tableColumn id="94" xr3:uid="{00000000-0010-0000-0500-00005E000000}" name="Sep _x000a_2017"/>
    <tableColumn id="95" xr3:uid="{00000000-0010-0000-0500-00005F000000}" name="Oct _x000a_2017"/>
    <tableColumn id="96" xr3:uid="{00000000-0010-0000-0500-000060000000}" name="Nov _x000a_2017"/>
    <tableColumn id="97" xr3:uid="{00000000-0010-0000-0500-000061000000}" name="Dec _x000a_2017"/>
    <tableColumn id="98" xr3:uid="{00000000-0010-0000-0500-000062000000}" name="Jan _x000a_2018"/>
    <tableColumn id="99" xr3:uid="{00000000-0010-0000-0500-000063000000}" name="Feb _x000a_2018"/>
    <tableColumn id="100" xr3:uid="{00000000-0010-0000-0500-000064000000}" name="Mar _x000a_2018"/>
    <tableColumn id="101" xr3:uid="{00000000-0010-0000-0500-000065000000}" name="Apr _x000a_2018"/>
    <tableColumn id="102" xr3:uid="{00000000-0010-0000-0500-000066000000}" name="May _x000a_2018"/>
    <tableColumn id="103" xr3:uid="{00000000-0010-0000-0500-000067000000}" name="Jun _x000a_2018"/>
    <tableColumn id="104" xr3:uid="{00000000-0010-0000-0500-000068000000}" name="Jul _x000a_2018"/>
    <tableColumn id="105" xr3:uid="{00000000-0010-0000-0500-000069000000}" name="Aug _x000a_2018"/>
    <tableColumn id="106" xr3:uid="{00000000-0010-0000-0500-00006A000000}" name="Sep _x000a_2018"/>
    <tableColumn id="107" xr3:uid="{00000000-0010-0000-0500-00006B000000}" name="Oct _x000a_2018"/>
    <tableColumn id="108" xr3:uid="{00000000-0010-0000-0500-00006C000000}" name="Nov _x000a_2018"/>
    <tableColumn id="109" xr3:uid="{00000000-0010-0000-0500-00006D000000}" name="Dec _x000a_2018"/>
    <tableColumn id="110" xr3:uid="{00000000-0010-0000-0500-00006E000000}" name="Jan _x000a_2019" dataDxfId="871"/>
    <tableColumn id="111" xr3:uid="{00000000-0010-0000-0500-00006F000000}" name="Feb _x000a_2019"/>
    <tableColumn id="112" xr3:uid="{00000000-0010-0000-0500-000070000000}" name="Mar _x000a_2019"/>
    <tableColumn id="113" xr3:uid="{00000000-0010-0000-0500-000071000000}" name="Apr _x000a_2019"/>
    <tableColumn id="114" xr3:uid="{00000000-0010-0000-0500-000072000000}" name="May _x000a_2019"/>
    <tableColumn id="115" xr3:uid="{00000000-0010-0000-0500-000073000000}" name="Jun _x000a_2019"/>
    <tableColumn id="116" xr3:uid="{00000000-0010-0000-0500-000074000000}" name="Jul _x000a_2019"/>
    <tableColumn id="117" xr3:uid="{00000000-0010-0000-0500-000075000000}" name="Aug _x000a_2019"/>
    <tableColumn id="118" xr3:uid="{00000000-0010-0000-0500-000076000000}" name="Sep _x000a_2019"/>
    <tableColumn id="119" xr3:uid="{00000000-0010-0000-0500-000077000000}" name="Oct _x000a_2019"/>
    <tableColumn id="120" xr3:uid="{00000000-0010-0000-0500-000078000000}" name="Nov _x000a_2019"/>
    <tableColumn id="121" xr3:uid="{00000000-0010-0000-0500-000079000000}" name="Dec _x000a_2019"/>
    <tableColumn id="122" xr3:uid="{00000000-0010-0000-0500-00007A000000}" name="Jan _x000a_2020" dataDxfId="870"/>
    <tableColumn id="123" xr3:uid="{00000000-0010-0000-0500-00007B000000}" name="Feb _x000a_2020"/>
    <tableColumn id="124" xr3:uid="{00000000-0010-0000-0500-00007C000000}" name="Mar _x000a_2020"/>
    <tableColumn id="125" xr3:uid="{00000000-0010-0000-0500-00007D000000}" name="Apr _x000a_2020"/>
    <tableColumn id="126" xr3:uid="{00000000-0010-0000-0500-00007E000000}" name="May _x000a_2020"/>
    <tableColumn id="127" xr3:uid="{00000000-0010-0000-0500-00007F000000}" name="Jun _x000a_2020"/>
    <tableColumn id="128" xr3:uid="{00000000-0010-0000-0500-000080000000}" name="Jul _x000a_2020"/>
    <tableColumn id="129" xr3:uid="{00000000-0010-0000-0500-000081000000}" name="Aug _x000a_2020"/>
    <tableColumn id="130" xr3:uid="{00000000-0010-0000-0500-000082000000}" name="Sep  _x000a_2020"/>
    <tableColumn id="131" xr3:uid="{00000000-0010-0000-0500-000083000000}" name="Oct _x000a_2020"/>
    <tableColumn id="132" xr3:uid="{00000000-0010-0000-0500-000084000000}" name="Nov _x000a_2020"/>
    <tableColumn id="133" xr3:uid="{00000000-0010-0000-0500-000085000000}" name="Dec _x000a_2020"/>
    <tableColumn id="134" xr3:uid="{00000000-0010-0000-0500-000086000000}" name="Jan _x000a_2021" dataDxfId="869"/>
    <tableColumn id="135" xr3:uid="{00000000-0010-0000-0500-000087000000}" name="Feb _x000a_2021"/>
    <tableColumn id="136" xr3:uid="{00000000-0010-0000-0500-000088000000}" name="Mar _x000a_2021"/>
    <tableColumn id="137" xr3:uid="{00000000-0010-0000-0500-000089000000}" name="Apr _x000a_2021"/>
    <tableColumn id="138" xr3:uid="{00000000-0010-0000-0500-00008A000000}" name="May _x000a_2021"/>
    <tableColumn id="139" xr3:uid="{00000000-0010-0000-0500-00008B000000}" name="Jun _x000a_2021"/>
    <tableColumn id="140" xr3:uid="{B592CFEF-8386-4C3D-AAAE-CE0B14876059}" name="Jul_x000a_2021" dataDxfId="868" dataCellStyle="Comma"/>
    <tableColumn id="141" xr3:uid="{B20D07A4-EF05-47C3-878E-46ADA4A92336}" name="Aug _x000a_2021" dataDxfId="867" dataCellStyle="Comma"/>
    <tableColumn id="142" xr3:uid="{96A5BD77-8292-420E-86BD-3277E7744CB3}" name="Sep_x000a_2021" dataDxfId="866" dataCellStyle="Comma"/>
    <tableColumn id="143" xr3:uid="{770A1186-79A6-4D61-BA17-172C013F5770}" name="Oct_x000a_2021" dataDxfId="865" dataCellStyle="Comma"/>
    <tableColumn id="144" xr3:uid="{8C4881B3-203A-4C89-A6AD-A3D72749D5AE}" name="Nov_x000a_2021" dataDxfId="864" dataCellStyle="Comma"/>
    <tableColumn id="145" xr3:uid="{A36D20C4-C3F0-473E-9AA9-8932DD11B983}" name="Dec_x000a_2021" dataDxfId="863" dataCellStyle="Comma"/>
    <tableColumn id="146" xr3:uid="{127A97E1-BF97-4BDB-9967-7D1061DEC9D7}" name="Jan_x000a_2022" dataDxfId="862" dataCellStyle="Comma"/>
    <tableColumn id="147" xr3:uid="{70EC6BC7-79DB-406A-AB58-576D289FEECA}" name="Feb_x000a_2022" dataDxfId="861" dataCellStyle="Comma"/>
    <tableColumn id="148" xr3:uid="{A7EBF0EC-D88B-40E8-A99B-B40AE706D5A4}" name="Mar_x000a_2022" dataDxfId="860" dataCellStyle="Comma"/>
    <tableColumn id="149" xr3:uid="{408641EC-F82E-41E9-97E5-364B26B7D7D5}" name="Apr_x000a_2022" dataDxfId="859" dataCellStyle="Comma"/>
    <tableColumn id="150" xr3:uid="{852E35BE-DBD8-4991-8D59-F47044260962}" name="May_x000a_2022" dataDxfId="858" dataCellStyle="Comma"/>
    <tableColumn id="151" xr3:uid="{3F5204CF-4706-4606-9EE5-B308B595250D}" name="Jun_x000a_2022" dataDxfId="857" dataCellStyle="Comma"/>
    <tableColumn id="152" xr3:uid="{DB9E7E63-2290-47C2-8835-1B8038F2F346}" name="Jul_x000a_2022" dataDxfId="856" dataCellStyle="Comma"/>
    <tableColumn id="153" xr3:uid="{220D1823-076C-4D1C-AB06-0948419A6311}" name="Aug _x000a_2022" dataDxfId="855" dataCellStyle="Comma"/>
    <tableColumn id="154" xr3:uid="{833FF6C1-F50B-4CDA-838C-DE9CFE0849C0}" name="Sep_x000a_2022" dataDxfId="854" dataCellStyle="Comma"/>
    <tableColumn id="157" xr3:uid="{3331FD92-AD76-4A81-9840-9C8407E21659}" name="Oct_x000a_2022" dataDxfId="853" dataCellStyle="Comma"/>
    <tableColumn id="155" xr3:uid="{E8712C65-CC94-4D81-BF78-C74512F29FA2}" name="Nov_x000a_2022" dataDxfId="852" dataCellStyle="Comma"/>
    <tableColumn id="156" xr3:uid="{5DF0590E-C53E-421B-A5FB-70C83EF74D10}" name="Dec_x000a_2022" dataDxfId="851" dataCellStyle="Comma"/>
    <tableColumn id="158" xr3:uid="{C1BDF048-204A-46F3-9B80-866C592DA535}" name="Jan_x000a_2023" dataDxfId="850" dataCellStyle="Comma"/>
    <tableColumn id="159" xr3:uid="{A2A13965-AD26-44A9-BCD5-7FE40019735D}" name="Feb_x000a_2023" dataDxfId="849" dataCellStyle="Comma"/>
    <tableColumn id="160" xr3:uid="{06F31A9A-92E7-4958-A1D6-E84D755E0212}" name="Mar_x000a_2023" dataDxfId="848" dataCellStyle="Comma"/>
    <tableColumn id="161" xr3:uid="{F43C7EE3-7B79-4CAB-8CFB-60ED034C8451}" name="Apr_x000a_2023" dataDxfId="847" dataCellStyle="Comma"/>
    <tableColumn id="162" xr3:uid="{18486402-9686-4487-8320-5F84FCB7BFE9}" name="May_x000a_2023" dataDxfId="846" dataCellStyle="Comma"/>
    <tableColumn id="163" xr3:uid="{319D13B7-5FB3-4E46-A03C-3A978CFB7975}" name="Jun_x000a_2023" dataDxfId="845" dataCellStyle="Comma"/>
    <tableColumn id="164" xr3:uid="{9637C858-45C1-4FE7-931A-EC974762DCC3}" name="Jul_x000a_2023" dataDxfId="844" dataCellStyle="Comma"/>
    <tableColumn id="165" xr3:uid="{2FE6489B-7638-416D-88F6-C919CAA532DE}" name="Aug_x000a_2023" dataDxfId="843" dataCellStyle="Comma"/>
    <tableColumn id="166" xr3:uid="{B199BF24-CD19-44B3-8EAC-260FCA4A569D}" name="Sep_x000a_2023" dataDxfId="842" dataCellStyle="Comma"/>
    <tableColumn id="167" xr3:uid="{DE408C44-694E-41FF-8FE0-3D1A07FB24E7}" name="Oct_x000a_2023" dataDxfId="841" dataCellStyle="Comma"/>
    <tableColumn id="168" xr3:uid="{F41C1206-CFB2-4ADD-9611-AE46124A0BBA}" name="Nov_x000a_2023" dataDxfId="840" dataCellStyle="Comma"/>
    <tableColumn id="169" xr3:uid="{76E9E32D-1C14-4CEA-A496-8AA3C0086608}" name="Dec_x000a_2023" dataDxfId="839" dataCellStyle="Comma"/>
    <tableColumn id="170" xr3:uid="{B8C65D28-2CF5-4AD7-92BF-8977AE2B0604}" name="Jan_x000a_2024" dataDxfId="838" dataCellStyle="Comma"/>
    <tableColumn id="171" xr3:uid="{26C3275A-1C3C-4314-9E60-ABA22F07D018}" name="Feb_x000a_2024" dataDxfId="837" dataCellStyle="Comma"/>
    <tableColumn id="172" xr3:uid="{FBA202C3-0221-4588-BFF2-E70ED585C7F8}" name="Mar_x000a_2024" dataDxfId="836" dataCellStyle="Comma"/>
    <tableColumn id="174" xr3:uid="{63D91D68-50EF-4D4B-A765-250D52FD9204}" name="Apr_x000a_2024" dataDxfId="835" dataCellStyle="Comma"/>
    <tableColumn id="175" xr3:uid="{186B0AD9-637A-4EAC-A466-CF4CA3445EB0}" name="May_x000a_2024" dataDxfId="834" dataCellStyle="Comma"/>
    <tableColumn id="173" xr3:uid="{CDDE7710-9E1C-412D-99A2-9AB4E7D1EB6D}" name="Jun_x000a_2024" dataDxfId="833" dataCellStyle="Comma"/>
    <tableColumn id="176" xr3:uid="{9C988A86-55D5-4110-B66C-9D8B19883F95}" name="Jul_x000a_2024" dataDxfId="832" dataCellStyle="Comma"/>
    <tableColumn id="177" xr3:uid="{95C491C1-9F6A-4EB2-A918-12EEF942D7A3}" name="Aug_x000a_2024" dataDxfId="831" dataCellStyle="Comma"/>
    <tableColumn id="178" xr3:uid="{1A6C27D3-1B45-43D2-8A35-20537E575154}" name="Sep_x000a_2024" dataDxfId="830" dataCellStyle="Comma"/>
    <tableColumn id="179" xr3:uid="{D171B334-5902-4AC6-88EC-B90CDF1389F1}" name="Oct_x000a_2024" dataDxfId="829" dataCellStyle="Comma"/>
    <tableColumn id="180" xr3:uid="{21DAA5CE-E87D-4A2F-9A48-6E4F1CA48648}" name="Nov_x000a_2024" dataDxfId="828" dataCellStyle="Comma"/>
    <tableColumn id="181" xr3:uid="{26A4E87F-00D6-4E7C-8861-BF28B87B7862}" name="Dec_x000a_2024" dataDxfId="827" dataCellStyle="Comma"/>
    <tableColumn id="182" xr3:uid="{E4898D14-4987-4F52-A85B-F26A8C4A448B}" name="Jan_x000a_2025" dataDxfId="826" dataCellStyle="Comma"/>
    <tableColumn id="183" xr3:uid="{66B123B8-4A1F-4712-92D5-80DE7F33CC3A}" name="Feb_x000a_2025" dataDxfId="825" dataCellStyle="Comma"/>
    <tableColumn id="184" xr3:uid="{F6C54F76-CDFF-42E0-8A9B-D7F24ADBCB47}" name="Mar_x000a_2025" dataDxfId="824" dataCellStyle="Comma"/>
    <tableColumn id="185" xr3:uid="{0F0BDCDF-26C8-4E08-B1B7-7587A14744AF}" name="Apr_x000a_2025" dataDxfId="823" dataCellStyle="Comma"/>
    <tableColumn id="186" xr3:uid="{CC877750-E199-40DA-966C-DE84B1434D09}" name="May_x000a_2025" dataDxfId="822" dataCellStyle="Comma"/>
    <tableColumn id="187" xr3:uid="{89BC07E5-D1E0-4D6A-A771-077D0BC3DCF2}" name="Jun_x000a_2025" dataDxfId="821" dataCellStyle="Comma"/>
    <tableColumn id="188" xr3:uid="{1FD8B075-473E-4641-AAFC-B5FD0E82457C}" name="Jul_x000a_2025" dataDxfId="820" dataCellStyle="Comma"/>
    <tableColumn id="189" xr3:uid="{F3018D8A-0FBF-45DB-9F1B-3A882A432C5B}" name="Aug_x000a_2025" dataDxfId="819" dataCellStyle="Comma"/>
    <tableColumn id="190" xr3:uid="{CF488D2B-D83B-4505-A255-B5BA0CC7C78A}" name="Sep_x000a_2025" dataDxfId="818" dataCellStyle="Comma"/>
    <tableColumn id="191" xr3:uid="{A5A47D36-FB7F-4621-81F9-968420EEFC0C}" name="Oct_x000a_2025" dataDxfId="817" dataCellStyle="Comma"/>
    <tableColumn id="192" xr3:uid="{E548BA45-D031-4F26-9F66-B2C6D8082F0A}" name="Nov_x000a_2025" dataDxfId="816" dataCellStyle="Comma"/>
    <tableColumn id="193" xr3:uid="{F2A658A9-AB22-445D-8665-4ADD7D3E08CD}" name="Dec_x000a_2025" dataDxfId="815" dataCellStyle="Comma"/>
    <tableColumn id="194" xr3:uid="{5EAB28E2-5F72-49B6-8484-2E9FA11E6C64}" name="Jan_x000a_2026" dataDxfId="814" dataCellStyle="Comma"/>
    <tableColumn id="195" xr3:uid="{A2F75231-7200-4465-A9AA-1648983683D4}" name="Feb_x000a_2026" dataDxfId="813" dataCellStyle="Comma"/>
    <tableColumn id="196" xr3:uid="{68540E85-76E3-4EF6-AD70-71A98C1C4C45}" name="Mar_x000a_2026" dataDxfId="812" dataCellStyle="Comma"/>
    <tableColumn id="197" xr3:uid="{15E7905F-0B69-4CF7-9BEC-944701FDF8FF}" name="Apr_x000a_2026" dataDxfId="811" dataCellStyle="Comma"/>
    <tableColumn id="198" xr3:uid="{FE536791-114B-4EB3-85C1-72141937194F}" name="May_x000a_2026" dataDxfId="810" dataCellStyle="Comma"/>
    <tableColumn id="199" xr3:uid="{14D4997D-72A2-4FD5-8952-55A921BF2020}" name="Jun_x000a_2026" dataDxfId="809"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umulative_count_by_scheme" displayName="Cumulative_count_by_scheme" ref="A28:GQ49" totalsRowShown="0" headerRowDxfId="808" dataDxfId="806" headerRowBorderDxfId="807" tableBorderDxfId="805" dataCellStyle="Comma">
  <tableColumns count="199">
    <tableColumn id="1" xr3:uid="{00000000-0010-0000-0600-000001000000}" name="CUMULATIVE COUNT" dataDxfId="804"/>
    <tableColumn id="2" xr3:uid="{00000000-0010-0000-0600-000002000000}" name="Jan _x000a_2010" dataDxfId="803" dataCellStyle="Comma"/>
    <tableColumn id="3" xr3:uid="{00000000-0010-0000-0600-000003000000}" name="Feb _x000a_2010" dataDxfId="802" dataCellStyle="Comma"/>
    <tableColumn id="4" xr3:uid="{00000000-0010-0000-0600-000004000000}" name="Mar _x000a_2010" dataDxfId="801" dataCellStyle="Comma"/>
    <tableColumn id="5" xr3:uid="{00000000-0010-0000-0600-000005000000}" name="Apr _x000a_2010" dataDxfId="800" dataCellStyle="Comma"/>
    <tableColumn id="6" xr3:uid="{00000000-0010-0000-0600-000006000000}" name="May _x000a_2010" dataDxfId="799" dataCellStyle="Comma"/>
    <tableColumn id="7" xr3:uid="{00000000-0010-0000-0600-000007000000}" name="Jun _x000a_2010" dataDxfId="798" dataCellStyle="Comma"/>
    <tableColumn id="8" xr3:uid="{00000000-0010-0000-0600-000008000000}" name="Jul _x000a_2010" dataDxfId="797" dataCellStyle="Comma"/>
    <tableColumn id="9" xr3:uid="{00000000-0010-0000-0600-000009000000}" name="Aug _x000a_2010" dataDxfId="796" dataCellStyle="Comma"/>
    <tableColumn id="10" xr3:uid="{00000000-0010-0000-0600-00000A000000}" name="Sep _x000a_2010" dataDxfId="795" dataCellStyle="Comma"/>
    <tableColumn id="11" xr3:uid="{00000000-0010-0000-0600-00000B000000}" name="Oct _x000a_2010" dataDxfId="794" dataCellStyle="Comma"/>
    <tableColumn id="12" xr3:uid="{00000000-0010-0000-0600-00000C000000}" name="Nov _x000a_2010" dataDxfId="793" dataCellStyle="Comma"/>
    <tableColumn id="13" xr3:uid="{00000000-0010-0000-0600-00000D000000}" name="Dec _x000a_2010" dataDxfId="792" dataCellStyle="Comma"/>
    <tableColumn id="14" xr3:uid="{00000000-0010-0000-0600-00000E000000}" name="Jan _x000a_2011" dataDxfId="791" dataCellStyle="Comma"/>
    <tableColumn id="15" xr3:uid="{00000000-0010-0000-0600-00000F000000}" name="Feb _x000a_2011" dataDxfId="790" dataCellStyle="Comma"/>
    <tableColumn id="16" xr3:uid="{00000000-0010-0000-0600-000010000000}" name="Mar _x000a_2011" dataDxfId="789" dataCellStyle="Comma"/>
    <tableColumn id="17" xr3:uid="{00000000-0010-0000-0600-000011000000}" name="Apr _x000a_2011" dataDxfId="788" dataCellStyle="Comma"/>
    <tableColumn id="18" xr3:uid="{00000000-0010-0000-0600-000012000000}" name="May _x000a_2011" dataDxfId="787" dataCellStyle="Comma"/>
    <tableColumn id="19" xr3:uid="{00000000-0010-0000-0600-000013000000}" name="Jun _x000a_2011" dataDxfId="786" dataCellStyle="Comma"/>
    <tableColumn id="20" xr3:uid="{00000000-0010-0000-0600-000014000000}" name="Jul _x000a_2011" dataDxfId="785" dataCellStyle="Comma"/>
    <tableColumn id="21" xr3:uid="{00000000-0010-0000-0600-000015000000}" name="Aug _x000a_2011" dataDxfId="784" dataCellStyle="Comma"/>
    <tableColumn id="22" xr3:uid="{00000000-0010-0000-0600-000016000000}" name="Sep _x000a_2011" dataDxfId="783" dataCellStyle="Comma"/>
    <tableColumn id="23" xr3:uid="{00000000-0010-0000-0600-000017000000}" name="Oct _x000a_2011" dataDxfId="782" dataCellStyle="Comma"/>
    <tableColumn id="24" xr3:uid="{00000000-0010-0000-0600-000018000000}" name="Nov _x000a_2011" dataDxfId="781" dataCellStyle="Comma"/>
    <tableColumn id="25" xr3:uid="{00000000-0010-0000-0600-000019000000}" name="Dec _x000a_2011" dataDxfId="780" dataCellStyle="Comma"/>
    <tableColumn id="26" xr3:uid="{00000000-0010-0000-0600-00001A000000}" name="Jan _x000a_2012" dataDxfId="779" dataCellStyle="Comma"/>
    <tableColumn id="27" xr3:uid="{00000000-0010-0000-0600-00001B000000}" name="Feb _x000a_2012" dataDxfId="778" dataCellStyle="Comma"/>
    <tableColumn id="28" xr3:uid="{00000000-0010-0000-0600-00001C000000}" name="Mar _x000a_2012" dataDxfId="777" dataCellStyle="Comma"/>
    <tableColumn id="29" xr3:uid="{00000000-0010-0000-0600-00001D000000}" name="Apr _x000a_2012" dataDxfId="776" dataCellStyle="Comma"/>
    <tableColumn id="30" xr3:uid="{00000000-0010-0000-0600-00001E000000}" name="May _x000a_2012" dataDxfId="775" dataCellStyle="Comma"/>
    <tableColumn id="31" xr3:uid="{00000000-0010-0000-0600-00001F000000}" name="Jun _x000a_2012" dataDxfId="774" dataCellStyle="Comma"/>
    <tableColumn id="32" xr3:uid="{00000000-0010-0000-0600-000020000000}" name="Jul _x000a_2012" dataDxfId="773" dataCellStyle="Comma"/>
    <tableColumn id="33" xr3:uid="{00000000-0010-0000-0600-000021000000}" name="Aug _x000a_2012" dataDxfId="772" dataCellStyle="Comma"/>
    <tableColumn id="34" xr3:uid="{00000000-0010-0000-0600-000022000000}" name="Sep _x000a_2012" dataDxfId="771" dataCellStyle="Comma"/>
    <tableColumn id="35" xr3:uid="{00000000-0010-0000-0600-000023000000}" name="Oct _x000a_2012" dataDxfId="770" dataCellStyle="Comma"/>
    <tableColumn id="36" xr3:uid="{00000000-0010-0000-0600-000024000000}" name="Nov _x000a_2012" dataDxfId="769" dataCellStyle="Comma"/>
    <tableColumn id="37" xr3:uid="{00000000-0010-0000-0600-000025000000}" name="Dec _x000a_2012" dataDxfId="768" dataCellStyle="Comma"/>
    <tableColumn id="38" xr3:uid="{00000000-0010-0000-0600-000026000000}" name="Jan _x000a_2013" dataDxfId="767" dataCellStyle="Comma"/>
    <tableColumn id="39" xr3:uid="{00000000-0010-0000-0600-000027000000}" name="Feb _x000a_2013" dataDxfId="766" dataCellStyle="Comma"/>
    <tableColumn id="40" xr3:uid="{00000000-0010-0000-0600-000028000000}" name="Mar _x000a_2013" dataDxfId="765" dataCellStyle="Comma"/>
    <tableColumn id="41" xr3:uid="{00000000-0010-0000-0600-000029000000}" name="Apr _x000a_2013" dataDxfId="764" dataCellStyle="Comma"/>
    <tableColumn id="42" xr3:uid="{00000000-0010-0000-0600-00002A000000}" name="May _x000a_2013" dataDxfId="763" dataCellStyle="Comma"/>
    <tableColumn id="43" xr3:uid="{00000000-0010-0000-0600-00002B000000}" name="Jun _x000a_2013" dataDxfId="762" dataCellStyle="Comma"/>
    <tableColumn id="44" xr3:uid="{00000000-0010-0000-0600-00002C000000}" name="Jul _x000a_2013" dataDxfId="761" dataCellStyle="Comma"/>
    <tableColumn id="45" xr3:uid="{00000000-0010-0000-0600-00002D000000}" name="Aug _x000a_2013" dataDxfId="760" dataCellStyle="Comma"/>
    <tableColumn id="46" xr3:uid="{00000000-0010-0000-0600-00002E000000}" name="Sep _x000a_2013" dataDxfId="759" dataCellStyle="Comma"/>
    <tableColumn id="47" xr3:uid="{00000000-0010-0000-0600-00002F000000}" name="Oct _x000a_2013" dataDxfId="758" dataCellStyle="Comma"/>
    <tableColumn id="48" xr3:uid="{00000000-0010-0000-0600-000030000000}" name=" Nov _x000a_2013" dataDxfId="757" dataCellStyle="Comma"/>
    <tableColumn id="49" xr3:uid="{00000000-0010-0000-0600-000031000000}" name="Dec _x000a_2013" dataDxfId="756" dataCellStyle="Comma"/>
    <tableColumn id="50" xr3:uid="{00000000-0010-0000-0600-000032000000}" name="Jan _x000a_2014" dataDxfId="755" dataCellStyle="Comma"/>
    <tableColumn id="51" xr3:uid="{00000000-0010-0000-0600-000033000000}" name="Feb _x000a_2014" dataDxfId="754" dataCellStyle="Comma"/>
    <tableColumn id="52" xr3:uid="{00000000-0010-0000-0600-000034000000}" name="Mar _x000a_2014" dataDxfId="753" dataCellStyle="Comma"/>
    <tableColumn id="53" xr3:uid="{00000000-0010-0000-0600-000035000000}" name="Apr _x000a_2014" dataDxfId="752" dataCellStyle="Comma"/>
    <tableColumn id="54" xr3:uid="{00000000-0010-0000-0600-000036000000}" name="May _x000a_2014" dataDxfId="751" dataCellStyle="Comma"/>
    <tableColumn id="55" xr3:uid="{00000000-0010-0000-0600-000037000000}" name="Jun _x000a_2014" dataDxfId="750" dataCellStyle="Comma"/>
    <tableColumn id="56" xr3:uid="{00000000-0010-0000-0600-000038000000}" name="Jul _x000a_2014" dataDxfId="749" dataCellStyle="Comma"/>
    <tableColumn id="57" xr3:uid="{00000000-0010-0000-0600-000039000000}" name="Aug _x000a_2014" dataDxfId="748" dataCellStyle="Comma"/>
    <tableColumn id="58" xr3:uid="{00000000-0010-0000-0600-00003A000000}" name="Sep _x000a_2014" dataDxfId="747" dataCellStyle="Comma"/>
    <tableColumn id="59" xr3:uid="{00000000-0010-0000-0600-00003B000000}" name="Oct _x000a_2014" dataDxfId="746" dataCellStyle="Comma"/>
    <tableColumn id="60" xr3:uid="{00000000-0010-0000-0600-00003C000000}" name="Nov _x000a_2014" dataDxfId="745" dataCellStyle="Comma"/>
    <tableColumn id="61" xr3:uid="{00000000-0010-0000-0600-00003D000000}" name="Dec _x000a_2014" dataDxfId="744" dataCellStyle="Comma"/>
    <tableColumn id="62" xr3:uid="{00000000-0010-0000-0600-00003E000000}" name="Jan _x000a_2015" dataDxfId="743" dataCellStyle="Comma"/>
    <tableColumn id="63" xr3:uid="{00000000-0010-0000-0600-00003F000000}" name="Feb _x000a_2015" dataDxfId="742" dataCellStyle="Comma"/>
    <tableColumn id="64" xr3:uid="{00000000-0010-0000-0600-000040000000}" name="Mar _x000a_2015" dataDxfId="741" dataCellStyle="Comma"/>
    <tableColumn id="65" xr3:uid="{00000000-0010-0000-0600-000041000000}" name="Apr _x000a_2015" dataDxfId="740" dataCellStyle="Comma"/>
    <tableColumn id="66" xr3:uid="{00000000-0010-0000-0600-000042000000}" name="May _x000a_2015" dataDxfId="739" dataCellStyle="Comma"/>
    <tableColumn id="67" xr3:uid="{00000000-0010-0000-0600-000043000000}" name="Jun _x000a_2015" dataDxfId="738" dataCellStyle="Comma"/>
    <tableColumn id="68" xr3:uid="{00000000-0010-0000-0600-000044000000}" name="Jul _x000a_2015" dataDxfId="737" dataCellStyle="Comma"/>
    <tableColumn id="69" xr3:uid="{00000000-0010-0000-0600-000045000000}" name="Aug _x000a_2015" dataDxfId="736" dataCellStyle="Comma"/>
    <tableColumn id="70" xr3:uid="{00000000-0010-0000-0600-000046000000}" name="Sep _x000a_2015" dataDxfId="735" dataCellStyle="Comma"/>
    <tableColumn id="71" xr3:uid="{00000000-0010-0000-0600-000047000000}" name="Oct _x000a_2015" dataDxfId="734" dataCellStyle="Comma"/>
    <tableColumn id="72" xr3:uid="{00000000-0010-0000-0600-000048000000}" name="Nov _x000a_2015" dataDxfId="733" dataCellStyle="Comma"/>
    <tableColumn id="73" xr3:uid="{00000000-0010-0000-0600-000049000000}" name="Dec _x000a_2015" dataDxfId="732" dataCellStyle="Comma"/>
    <tableColumn id="74" xr3:uid="{00000000-0010-0000-0600-00004A000000}" name="Jan _x000a_2016" dataDxfId="731" dataCellStyle="Comma"/>
    <tableColumn id="75" xr3:uid="{00000000-0010-0000-0600-00004B000000}" name="Feb _x000a_2016" dataDxfId="730" dataCellStyle="Comma"/>
    <tableColumn id="76" xr3:uid="{00000000-0010-0000-0600-00004C000000}" name="Mar _x000a_2016" dataDxfId="729" dataCellStyle="Comma"/>
    <tableColumn id="77" xr3:uid="{00000000-0010-0000-0600-00004D000000}" name="Apr _x000a_2016" dataDxfId="728" dataCellStyle="Comma"/>
    <tableColumn id="78" xr3:uid="{00000000-0010-0000-0600-00004E000000}" name="May _x000a_2016" dataDxfId="727" dataCellStyle="Comma"/>
    <tableColumn id="79" xr3:uid="{00000000-0010-0000-0600-00004F000000}" name="Jun _x000a_2016" dataDxfId="726" dataCellStyle="Comma"/>
    <tableColumn id="80" xr3:uid="{00000000-0010-0000-0600-000050000000}" name="Jul _x000a_2016" dataDxfId="725" dataCellStyle="Comma"/>
    <tableColumn id="81" xr3:uid="{00000000-0010-0000-0600-000051000000}" name="Aug _x000a_2016" dataDxfId="724" dataCellStyle="Comma"/>
    <tableColumn id="82" xr3:uid="{00000000-0010-0000-0600-000052000000}" name="Sep _x000a_2016" dataDxfId="723" dataCellStyle="Comma"/>
    <tableColumn id="83" xr3:uid="{00000000-0010-0000-0600-000053000000}" name="Oct _x000a_2016" dataDxfId="722" dataCellStyle="Comma"/>
    <tableColumn id="84" xr3:uid="{00000000-0010-0000-0600-000054000000}" name="Nov _x000a_2016" dataDxfId="721" dataCellStyle="Comma"/>
    <tableColumn id="85" xr3:uid="{00000000-0010-0000-0600-000055000000}" name="Dec _x000a_2016" dataDxfId="720" dataCellStyle="Comma"/>
    <tableColumn id="86" xr3:uid="{00000000-0010-0000-0600-000056000000}" name="Jan _x000a_2017" dataDxfId="719" dataCellStyle="Comma"/>
    <tableColumn id="87" xr3:uid="{00000000-0010-0000-0600-000057000000}" name="Feb _x000a_2017" dataDxfId="718" dataCellStyle="Comma"/>
    <tableColumn id="88" xr3:uid="{00000000-0010-0000-0600-000058000000}" name="Mar _x000a_2017" dataDxfId="717" dataCellStyle="Comma"/>
    <tableColumn id="89" xr3:uid="{00000000-0010-0000-0600-000059000000}" name="Apr _x000a_2017" dataDxfId="716" dataCellStyle="Comma"/>
    <tableColumn id="90" xr3:uid="{00000000-0010-0000-0600-00005A000000}" name="May _x000a_2017" dataDxfId="715" dataCellStyle="Comma"/>
    <tableColumn id="91" xr3:uid="{00000000-0010-0000-0600-00005B000000}" name="Jun _x000a_2017" dataDxfId="714" dataCellStyle="Comma"/>
    <tableColumn id="92" xr3:uid="{00000000-0010-0000-0600-00005C000000}" name="Jul _x000a_2017" dataDxfId="713" dataCellStyle="Comma"/>
    <tableColumn id="93" xr3:uid="{00000000-0010-0000-0600-00005D000000}" name="Aug _x000a_2017" dataDxfId="712" dataCellStyle="Comma"/>
    <tableColumn id="94" xr3:uid="{00000000-0010-0000-0600-00005E000000}" name="Sep _x000a_2017" dataDxfId="711" dataCellStyle="Comma"/>
    <tableColumn id="95" xr3:uid="{00000000-0010-0000-0600-00005F000000}" name="Oct _x000a_2017" dataDxfId="710" dataCellStyle="Comma"/>
    <tableColumn id="96" xr3:uid="{00000000-0010-0000-0600-000060000000}" name="Nov _x000a_2017" dataDxfId="709" dataCellStyle="Comma"/>
    <tableColumn id="97" xr3:uid="{00000000-0010-0000-0600-000061000000}" name="Dec _x000a_2017" dataDxfId="708" dataCellStyle="Comma"/>
    <tableColumn id="98" xr3:uid="{00000000-0010-0000-0600-000062000000}" name="Jan _x000a_2018" dataDxfId="707" dataCellStyle="Comma"/>
    <tableColumn id="99" xr3:uid="{00000000-0010-0000-0600-000063000000}" name="Feb _x000a_2018" dataDxfId="706" dataCellStyle="Comma"/>
    <tableColumn id="100" xr3:uid="{00000000-0010-0000-0600-000064000000}" name="Mar _x000a_2018" dataDxfId="705" dataCellStyle="Comma"/>
    <tableColumn id="101" xr3:uid="{00000000-0010-0000-0600-000065000000}" name="Apr _x000a_2018" dataDxfId="704" dataCellStyle="Comma"/>
    <tableColumn id="102" xr3:uid="{00000000-0010-0000-0600-000066000000}" name="May _x000a_2018" dataDxfId="703" dataCellStyle="Comma"/>
    <tableColumn id="103" xr3:uid="{00000000-0010-0000-0600-000067000000}" name="Jun _x000a_2018" dataDxfId="702" dataCellStyle="Comma"/>
    <tableColumn id="104" xr3:uid="{00000000-0010-0000-0600-000068000000}" name="Jul _x000a_2018" dataDxfId="701" dataCellStyle="Comma"/>
    <tableColumn id="105" xr3:uid="{00000000-0010-0000-0600-000069000000}" name="Aug _x000a_2018" dataDxfId="700" dataCellStyle="Comma"/>
    <tableColumn id="106" xr3:uid="{00000000-0010-0000-0600-00006A000000}" name="Sep _x000a_2018" dataDxfId="699" dataCellStyle="Comma"/>
    <tableColumn id="107" xr3:uid="{00000000-0010-0000-0600-00006B000000}" name="Oct _x000a_2018" dataDxfId="698" dataCellStyle="Comma"/>
    <tableColumn id="108" xr3:uid="{00000000-0010-0000-0600-00006C000000}" name="Nov _x000a_2018" dataDxfId="697" dataCellStyle="Comma"/>
    <tableColumn id="109" xr3:uid="{00000000-0010-0000-0600-00006D000000}" name="Dec _x000a_2018" dataDxfId="696" dataCellStyle="Comma"/>
    <tableColumn id="110" xr3:uid="{00000000-0010-0000-0600-00006E000000}" name="Jan _x000a_2019" dataDxfId="695" dataCellStyle="Comma"/>
    <tableColumn id="111" xr3:uid="{00000000-0010-0000-0600-00006F000000}" name="Feb _x000a_2019" dataDxfId="694" dataCellStyle="Comma"/>
    <tableColumn id="112" xr3:uid="{00000000-0010-0000-0600-000070000000}" name="Mar _x000a_2019" dataDxfId="693" dataCellStyle="Comma"/>
    <tableColumn id="113" xr3:uid="{00000000-0010-0000-0600-000071000000}" name="Apr _x000a_2019" dataDxfId="692" dataCellStyle="Comma"/>
    <tableColumn id="114" xr3:uid="{00000000-0010-0000-0600-000072000000}" name="May _x000a_2019" dataDxfId="691" dataCellStyle="Comma"/>
    <tableColumn id="115" xr3:uid="{00000000-0010-0000-0600-000073000000}" name="Jun _x000a_2019" dataDxfId="690" dataCellStyle="Comma"/>
    <tableColumn id="116" xr3:uid="{00000000-0010-0000-0600-000074000000}" name="Jul _x000a_2019" dataDxfId="689" dataCellStyle="Comma"/>
    <tableColumn id="117" xr3:uid="{00000000-0010-0000-0600-000075000000}" name="Aug _x000a_2019" dataDxfId="688" dataCellStyle="Comma"/>
    <tableColumn id="118" xr3:uid="{00000000-0010-0000-0600-000076000000}" name="Sep _x000a_2019" dataDxfId="687" dataCellStyle="Comma"/>
    <tableColumn id="119" xr3:uid="{00000000-0010-0000-0600-000077000000}" name="Oct _x000a_2019" dataDxfId="686" dataCellStyle="Comma"/>
    <tableColumn id="120" xr3:uid="{00000000-0010-0000-0600-000078000000}" name="Nov _x000a_2019" dataDxfId="685" dataCellStyle="Comma"/>
    <tableColumn id="121" xr3:uid="{00000000-0010-0000-0600-000079000000}" name="Dec _x000a_2019" dataDxfId="684" dataCellStyle="Comma"/>
    <tableColumn id="122" xr3:uid="{00000000-0010-0000-0600-00007A000000}" name="Jan _x000a_2020" dataDxfId="683" dataCellStyle="Comma"/>
    <tableColumn id="123" xr3:uid="{00000000-0010-0000-0600-00007B000000}" name="Feb _x000a_2020" dataDxfId="682" dataCellStyle="Comma"/>
    <tableColumn id="124" xr3:uid="{00000000-0010-0000-0600-00007C000000}" name="Mar _x000a_2020" dataDxfId="681" dataCellStyle="Comma"/>
    <tableColumn id="125" xr3:uid="{00000000-0010-0000-0600-00007D000000}" name="Apr _x000a_2020" dataDxfId="680" dataCellStyle="Comma"/>
    <tableColumn id="126" xr3:uid="{00000000-0010-0000-0600-00007E000000}" name="May _x000a_2020" dataDxfId="679" dataCellStyle="Comma"/>
    <tableColumn id="127" xr3:uid="{00000000-0010-0000-0600-00007F000000}" name="Jun _x000a_2020" dataDxfId="678" dataCellStyle="Comma"/>
    <tableColumn id="128" xr3:uid="{00000000-0010-0000-0600-000080000000}" name="Jul _x000a_2020" dataDxfId="677" dataCellStyle="Comma"/>
    <tableColumn id="129" xr3:uid="{00000000-0010-0000-0600-000081000000}" name="Aug _x000a_2020" dataDxfId="676" dataCellStyle="Comma"/>
    <tableColumn id="130" xr3:uid="{00000000-0010-0000-0600-000082000000}" name="Sep  _x000a_2020" dataDxfId="675" dataCellStyle="Comma"/>
    <tableColumn id="131" xr3:uid="{00000000-0010-0000-0600-000083000000}" name="Oct _x000a_2020" dataDxfId="674" dataCellStyle="Comma"/>
    <tableColumn id="132" xr3:uid="{00000000-0010-0000-0600-000084000000}" name="Nov _x000a_2020" dataDxfId="673" dataCellStyle="Comma"/>
    <tableColumn id="133" xr3:uid="{00000000-0010-0000-0600-000085000000}" name="Dec _x000a_2020" dataDxfId="672" dataCellStyle="Comma"/>
    <tableColumn id="134" xr3:uid="{00000000-0010-0000-0600-000086000000}" name="Jan _x000a_2021" dataDxfId="671" dataCellStyle="Comma"/>
    <tableColumn id="135" xr3:uid="{00000000-0010-0000-0600-000087000000}" name="Feb _x000a_2021" dataDxfId="670" dataCellStyle="Comma"/>
    <tableColumn id="136" xr3:uid="{00000000-0010-0000-0600-000088000000}" name="Mar _x000a_2021" dataDxfId="669" dataCellStyle="Comma"/>
    <tableColumn id="137" xr3:uid="{00000000-0010-0000-0600-000089000000}" name="Apr _x000a_2021" dataDxfId="668" dataCellStyle="Comma"/>
    <tableColumn id="138" xr3:uid="{00000000-0010-0000-0600-00008A000000}" name="May _x000a_2021" dataDxfId="667" dataCellStyle="Comma"/>
    <tableColumn id="139" xr3:uid="{00000000-0010-0000-0600-00008B000000}" name="Jun _x000a_2021" dataDxfId="666" dataCellStyle="Comma"/>
    <tableColumn id="140" xr3:uid="{00000000-0010-0000-0600-00008C000000}" name="Jul_x000a_2021" dataDxfId="665" dataCellStyle="Comma"/>
    <tableColumn id="141" xr3:uid="{00000000-0010-0000-0600-00008D000000}" name="Aug _x000a_2021" dataDxfId="664" dataCellStyle="Comma"/>
    <tableColumn id="142" xr3:uid="{00000000-0010-0000-0600-00008E000000}" name="Sep_x000a_2021" dataDxfId="663" dataCellStyle="Comma"/>
    <tableColumn id="143" xr3:uid="{E407BC49-AEFE-444D-94C3-3908A28BE4AC}" name="Oct_x000a_2021" dataDxfId="662" dataCellStyle="Comma"/>
    <tableColumn id="144" xr3:uid="{1EF4507E-85D5-4F6F-BFF2-7BFB32651F99}" name="Nov_x000a_2021" dataDxfId="661" dataCellStyle="Comma"/>
    <tableColumn id="145" xr3:uid="{625B115C-446C-487D-8FCC-E8DE54B11B56}" name="Dec_x000a_2022" dataDxfId="660" dataCellStyle="Comma"/>
    <tableColumn id="146" xr3:uid="{C04CC12C-654F-4C5D-9633-8F4FB8BE6DDB}" name="Jan_x000a_2022" dataDxfId="659" dataCellStyle="Comma"/>
    <tableColumn id="147" xr3:uid="{981DB379-677D-480F-8B1F-AA35C7E6FEA5}" name="Feb_x000a_2022" dataDxfId="658" dataCellStyle="Comma"/>
    <tableColumn id="148" xr3:uid="{AE76F3E8-1B89-4749-9BBC-1C58D1C029CD}" name="Mar_x000a_2022" dataDxfId="657" dataCellStyle="Comma"/>
    <tableColumn id="149" xr3:uid="{F4219BC1-C814-4393-A865-95ECC8859A85}" name="Apr_x000a_2022" dataDxfId="656" dataCellStyle="Comma"/>
    <tableColumn id="150" xr3:uid="{5785BA96-179E-4830-B3DD-0D9424F3BE0B}" name="May_x000a_2022" dataDxfId="655" dataCellStyle="Comma"/>
    <tableColumn id="151" xr3:uid="{0B86600A-88D7-4B03-99F3-0DC5ECF0A56E}" name="Jun_x000a_2022" dataDxfId="654" dataCellStyle="Comma"/>
    <tableColumn id="152" xr3:uid="{30B18471-84E2-4CDD-A82D-CD184A20F1FE}" name="Jul_x000a_2022" dataDxfId="653" dataCellStyle="Comma"/>
    <tableColumn id="153" xr3:uid="{7C72292D-BC51-4B12-9179-4446A427E52D}" name="Aug _x000a_2022" dataDxfId="652" dataCellStyle="Comma"/>
    <tableColumn id="154" xr3:uid="{C6F59FC8-0412-4046-9EEB-EC99F36BBFF9}" name="Sep_x000a_2022" dataDxfId="651" dataCellStyle="Comma"/>
    <tableColumn id="155" xr3:uid="{E6EEEBA4-58E0-4801-8F65-9CDC3AB8FAD8}" name="Oct_x000a_2022" dataDxfId="650" dataCellStyle="Comma"/>
    <tableColumn id="156" xr3:uid="{4B06CCCC-3A1A-4ABB-B9D4-A98EB3D984C5}" name="Nov_x000a_2022" dataDxfId="649" dataCellStyle="Comma"/>
    <tableColumn id="157" xr3:uid="{09FB1996-3725-4D23-A060-603E13DD12F4}" name="Dec_x000a_2023" dataDxfId="648" dataCellStyle="Comma"/>
    <tableColumn id="158" xr3:uid="{E860F2F0-A4C2-4938-AF57-386E831F6836}" name="Jan_x000a_2023" dataDxfId="647" dataCellStyle="Comma"/>
    <tableColumn id="159" xr3:uid="{D9DC5AF0-8C6F-4F62-A1BD-1D8186709F2D}" name="Feb_x000a_2023" dataDxfId="646" dataCellStyle="Comma"/>
    <tableColumn id="160" xr3:uid="{4107AFCF-338D-46AE-B927-D02A3E17D381}" name="Mar_x000a_2023" dataDxfId="645" dataCellStyle="Comma"/>
    <tableColumn id="161" xr3:uid="{524BF977-D230-4E6F-824A-D406959D55F9}" name="Apr_x000a_2023" dataDxfId="644" dataCellStyle="Comma"/>
    <tableColumn id="162" xr3:uid="{485F3CDC-DDF7-4C9C-A28F-F90CBBDE0914}" name="May_x000a_2023" dataDxfId="643" dataCellStyle="Comma"/>
    <tableColumn id="163" xr3:uid="{3A7C50A3-14D0-45B8-A968-2660C9CC7B6C}" name="Jun_x000a_2023" dataDxfId="642" dataCellStyle="Comma"/>
    <tableColumn id="164" xr3:uid="{5B473DDD-2F75-4E4A-943D-F0FBBA95B1C5}" name="Jul_x000a_2023" dataDxfId="641" dataCellStyle="Comma"/>
    <tableColumn id="165" xr3:uid="{1B4CC6F0-3F47-4FE7-9756-EF4AE0A8C407}" name="Aug_x000a_2023" dataDxfId="640" dataCellStyle="Comma"/>
    <tableColumn id="166" xr3:uid="{8152C9D0-B8FF-4CBD-88B4-700873D4C02B}" name="Sep_x000a_2023" dataDxfId="639" dataCellStyle="Comma"/>
    <tableColumn id="167" xr3:uid="{8F76383D-8C25-41E8-8479-E1E54174838B}" name="Oct_x000a_2023" dataDxfId="638" dataCellStyle="Comma"/>
    <tableColumn id="168" xr3:uid="{57832DE4-9190-40E2-9131-087C5D36F30B}" name="Nov_x000a_2023" dataDxfId="637" dataCellStyle="Comma"/>
    <tableColumn id="169" xr3:uid="{E5E768D2-EA2E-45E7-8E25-74CCAED5DA88}" name="Dec_x000a_20232" dataDxfId="636" dataCellStyle="Comma"/>
    <tableColumn id="170" xr3:uid="{473F392D-97F8-479A-AE9D-CD90C12BF8FA}" name="Jan_x000a_2024" dataDxfId="635" dataCellStyle="Comma"/>
    <tableColumn id="171" xr3:uid="{8972C4EB-200B-4100-A160-84A8AEB699BD}" name="Feb_x000a_2024" dataDxfId="634" dataCellStyle="Comma"/>
    <tableColumn id="172" xr3:uid="{5871485B-8228-47DE-A9CF-C23ED8DDE999}" name="Mar_x000a_2024" dataDxfId="633" dataCellStyle="Comma"/>
    <tableColumn id="173" xr3:uid="{2D951573-72FF-4B0E-A58F-9D850B393319}" name="Apr_x000a_2024" dataDxfId="632" dataCellStyle="Comma"/>
    <tableColumn id="174" xr3:uid="{67133743-B21D-4BAF-BFA7-5A473BF725EC}" name="May_x000a_2024" dataDxfId="631" dataCellStyle="Comma"/>
    <tableColumn id="175" xr3:uid="{C585C555-99C4-4F20-AB06-9EA5D6661B27}" name="Jun_x000a_2024" dataDxfId="630" dataCellStyle="Comma"/>
    <tableColumn id="176" xr3:uid="{2874D021-D93D-4005-8371-E62402786E7F}" name="Jul_x000a_2024" dataDxfId="629" dataCellStyle="Comma"/>
    <tableColumn id="177" xr3:uid="{16E5ECED-C6EC-45BA-9242-90AEAFFDCC2F}" name="Aug_x000a_2024" dataDxfId="628" dataCellStyle="Comma"/>
    <tableColumn id="178" xr3:uid="{670933AD-75B1-4301-85E5-755F908A0A44}" name="Sep_x000a_2024" dataDxfId="627" dataCellStyle="Comma"/>
    <tableColumn id="179" xr3:uid="{B90321C3-3697-4AB3-ACE8-71A581621861}" name="Oct_x000a_2024" dataDxfId="626" dataCellStyle="Comma"/>
    <tableColumn id="180" xr3:uid="{C79A7E7F-08F7-4167-A3D3-8887A7B3497A}" name="Nov_x000a_2024" dataDxfId="625" dataCellStyle="Comma"/>
    <tableColumn id="181" xr3:uid="{05F3386F-9FB5-4829-A23F-11C66D0A619D}" name="Dec_x000a_2024" dataDxfId="624" dataCellStyle="Comma"/>
    <tableColumn id="182" xr3:uid="{79960C0E-2033-4E10-AF30-EEF3C6767985}" name="Jan_x000a_2025" dataDxfId="623" dataCellStyle="Comma"/>
    <tableColumn id="183" xr3:uid="{BC3FF42B-84E3-4F21-892C-5999DC47E71E}" name="Feb_x000a_2025" dataDxfId="622" dataCellStyle="Comma"/>
    <tableColumn id="184" xr3:uid="{5B9D9767-0426-454C-B333-F25EFD2415C0}" name="Mar_x000a_2025" dataDxfId="621" dataCellStyle="Comma"/>
    <tableColumn id="185" xr3:uid="{30BEED1A-E2B4-41F3-99D2-2742BE3F0E9E}" name="Apr_x000a_2025" dataDxfId="620" dataCellStyle="Comma"/>
    <tableColumn id="186" xr3:uid="{B146572E-98F3-4720-8EF1-E05DFFD6CB0F}" name="May_x000a_2025" dataDxfId="619" dataCellStyle="Comma"/>
    <tableColumn id="187" xr3:uid="{C097F1D0-D5E3-4ACB-B081-8B28251AB4A5}" name="Jun_x000a_2025" dataDxfId="618" dataCellStyle="Comma"/>
    <tableColumn id="188" xr3:uid="{C8349463-6F3C-4E0F-9813-171B52F33BC6}" name="Jul_x000a_2025" dataDxfId="617" dataCellStyle="Comma"/>
    <tableColumn id="189" xr3:uid="{6583583F-C0B7-4339-AB0D-8972D2C1A996}" name="Aug_x000a_2025" dataDxfId="616" dataCellStyle="Comma"/>
    <tableColumn id="190" xr3:uid="{CC42C354-9E0B-4790-A015-7EE4ED50092F}" name="Sep_x000a_2025" dataDxfId="615" dataCellStyle="Comma"/>
    <tableColumn id="191" xr3:uid="{BE4FF3A2-1853-46EE-B0B9-D0ED893C1B3E}" name="Oct_x000a_2025" dataDxfId="614" dataCellStyle="Comma"/>
    <tableColumn id="192" xr3:uid="{D2BB0439-3E80-45CF-9377-C93571ED0E0B}" name="Nov_x000a_2025" dataDxfId="613" dataCellStyle="Comma"/>
    <tableColumn id="193" xr3:uid="{E4E59669-5BAF-4F85-9541-076E1248DC71}" name="Dec_x000a_2025" dataDxfId="612" dataCellStyle="Comma"/>
    <tableColumn id="194" xr3:uid="{6343F6FA-AB74-416C-88CA-F912BDADD117}" name="Jan_x000a_2026" dataDxfId="611" dataCellStyle="Comma"/>
    <tableColumn id="195" xr3:uid="{444A85AD-841E-474A-A9C8-3226FB94772A}" name="Feb_x000a_2026" dataDxfId="610" dataCellStyle="Comma"/>
    <tableColumn id="196" xr3:uid="{39BC37B5-7B6C-47D2-9436-2F8718E0490E}" name="Mar_x000a_2026" dataDxfId="609" dataCellStyle="Comma"/>
    <tableColumn id="197" xr3:uid="{F450E761-24F7-4A1D-A75C-ECB7B57E41EB}" name="Apr_x000a_2026" dataDxfId="608" dataCellStyle="Comma"/>
    <tableColumn id="198" xr3:uid="{FF77F0E7-73F4-4B9D-9219-573F5C2E963F}" name="May_x000a_2026" dataDxfId="607" dataCellStyle="Comma"/>
    <tableColumn id="199" xr3:uid="{15592C47-7DC5-4D1B-9751-28F51EE694BA}" name="Jun_x000a_2026" dataDxfId="606"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0F2B20-2601-42BE-B0CF-49FD3482A6B1}" name="Domestic_PV_by_PC" displayName="Domestic_PV_by_PC" ref="A4:E671" totalsRowCount="1" headerRowDxfId="605" dataDxfId="603" headerRowBorderDxfId="604">
  <autoFilter ref="A4:E670" xr:uid="{00000000-0009-0000-0100-000014000000}">
    <filterColumn colId="0" hiddenButton="1"/>
    <filterColumn colId="1" hiddenButton="1"/>
    <filterColumn colId="2" hiddenButton="1"/>
    <filterColumn colId="3" hiddenButton="1"/>
    <filterColumn colId="4" hiddenButton="1"/>
  </autoFilter>
  <tableColumns count="5">
    <tableColumn id="1" xr3:uid="{A5397986-E68D-41EE-BDD8-2661AD0A9FAF}" name="Constituency Code" dataDxfId="602" totalsRowDxfId="601"/>
    <tableColumn id="2" xr3:uid="{D2C45086-A46C-4E3A-B268-8AA85BD81B13}" name="Country/Region" dataDxfId="600" totalsRowDxfId="599" dataCellStyle="Normal 12 2"/>
    <tableColumn id="4" xr3:uid="{0374060E-2960-4B92-828B-6037688E7EBF}" name="Constituency" dataDxfId="598" totalsRowDxfId="597"/>
    <tableColumn id="5" xr3:uid="{8340025A-1E5C-44BC-B503-B0660C90896F}" name="Installed capacity (MW)" dataDxfId="596" totalsRowDxfId="595" dataCellStyle="Comma"/>
    <tableColumn id="6" xr3:uid="{D49E5423-5E56-4143-B3C5-926E2069EEC8}" name="Number of installations" dataDxfId="594" totalsRowDxfId="593"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BAAA79E-257E-4004-9D86-DCAD6C5D8093}" name="Cumulative_installed_capacity_by_tariff15" displayName="Cumulative_installed_capacity_by_tariff15" ref="A5:GP31" totalsRowShown="0">
  <tableColumns count="198">
    <tableColumn id="1" xr3:uid="{1E0A5F49-CACA-49A2-A277-F765E482E851}" name="CUMULATIVE CAPACITY (MW) [note 1]"/>
    <tableColumn id="2" xr3:uid="{4061AB89-B3A4-445B-8785-A47600A8F722}" name="Jan _x000a_2010"/>
    <tableColumn id="3" xr3:uid="{A4A08AA3-5F24-4059-9B5B-CB7D841C264E}" name="Feb _x000a_2010"/>
    <tableColumn id="4" xr3:uid="{E29CB0BE-8E68-443E-B811-99EC1E51AAEA}" name="Mar _x000a_2010"/>
    <tableColumn id="5" xr3:uid="{ACC31EF0-F4AE-4ECE-A959-E0A75B0693FB}" name="Apr _x000a_2010"/>
    <tableColumn id="6" xr3:uid="{59F4335B-83EF-4B15-A5D8-663AE229F1FA}" name="May _x000a_2010"/>
    <tableColumn id="7" xr3:uid="{E2093001-7BBA-436B-AA4B-DDFC437A76AD}" name="Jun _x000a_2010"/>
    <tableColumn id="8" xr3:uid="{71DB7A91-E12D-4365-AF29-9A2C3353A5DC}" name="Jul _x000a_2010"/>
    <tableColumn id="9" xr3:uid="{AFBFD176-27ED-4FB5-92A0-91C478EF00EA}" name="Aug _x000a_2010"/>
    <tableColumn id="10" xr3:uid="{FFA184A7-B656-41C7-8AD5-F68E71F7DBBD}" name="Sep _x000a_2010"/>
    <tableColumn id="11" xr3:uid="{7805CA23-365A-4725-9183-BFEF7EE6DAD9}" name="Oct _x000a_2010"/>
    <tableColumn id="12" xr3:uid="{951D18C0-845A-4339-9249-2AEA6EEE484E}" name="Nov _x000a_2010"/>
    <tableColumn id="13" xr3:uid="{984D2CEF-B58E-474F-AA65-749DFCAC1FC3}" name="Dec _x000a_2010"/>
    <tableColumn id="14" xr3:uid="{DB987EC7-68A4-4D3E-98C4-AA24FA8E6E05}" name="Jan _x000a_2011"/>
    <tableColumn id="15" xr3:uid="{81A0DD95-4D25-4B75-B0F8-EA52BFC5E482}" name="Feb _x000a_2011"/>
    <tableColumn id="16" xr3:uid="{087BCDC0-9267-4024-8478-B8A85599BE65}" name="Mar _x000a_2011"/>
    <tableColumn id="17" xr3:uid="{A4C1396B-7FC4-49AA-B820-6001B85F21B4}" name="Apr _x000a_2011"/>
    <tableColumn id="18" xr3:uid="{9CFC27C2-58D7-434A-BD22-8E3BB49D6B2A}" name="May _x000a_2011"/>
    <tableColumn id="19" xr3:uid="{5EB0D035-766E-4A14-B30C-AC467B8F6B10}" name="Jun _x000a_2011"/>
    <tableColumn id="20" xr3:uid="{7A0FF9D9-1C56-4D2A-A62C-5E1B9C49B570}" name="Jul _x000a_2011"/>
    <tableColumn id="21" xr3:uid="{9240C4E8-082A-471A-B891-E0259847F6AD}" name="Aug _x000a_2011"/>
    <tableColumn id="22" xr3:uid="{1C6CD8A5-834D-4799-8818-0F4371D50409}" name="Sep _x000a_2011"/>
    <tableColumn id="23" xr3:uid="{6E517450-B9DC-4AFE-AE1C-6395AD5C48A5}" name="Oct _x000a_2011"/>
    <tableColumn id="24" xr3:uid="{13491928-8EA0-460C-93B7-2BFECDEE64C8}" name="Nov _x000a_2011"/>
    <tableColumn id="25" xr3:uid="{D852BF38-CC51-4930-AC77-D7FA7F3967E7}" name="Dec _x000a_2011"/>
    <tableColumn id="26" xr3:uid="{ADF3BB2F-01CF-4711-8DE4-1BEB712ACAB6}" name="Jan _x000a_2012"/>
    <tableColumn id="27" xr3:uid="{46B987E0-2354-48DF-BAC5-498D39C2C10D}" name="Feb _x000a_2012"/>
    <tableColumn id="28" xr3:uid="{83C8DEA9-09FD-4780-AA4E-FB88BA5E24E0}" name="Mar _x000a_2012"/>
    <tableColumn id="29" xr3:uid="{45861B29-FFF7-419E-B602-E2DC1221C7E8}" name="Apr _x000a_2012"/>
    <tableColumn id="30" xr3:uid="{39016FC0-51A7-4604-BE9A-D586063799BE}" name="May _x000a_2012"/>
    <tableColumn id="31" xr3:uid="{C8BBEE03-D6DB-43DC-BBEA-B6B3D2F0024E}" name="Jun _x000a_2012"/>
    <tableColumn id="32" xr3:uid="{B5816AB4-FDF3-415C-ACCF-51A454CCBB93}" name="Jul _x000a_2012"/>
    <tableColumn id="33" xr3:uid="{29FF1595-988D-478C-AA2D-792089BE79F8}" name="Aug _x000a_2012"/>
    <tableColumn id="34" xr3:uid="{9D4002BD-2808-4C05-9677-9947DCC767A8}" name="Sep _x000a_2012"/>
    <tableColumn id="35" xr3:uid="{4A458378-CF6A-45F0-BB8E-72D0CFA6C99B}" name="Oct _x000a_2012"/>
    <tableColumn id="36" xr3:uid="{28AD8EFE-DE0D-44E5-A82C-20FCAE5BCBDC}" name="Nov _x000a_2012"/>
    <tableColumn id="37" xr3:uid="{252C82EF-748D-4089-9111-2D596E04E5B6}" name="Dec _x000a_2012"/>
    <tableColumn id="38" xr3:uid="{F7842933-2DD3-4B00-9F47-0B136CFFE24B}" name="Jan _x000a_2013"/>
    <tableColumn id="39" xr3:uid="{3C96F94A-13FD-43EB-AEF0-D35AB079CC46}" name="Feb _x000a_2013"/>
    <tableColumn id="40" xr3:uid="{893A79CD-C81B-4D2A-9544-C36255EA866E}" name="Mar _x000a_2013"/>
    <tableColumn id="41" xr3:uid="{0FD92A5A-98BA-4FDF-88AA-44EF0EC28A84}" name="Apr _x000a_2013"/>
    <tableColumn id="42" xr3:uid="{D91137A6-F572-40BD-AD0F-6FD31747C743}" name="May _x000a_2013"/>
    <tableColumn id="43" xr3:uid="{F30754C4-822E-4D0E-B0E1-D2A22B421A96}" name="Jun _x000a_2013"/>
    <tableColumn id="44" xr3:uid="{69E67871-4C8D-47B0-B7CE-BFF6C2C78E2A}" name="Jul _x000a_2013"/>
    <tableColumn id="45" xr3:uid="{F8170E1F-0760-432E-8A7D-E7EF12A639E4}" name="Aug _x000a_2013"/>
    <tableColumn id="46" xr3:uid="{0FCBE9A4-3D3A-403D-A07F-7285426ED88B}" name="Sep _x000a_2013"/>
    <tableColumn id="47" xr3:uid="{8B5C8EEC-945B-4F3D-A211-4F37BC1B3298}" name="Oct _x000a_2013"/>
    <tableColumn id="48" xr3:uid="{F5E20428-DDB0-4280-9E8A-B1CE95BDFC42}" name=" Nov _x000a_2013"/>
    <tableColumn id="49" xr3:uid="{1ED69324-4FC5-4AF5-B068-53E78C36A656}" name="Dec _x000a_2013"/>
    <tableColumn id="50" xr3:uid="{C9ED69E2-18EA-4E47-AFF5-B671F0A9638A}" name="Jan _x000a_2014"/>
    <tableColumn id="51" xr3:uid="{AF31DB3E-EF05-40C7-AD43-1805BC9EF93B}" name="Feb _x000a_2014"/>
    <tableColumn id="52" xr3:uid="{AE7A97D2-DA3B-4829-BEF1-BB598608E91C}" name="Mar _x000a_2014"/>
    <tableColumn id="53" xr3:uid="{7E609030-F465-455F-A1E2-40F5539AC95E}" name="Apr _x000a_2014"/>
    <tableColumn id="54" xr3:uid="{8A993E92-A993-4768-A7BF-09DB4DABDE8E}" name="May _x000a_2014"/>
    <tableColumn id="55" xr3:uid="{2CDD7F83-A2C9-4D62-B406-84764F934438}" name="Jun _x000a_2014"/>
    <tableColumn id="56" xr3:uid="{582B6469-6F9B-4346-8656-E2EFFCBECB1D}" name="Jul _x000a_2014"/>
    <tableColumn id="57" xr3:uid="{35E906E6-AF28-47B6-B7CA-49E0AAA24C14}" name="Aug _x000a_2014"/>
    <tableColumn id="58" xr3:uid="{4147F4E5-886E-49C0-8792-C92EA350A33E}" name="Sep _x000a_2014"/>
    <tableColumn id="59" xr3:uid="{816305BD-0AE6-497A-BABA-C0131EC5839E}" name="Oct _x000a_2014"/>
    <tableColumn id="60" xr3:uid="{051457C2-7E77-460C-8694-5E95DB05B217}" name="Nov _x000a_2014"/>
    <tableColumn id="61" xr3:uid="{74FAD474-1386-44D2-97C6-17C29DDB073A}" name="Dec _x000a_2014"/>
    <tableColumn id="62" xr3:uid="{CBC96BAC-64AF-4E9E-85C0-EAD33C94E702}" name="Jan _x000a_2015"/>
    <tableColumn id="63" xr3:uid="{8FA54DAE-5D09-4559-A157-8B3E162BAC2E}" name="Feb _x000a_2015"/>
    <tableColumn id="64" xr3:uid="{07118D52-CF2C-433F-97B7-C76648007479}" name="Mar _x000a_2015"/>
    <tableColumn id="65" xr3:uid="{1554854B-8CB5-4723-9E39-F1DE91EEC899}" name="Apr _x000a_2015"/>
    <tableColumn id="66" xr3:uid="{16CD7A5E-ECB8-4EDF-B7BF-6AD1632C21F7}" name="May _x000a_2015"/>
    <tableColumn id="67" xr3:uid="{ABFD8924-4561-4FF8-A8FB-03A7D9B04357}" name="Jun _x000a_2015"/>
    <tableColumn id="68" xr3:uid="{ED3A5176-1185-42EF-BAB7-D6DBAB562A5C}" name="Jul _x000a_2015"/>
    <tableColumn id="69" xr3:uid="{07B8F8FD-8D6C-4661-984D-F0590A45A60F}" name="Aug _x000a_2015"/>
    <tableColumn id="70" xr3:uid="{3E6EAFBF-194A-4D05-811C-51BD8A623B22}" name="Sep _x000a_2015"/>
    <tableColumn id="71" xr3:uid="{446DD7A5-F3AD-4350-BDD4-4958DBB36C9C}" name="Oct _x000a_2015"/>
    <tableColumn id="72" xr3:uid="{FFB5D487-E0B7-4071-8150-F18FD025DACB}" name="Nov _x000a_2015"/>
    <tableColumn id="73" xr3:uid="{0464CE9E-DFA7-4C6C-852F-B5CB719222D4}" name="Dec _x000a_2015"/>
    <tableColumn id="74" xr3:uid="{AE2D8971-C40B-4741-94F9-7115A3FB9D17}" name="Jan _x000a_2016"/>
    <tableColumn id="75" xr3:uid="{D2571B38-9692-4403-9E7F-ED37126BE610}" name="Feb _x000a_2016"/>
    <tableColumn id="76" xr3:uid="{C7743C95-D6DE-4309-9D07-5E643B650A6B}" name="Mar _x000a_2016"/>
    <tableColumn id="77" xr3:uid="{C07AD648-5E95-4F46-B62A-96E39BA339F3}" name="Apr _x000a_2016"/>
    <tableColumn id="78" xr3:uid="{6DF465D6-52F6-4E72-A6CC-885286A20F7C}" name="May _x000a_2016"/>
    <tableColumn id="79" xr3:uid="{D0555B42-01FE-4F2A-A24E-ABC841B163C4}" name="Jun _x000a_2016"/>
    <tableColumn id="80" xr3:uid="{6F853707-AFAA-451E-9973-E2B6EFF067D6}" name="Jul _x000a_2016"/>
    <tableColumn id="81" xr3:uid="{EA134F17-6728-4656-856F-AC70D86A37BB}" name="Aug _x000a_2016"/>
    <tableColumn id="82" xr3:uid="{E18EF586-69CD-48CF-A597-45BA7E386D53}" name="Sep _x000a_2016"/>
    <tableColumn id="83" xr3:uid="{5E00A742-9403-43D7-85AE-36E8EBC222F5}" name="Oct _x000a_2016"/>
    <tableColumn id="84" xr3:uid="{ED12C85F-B2F1-425A-B037-BF6B330B9900}" name="Nov _x000a_2016"/>
    <tableColumn id="85" xr3:uid="{D92EDA64-4948-4181-81AB-AC73163BEA0C}" name="Dec _x000a_2016"/>
    <tableColumn id="86" xr3:uid="{368FB33E-3648-481B-A739-50C7A4D0ECF8}" name="Jan _x000a_2017"/>
    <tableColumn id="87" xr3:uid="{891EF6EE-BEC3-49C7-941F-40AD7F2B701E}" name="Feb _x000a_2017"/>
    <tableColumn id="88" xr3:uid="{41B99589-6C22-49D3-BE2B-2E5CB3083D1C}" name="Mar _x000a_2017"/>
    <tableColumn id="89" xr3:uid="{CF6FFA35-4457-40A4-9D8B-59963FFFFE1E}" name="Apr _x000a_2017"/>
    <tableColumn id="90" xr3:uid="{BC2292FB-A3EE-44F3-9223-1D6686FCBB46}" name="May _x000a_2017"/>
    <tableColumn id="91" xr3:uid="{9A6601C3-3630-4908-B9DF-116D327CCE4F}" name="Jun _x000a_2017"/>
    <tableColumn id="92" xr3:uid="{F632E3DC-38AD-4218-B7E8-ED40278B2649}" name="Jul _x000a_2017"/>
    <tableColumn id="93" xr3:uid="{D2E601BF-FC62-4A82-8875-BB7CDF13222A}" name="Aug _x000a_2017"/>
    <tableColumn id="94" xr3:uid="{6213621B-D60B-41EA-AAF4-73981E722E69}" name="Sep _x000a_2017"/>
    <tableColumn id="95" xr3:uid="{5C7BB325-FF51-4186-8846-609B9CCC8A1A}" name="Oct _x000a_2017"/>
    <tableColumn id="96" xr3:uid="{606441FC-3A2E-4AC0-89FB-BCA19792D73C}" name="Nov _x000a_2017"/>
    <tableColumn id="97" xr3:uid="{BB808644-6BFE-41CC-95DF-2BCA1DF66C3C}" name="Dec _x000a_2017"/>
    <tableColumn id="98" xr3:uid="{B689A98D-2FBE-4D20-A442-44B898DEB3D9}" name="Jan _x000a_2018"/>
    <tableColumn id="99" xr3:uid="{D35C162B-3548-407F-B3AD-E2FD91EF29FE}" name="Feb _x000a_2018"/>
    <tableColumn id="100" xr3:uid="{7DF07D59-E217-4E08-802E-8CBF232BBB4F}" name="Mar _x000a_2018"/>
    <tableColumn id="101" xr3:uid="{01332D5B-F583-44B6-A1FD-B23C315A15F2}" name="Apr _x000a_2018"/>
    <tableColumn id="102" xr3:uid="{7113E66D-F925-4584-B448-DCBB38C02851}" name="May _x000a_2018"/>
    <tableColumn id="103" xr3:uid="{A39AB89D-265B-4D83-8A56-D2F8569E3C9A}" name="Jun _x000a_2018"/>
    <tableColumn id="104" xr3:uid="{0F8AE23C-C0B2-446C-B56F-1ABD9E5C0BE3}" name="Jul _x000a_2018"/>
    <tableColumn id="105" xr3:uid="{A5677ED8-CC68-4605-B01C-C3DCDC55E416}" name="Aug _x000a_2018"/>
    <tableColumn id="106" xr3:uid="{EFACBCEB-46B6-4CE1-8684-A8D259AF1B79}" name="Sep _x000a_2018"/>
    <tableColumn id="107" xr3:uid="{B5DE5BEC-4FDF-4224-AE4F-2DD84EBC9523}" name="Oct _x000a_2018"/>
    <tableColumn id="108" xr3:uid="{4BC88B95-D45A-4A1C-82B5-0DF60D54266D}" name="Nov _x000a_2018"/>
    <tableColumn id="109" xr3:uid="{6A80BF1E-8D01-4D74-AB27-4734F7AD1EED}" name="Dec _x000a_2018"/>
    <tableColumn id="110" xr3:uid="{EB0A20E8-E1AF-4D04-B662-85E237E5EBB7}" name="Jan _x000a_2019"/>
    <tableColumn id="111" xr3:uid="{C37474A7-C742-40E7-BD93-C2406FBA730E}" name="Feb _x000a_2019"/>
    <tableColumn id="112" xr3:uid="{115B377D-73CC-4708-9DE8-D846281167A4}" name="Mar _x000a_2019"/>
    <tableColumn id="113" xr3:uid="{632D2F0C-717A-414E-BE0B-8CD880352E60}" name="Apr _x000a_2019"/>
    <tableColumn id="114" xr3:uid="{E4EBAE23-040E-47E1-A68C-7920CA044CEC}" name="May _x000a_2019"/>
    <tableColumn id="115" xr3:uid="{42EA2121-8C2D-4AF6-ADB9-CE7596A97146}" name="Jun _x000a_2019"/>
    <tableColumn id="116" xr3:uid="{B7B9F3B8-5982-471D-BB77-E3B7AFA42A22}" name="Jul _x000a_2019"/>
    <tableColumn id="117" xr3:uid="{3B1A1ED6-91BC-4E54-977A-D78C06A65A99}" name="Aug _x000a_2019"/>
    <tableColumn id="118" xr3:uid="{909FCFEB-0703-4777-B112-E3E916C7B2CF}" name="Sep _x000a_2019"/>
    <tableColumn id="119" xr3:uid="{B765E535-4289-44FE-8DE6-474226194C5A}" name="Oct _x000a_2019"/>
    <tableColumn id="120" xr3:uid="{156FD3B9-E48C-41F6-B317-3267747E6325}" name="Nov _x000a_2019"/>
    <tableColumn id="121" xr3:uid="{BFBA0911-2061-4A3D-993F-D970743CC6C7}" name="Dec _x000a_2019"/>
    <tableColumn id="122" xr3:uid="{3104D181-6ACE-4159-A5F6-D85B39A29EBF}" name="Jan _x000a_2020"/>
    <tableColumn id="123" xr3:uid="{8C2EE0A6-CD34-44A5-8D9B-638090123007}" name="Feb _x000a_2020"/>
    <tableColumn id="124" xr3:uid="{F58B90DA-A085-4144-AC37-627F7BB10963}" name="Mar _x000a_2020"/>
    <tableColumn id="125" xr3:uid="{0C770FE6-75A7-4B1C-B4FA-170952434142}" name="Apr _x000a_2020"/>
    <tableColumn id="126" xr3:uid="{D0A6AFDF-C506-4F94-B464-9814309A2C54}" name="May _x000a_2020"/>
    <tableColumn id="127" xr3:uid="{C487D4FE-F5CF-444C-B2F0-49B4BD8614F0}" name="Jun _x000a_2020"/>
    <tableColumn id="128" xr3:uid="{E467E52D-8805-4386-AF06-CEACD76798F3}" name="Jul _x000a_2020"/>
    <tableColumn id="129" xr3:uid="{69CC6144-9418-493F-A6C3-ECC62001459E}" name="Aug _x000a_2020"/>
    <tableColumn id="130" xr3:uid="{AF026EEC-6D94-4475-A479-BAE5051CF287}" name="Sep  _x000a_2020"/>
    <tableColumn id="131" xr3:uid="{6DEBE7AF-C7D0-4150-959E-8B777678425F}" name="Oct _x000a_2020"/>
    <tableColumn id="132" xr3:uid="{ED921B2E-BBA1-466C-BA49-466F73A0071C}" name="Nov _x000a_2020"/>
    <tableColumn id="133" xr3:uid="{483E90DF-BB31-4C19-9306-5162689AC827}" name="Dec _x000a_2020"/>
    <tableColumn id="134" xr3:uid="{1E9FF68F-8F22-4C86-A6CE-ABBBDBD99C89}" name="Jan _x000a_2021"/>
    <tableColumn id="135" xr3:uid="{C69D8F19-B372-4FCD-8E3B-ED1A5C027165}" name="Feb _x000a_2021"/>
    <tableColumn id="136" xr3:uid="{4ACB1BAB-9436-453B-9E62-1ADA23B3DC4D}" name="Mar _x000a_2021"/>
    <tableColumn id="137" xr3:uid="{D80DD4B4-78E3-4EAB-8FC2-9641FC8566BB}" name="Apr _x000a_2021"/>
    <tableColumn id="138" xr3:uid="{C4992DF1-62D0-40F6-A64C-90FF84302AC4}" name="May _x000a_2021"/>
    <tableColumn id="139" xr3:uid="{D2C644FE-1828-4AE1-BE32-B49038DE20E4}" name="Jun _x000a_2021"/>
    <tableColumn id="140" xr3:uid="{41CCF530-68C3-4356-B99F-E7F00953AD34}" name="Jul _x000a_2021"/>
    <tableColumn id="141" xr3:uid="{435B4AF2-0E85-4D81-8601-8A8B8CBFCDF9}" name="Aug _x000a_2021"/>
    <tableColumn id="142" xr3:uid="{5DA4E00D-63B9-441F-92D4-9B778FC863F5}" name="Sep_x000a_2021"/>
    <tableColumn id="143" xr3:uid="{E1108632-A541-4CAD-83A6-FDF6F09283E1}" name="Oct_x000a_2021"/>
    <tableColumn id="144" xr3:uid="{60AEB132-9ADB-42E3-9AA0-1BC6C17ABD57}" name="Nov_x000a_2021"/>
    <tableColumn id="145" xr3:uid="{47844799-38B3-461E-8D16-31F2C17CBD78}" name="Dec_x000a_2021" dataDxfId="592" dataCellStyle="Comma"/>
    <tableColumn id="146" xr3:uid="{8FA2FDCA-B6BE-4910-A8A8-4F6A705B86BA}" name="Jan_x000a_2022" dataDxfId="591" dataCellStyle="Comma"/>
    <tableColumn id="147" xr3:uid="{B31EBC34-E7AF-41F5-8216-49EAFCF67256}" name="Feb_x000a_2022"/>
    <tableColumn id="148" xr3:uid="{44F4154A-F7A1-461D-883C-25375D12F227}" name="Mar_x000a_2022"/>
    <tableColumn id="149" xr3:uid="{734AB8AA-6EAA-4745-BD04-B5760B96202A}" name="Apr_x000a_2022" dataDxfId="590" dataCellStyle="Comma"/>
    <tableColumn id="150" xr3:uid="{A3A4E268-488D-4299-B938-090E0F152449}" name="May_x000a_2022" dataDxfId="589" dataCellStyle="Comma"/>
    <tableColumn id="151" xr3:uid="{869CF09C-D0D4-419D-A6B4-3C92668031C0}" name="Jun_x000a_2022" dataDxfId="588" dataCellStyle="Comma"/>
    <tableColumn id="152" xr3:uid="{148604EE-BE04-49BF-8A4B-3146EF7BE8F6}" name="Jul_x000a_2022" dataDxfId="587" dataCellStyle="Comma"/>
    <tableColumn id="153" xr3:uid="{2C8AD5CC-2128-44FD-AB97-5F7C0BAF9FE8}" name="Aug_x000a_2022" dataDxfId="586" dataCellStyle="Comma"/>
    <tableColumn id="154" xr3:uid="{2BB506CE-492F-4B32-9A6E-C028108D7457}" name="Sep_x000a_2022" dataDxfId="585" dataCellStyle="Comma"/>
    <tableColumn id="155" xr3:uid="{9872A37D-9C6D-464D-92FC-466770FD3D94}" name="Oct_x000a_2022" dataDxfId="584" dataCellStyle="Comma"/>
    <tableColumn id="156" xr3:uid="{741AE2AC-78FC-4CC6-9B25-57B787BA183B}" name="Nov_x000a_2022" dataDxfId="583" dataCellStyle="Comma"/>
    <tableColumn id="157" xr3:uid="{23E266DA-703B-4F5D-A1D5-6E2055670A58}" name="Dec_x000a_2022" dataDxfId="582" dataCellStyle="Comma"/>
    <tableColumn id="158" xr3:uid="{3E37A215-E002-46E5-B11B-1DAF8D5907C2}" name="Jan_x000a_2023" dataDxfId="581" dataCellStyle="Comma"/>
    <tableColumn id="159" xr3:uid="{B01308CC-005D-4D4B-A172-EDE19C47B381}" name="Feb_x000a_2023" dataDxfId="580" dataCellStyle="Comma"/>
    <tableColumn id="160" xr3:uid="{BE68540D-D1C9-4CB4-BBE2-44CC2780F5EC}" name="Mar_x000a_2023" dataDxfId="579" dataCellStyle="Comma"/>
    <tableColumn id="161" xr3:uid="{CDF61642-9717-41AE-8C00-18129B930031}" name="Apr_x000a_2023" dataDxfId="578" dataCellStyle="Comma"/>
    <tableColumn id="162" xr3:uid="{40B5783A-45D2-4E66-B277-011C4DA73750}" name="May_x000a_2023" dataDxfId="577" dataCellStyle="Comma"/>
    <tableColumn id="163" xr3:uid="{7E39AB72-09B8-4ACB-A347-ED6EC1552B4C}" name="Jun_x000a_2023" dataDxfId="576" dataCellStyle="Comma"/>
    <tableColumn id="164" xr3:uid="{37B92766-585C-4DA0-9175-0FB618A1FDFF}" name="Jul_x000a_2023" dataDxfId="575" dataCellStyle="Comma"/>
    <tableColumn id="165" xr3:uid="{67445C87-F20B-4B59-B563-AC05BD864F43}" name="Aug_x000a_2023" dataDxfId="574" dataCellStyle="Comma"/>
    <tableColumn id="166" xr3:uid="{C5F3F214-0184-49E6-83EA-8A43742F20F1}" name="Sep_x000a_2023" dataDxfId="573" dataCellStyle="Comma"/>
    <tableColumn id="168" xr3:uid="{140B436B-ED1D-48A3-A318-3CBA15A448B7}" name="Oct_x000a_2023" dataDxfId="572" dataCellStyle="Comma"/>
    <tableColumn id="167" xr3:uid="{D76C43D8-20D8-44D3-9A45-192612085FBB}" name="Nov_x000a_2023" dataDxfId="571" dataCellStyle="Comma"/>
    <tableColumn id="169" xr3:uid="{3264A964-5506-4689-8A17-5481EDDE6085}" name="Dec_x000a_2023" dataDxfId="570" dataCellStyle="Comma"/>
    <tableColumn id="170" xr3:uid="{85924F97-39DA-4397-B26B-20782C81BF92}" name="Jan_x000a_2024" dataDxfId="569" dataCellStyle="Comma"/>
    <tableColumn id="171" xr3:uid="{D181E2FC-29CD-464E-9852-80213F297D29}" name="Feb_x000a_2024" dataDxfId="568" dataCellStyle="Comma"/>
    <tableColumn id="172" xr3:uid="{9C47E10E-8C50-4927-84B6-F6D9D612238E}" name="Mar_x000a_2024" dataDxfId="567" dataCellStyle="Comma"/>
    <tableColumn id="173" xr3:uid="{DAE133C0-E6B1-4BDE-9439-33A6A8AFFEF1}" name="Apr_x000a_2024" dataDxfId="566" dataCellStyle="Comma"/>
    <tableColumn id="174" xr3:uid="{17CD37A0-6047-4947-9DB3-B14F82B12697}" name="May_x000a_2024" dataDxfId="565" dataCellStyle="Comma"/>
    <tableColumn id="175" xr3:uid="{6F9B56B1-E6F5-4855-82C8-73F5FF7BD3E6}" name="Jun_x000a_2024" dataDxfId="564" dataCellStyle="Comma"/>
    <tableColumn id="176" xr3:uid="{3EC55FFC-242B-4CBF-BE3F-277995FF00B6}" name="Jul_x000a_2024" dataDxfId="563" dataCellStyle="Comma"/>
    <tableColumn id="177" xr3:uid="{FC1BEB8D-88DE-494E-BDAA-DD7770F20BE9}" name="Aug_x000a_2024" dataDxfId="562" dataCellStyle="Comma"/>
    <tableColumn id="178" xr3:uid="{3D2CB5F8-B804-45D5-ACF7-62E55E43B51C}" name="Sep_x000a_2024" dataDxfId="561" dataCellStyle="Comma"/>
    <tableColumn id="179" xr3:uid="{A459DEF2-D665-4D19-8344-81CD92552A23}" name="Oct_x000a_2024" dataDxfId="560" dataCellStyle="Comma"/>
    <tableColumn id="180" xr3:uid="{6F09EFB9-EF61-48EA-89A1-8CAE6A168865}" name="Nov_x000a_2024" dataDxfId="559" dataCellStyle="Comma"/>
    <tableColumn id="181" xr3:uid="{C5033D65-3EB5-4394-A4D4-900C91985A10}" name="Dec_x000a_2024" dataDxfId="558" dataCellStyle="Comma"/>
    <tableColumn id="182" xr3:uid="{6E28713D-D3F1-46A2-86B7-D115352411C9}" name="Jan_x000a_2025" dataDxfId="557" dataCellStyle="Comma"/>
    <tableColumn id="183" xr3:uid="{4620FEFD-3359-4D6A-B7DA-EE2470FB3778}" name="Feb_x000a_2025" dataDxfId="556" dataCellStyle="Comma"/>
    <tableColumn id="184" xr3:uid="{8D685648-BA62-440F-AE9E-1EB25F068A6A}" name="Mar_x000a_2025" dataDxfId="555" dataCellStyle="Comma"/>
    <tableColumn id="185" xr3:uid="{337DF3D8-0659-4A4B-922C-3C81FD216E86}" name="Apr_x000a_2025" dataDxfId="554" dataCellStyle="Comma"/>
    <tableColumn id="186" xr3:uid="{0C81FDF2-846F-4D98-A4F0-5BA9E590A96D}" name="May_x000a_2025" dataDxfId="553" dataCellStyle="Comma"/>
    <tableColumn id="187" xr3:uid="{01A588B0-BE6B-47AC-B9DA-5A00A1F6FB2A}" name="Jun_x000a_2025" dataDxfId="552" dataCellStyle="Comma"/>
    <tableColumn id="188" xr3:uid="{8BFA9060-2A50-4BBF-87A9-8ED7ECB4E7FF}" name="Jul_x000a_2025" dataDxfId="551" dataCellStyle="Comma"/>
    <tableColumn id="189" xr3:uid="{BCD6F4BB-3A11-4747-A642-D6ED7F3D860D}" name="Aug_x000a_2025" dataDxfId="550" dataCellStyle="Comma"/>
    <tableColumn id="190" xr3:uid="{39B728D7-6ED8-4540-812C-3628AC887EC0}" name="Sep_x000a_2025" dataDxfId="549" dataCellStyle="Comma"/>
    <tableColumn id="191" xr3:uid="{B649B0FF-BF69-4DF2-B716-30B2D74EA539}" name="Oct_x000a_2025" dataDxfId="548" dataCellStyle="Comma"/>
    <tableColumn id="192" xr3:uid="{6CE25D58-1823-4AE8-96F5-603327FD380F}" name="Nov_x000a_2025" dataDxfId="547" dataCellStyle="Comma"/>
    <tableColumn id="193" xr3:uid="{4A0203B9-F374-47EF-A884-5DB9B7F80039}" name="Dec_x000a_2025" dataDxfId="546" dataCellStyle="Comma"/>
    <tableColumn id="194" xr3:uid="{A48CE4A4-DA32-47E6-9950-A1756E5788A9}" name="Jan_x000a_2026" dataDxfId="545" dataCellStyle="Comma"/>
    <tableColumn id="195" xr3:uid="{28EB815D-93A3-454D-8D5C-C7F9CA355382}" name="Feb_x000a_2026" dataDxfId="544" dataCellStyle="Comma"/>
    <tableColumn id="196" xr3:uid="{292D31E3-FAB3-4EF9-B868-7B65C187606B}" name="Mar_x000a_2026" dataDxfId="543" dataCellStyle="Comma"/>
    <tableColumn id="197" xr3:uid="{326290D2-8108-4A16-B56A-D11E49908EEB}" name="Apr_x000a_2026" dataDxfId="542" dataCellStyle="Comma"/>
    <tableColumn id="198" xr3:uid="{A5F84BC8-79CA-4569-8A9D-D360CAA630B0}" name="May_x000a_2026" dataDxfId="541"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5E0CC78-926E-4F66-98FB-3F05B3D7D845}" name="Cumulative_count_by_tariff16" displayName="Cumulative_count_by_tariff16" ref="A33:GP58" totalsRowShown="0">
  <tableColumns count="198">
    <tableColumn id="1" xr3:uid="{F25E11B4-44EE-4EDE-8510-EEC846ADF284}" name="CUMULATIVE COUNT"/>
    <tableColumn id="2" xr3:uid="{7D8BA1B4-D905-4338-9D12-D6E55704010A}" name="Jan _x000a_2010"/>
    <tableColumn id="3" xr3:uid="{61D95CD1-0459-4350-8824-8A91DF8269A4}" name="Feb _x000a_2010"/>
    <tableColumn id="4" xr3:uid="{E478F69B-20C6-4836-8F78-D2805E88BA7C}" name="Mar _x000a_2010"/>
    <tableColumn id="5" xr3:uid="{26B5F447-D5A7-44E7-9275-F3439B64ECB8}" name="Apr _x000a_2010"/>
    <tableColumn id="6" xr3:uid="{161984FD-4027-4593-84E3-964C56EC6C9A}" name="May _x000a_2010"/>
    <tableColumn id="7" xr3:uid="{08822E72-3C89-4522-8B70-251C619FAB33}" name="Jun _x000a_2010"/>
    <tableColumn id="8" xr3:uid="{85F649D3-7FA8-4912-B7BC-6764EAF9A930}" name="Jul _x000a_2010"/>
    <tableColumn id="9" xr3:uid="{1EC4A3A1-E26A-46D4-B0E6-2FAC1089587F}" name="Aug _x000a_2010"/>
    <tableColumn id="10" xr3:uid="{FB8B6FD1-0FEE-4AEF-A3E2-BAC01133272E}" name="Sep _x000a_2010"/>
    <tableColumn id="11" xr3:uid="{B8F02D9E-C581-4C64-B697-C1B36A205E8D}" name="Oct _x000a_2010"/>
    <tableColumn id="12" xr3:uid="{2C3A04B4-E1AE-431A-8646-693FBDE50C88}" name="Nov _x000a_2010"/>
    <tableColumn id="13" xr3:uid="{EBE86BBF-1361-46B0-AB89-E87047471A3C}" name="Dec _x000a_2010"/>
    <tableColumn id="14" xr3:uid="{C032C211-2539-4BF0-A4A5-9C571CDCDB99}" name="Jan _x000a_2011"/>
    <tableColumn id="15" xr3:uid="{A3C2D139-35B6-4B77-8E85-A56E37799078}" name="Feb _x000a_2011"/>
    <tableColumn id="16" xr3:uid="{50E28DD4-F037-415D-9BA4-ABBD4326C392}" name="Mar _x000a_2011"/>
    <tableColumn id="17" xr3:uid="{AB084012-3831-4A40-834B-52158B5EB00D}" name="Apr _x000a_2011"/>
    <tableColumn id="18" xr3:uid="{D2108C03-8DD0-4947-816C-89E301EBBB94}" name="May _x000a_2011"/>
    <tableColumn id="19" xr3:uid="{87B2093E-0DD5-422E-9559-019CC08FC086}" name="Jun _x000a_2011"/>
    <tableColumn id="20" xr3:uid="{B68BBAB1-65D2-463B-9F0C-53EDD31A0967}" name="Jul _x000a_2011"/>
    <tableColumn id="21" xr3:uid="{B8E9D168-476C-4B88-9516-AD9CEFD61967}" name="Aug _x000a_2011"/>
    <tableColumn id="22" xr3:uid="{7C22DCC8-3590-4BFD-8DD1-99BA27A91C02}" name="Sep _x000a_2011"/>
    <tableColumn id="23" xr3:uid="{AE68DB78-E4AA-4617-A05F-4A2C105B7716}" name="Oct _x000a_2011"/>
    <tableColumn id="24" xr3:uid="{C5FE5A87-8403-4930-A63B-FFCC4496DAB7}" name="Nov _x000a_2011"/>
    <tableColumn id="25" xr3:uid="{7EAA39C8-F619-4DA6-86F9-CE841BB38521}" name="Dec _x000a_2011"/>
    <tableColumn id="26" xr3:uid="{2E73E648-50DA-4F0C-A880-E56147262E08}" name="Jan _x000a_2012"/>
    <tableColumn id="27" xr3:uid="{AD3BF97C-14CD-4E0F-B6EC-A2052CBD46B2}" name="Feb _x000a_2012"/>
    <tableColumn id="28" xr3:uid="{21384028-C91B-42FE-9458-9BEE25CBE626}" name="Mar _x000a_2012"/>
    <tableColumn id="29" xr3:uid="{336E2095-2425-49E6-A06D-16275F351159}" name="Apr _x000a_2012"/>
    <tableColumn id="30" xr3:uid="{1F6A15E2-3186-48FE-8CBB-77C0BE91CCA9}" name="May _x000a_2012"/>
    <tableColumn id="31" xr3:uid="{AE5B4780-88B5-4416-A43B-8E0F3A0A639B}" name="Jun _x000a_2012"/>
    <tableColumn id="32" xr3:uid="{0AF1CE8F-98D9-4F4C-B530-261799F13F7D}" name="Jul _x000a_2012"/>
    <tableColumn id="33" xr3:uid="{A49E3D36-DD4D-47B4-8AAF-71A305545853}" name="Aug _x000a_2012"/>
    <tableColumn id="34" xr3:uid="{9D7C7B56-327B-40AF-BE31-3E0AD2E2232B}" name="Sep _x000a_2012"/>
    <tableColumn id="35" xr3:uid="{6BF43111-3982-46D3-91D2-4773034B6C0F}" name="Oct _x000a_2012"/>
    <tableColumn id="36" xr3:uid="{FA7E0793-770D-4FDB-BA2F-A6967C83F343}" name="Nov _x000a_2012"/>
    <tableColumn id="37" xr3:uid="{E2FA4E7B-C207-4848-8630-4E99EE4F336C}" name="Dec _x000a_2012"/>
    <tableColumn id="38" xr3:uid="{66EF7859-11CD-48EE-9FB8-D19AFA5E27C0}" name="Jan _x000a_2013"/>
    <tableColumn id="39" xr3:uid="{040DB0F4-3A14-422E-8AE0-A50DF21CAA35}" name="Feb _x000a_2013"/>
    <tableColumn id="40" xr3:uid="{2C108B72-9996-452C-A46C-0E0CBCEE4DC4}" name="Mar _x000a_2013"/>
    <tableColumn id="41" xr3:uid="{D9F3C049-3074-41A0-B27A-544BB2B8146A}" name="Apr _x000a_2013"/>
    <tableColumn id="42" xr3:uid="{BF2C0782-655E-4E3F-B06B-499F31956893}" name="May _x000a_2013"/>
    <tableColumn id="43" xr3:uid="{F7C9B714-6F49-4A08-B000-E5E8D67AA727}" name="Jun _x000a_2013"/>
    <tableColumn id="44" xr3:uid="{B72A783B-1ADE-4CF2-9C24-3C0178C94693}" name="Jul _x000a_2013"/>
    <tableColumn id="45" xr3:uid="{2FA68D8D-26AF-4DF8-98B0-CB071DA73DA9}" name="Aug _x000a_2013"/>
    <tableColumn id="46" xr3:uid="{FD9DD453-78ED-4E41-90AD-3F7BD36F0FD0}" name="Sep _x000a_2013"/>
    <tableColumn id="47" xr3:uid="{1CE7242B-2E37-4BF6-A4F7-D13528669C9E}" name="Oct _x000a_2013"/>
    <tableColumn id="48" xr3:uid="{B1769B87-F3A2-4AB2-A8A0-EB6F68BCB30C}" name=" Nov _x000a_2013"/>
    <tableColumn id="49" xr3:uid="{DFB0D191-E996-4466-A8D0-2107EE2A232C}" name="Dec _x000a_2013"/>
    <tableColumn id="50" xr3:uid="{90C330EF-467A-42E2-ADD8-D97F97CDD46B}" name="Jan _x000a_2014"/>
    <tableColumn id="51" xr3:uid="{D6AB9775-7D2D-46A4-A029-B6764C8DE0AB}" name="Feb _x000a_2014"/>
    <tableColumn id="52" xr3:uid="{9D2275B4-8005-4795-A126-AB20CFC8A0E4}" name="Mar _x000a_2014"/>
    <tableColumn id="53" xr3:uid="{7083C82F-A4C4-4970-9A53-FC4A4D59E79F}" name="Apr _x000a_2014"/>
    <tableColumn id="54" xr3:uid="{3A9FAD99-A05E-4B04-A830-939BA15FF6BC}" name="May _x000a_2014"/>
    <tableColumn id="55" xr3:uid="{F34EDCFE-E115-405D-AEEF-65836414EBE9}" name="Jun _x000a_2014"/>
    <tableColumn id="56" xr3:uid="{1FFD9580-26AD-4C04-8B63-159E9DEAE280}" name="Jul _x000a_2014"/>
    <tableColumn id="57" xr3:uid="{3B5A609C-582B-4A77-865E-6748253B7DE7}" name="Aug _x000a_2014"/>
    <tableColumn id="58" xr3:uid="{23C77BFD-946F-47E1-ADC8-63F0D817C4FB}" name="Sep _x000a_2014"/>
    <tableColumn id="59" xr3:uid="{D66CC24E-8A9B-4CD2-8383-FBA9F69E0DD1}" name="Oct _x000a_2014"/>
    <tableColumn id="60" xr3:uid="{365693FC-CC2B-4EFC-A501-F765C96CE791}" name="Nov _x000a_2014"/>
    <tableColumn id="61" xr3:uid="{B93764A8-0317-4704-AA0D-9D1E4EEC007D}" name="Dec _x000a_2014"/>
    <tableColumn id="62" xr3:uid="{34CEFD32-1788-41D7-B0B8-BCE5CD134142}" name="Jan _x000a_2015"/>
    <tableColumn id="63" xr3:uid="{9E39952A-3958-4D02-9449-327690501B34}" name="Feb _x000a_2015"/>
    <tableColumn id="64" xr3:uid="{2FEC57C1-DAB0-4525-84E6-F941F1B45FF7}" name="Mar _x000a_2015"/>
    <tableColumn id="65" xr3:uid="{D04A1586-75AB-4CAD-AEC6-4709D57AA1D0}" name="Apr _x000a_2015"/>
    <tableColumn id="66" xr3:uid="{1C191EF4-A976-4A8A-983E-72832493EFF8}" name="May _x000a_2015"/>
    <tableColumn id="67" xr3:uid="{5C3EBB26-D8D4-4CF4-8161-5EC7D453F9BC}" name="Jun _x000a_2015"/>
    <tableColumn id="68" xr3:uid="{151E1ECA-A4DB-45AB-B740-3977D8BB5B90}" name="Jul _x000a_2015"/>
    <tableColumn id="69" xr3:uid="{B1DD4576-6C44-438A-8570-D112BCFED7AD}" name="Aug _x000a_2015"/>
    <tableColumn id="70" xr3:uid="{A0108F54-0C3F-4B3E-91DC-618DA5F893D9}" name="Sep _x000a_2015"/>
    <tableColumn id="71" xr3:uid="{186F294D-196A-4762-B1DD-FD530BE313D8}" name="Oct _x000a_2015"/>
    <tableColumn id="72" xr3:uid="{ACBC5A6F-ED0E-49A7-A42B-14A87B318F44}" name="Nov _x000a_2015"/>
    <tableColumn id="73" xr3:uid="{3EC21BBB-23E0-4855-A280-302C72D4A217}" name="Dec _x000a_2015"/>
    <tableColumn id="74" xr3:uid="{84CE2ADE-41B2-4703-B74E-A4030A6EF7A4}" name="Jan _x000a_2016"/>
    <tableColumn id="75" xr3:uid="{34FD21C7-FBA7-40F4-A9DB-2C24ECD1EAC7}" name="Feb _x000a_2016"/>
    <tableColumn id="76" xr3:uid="{E4DF1EE8-1EB7-4F0D-BEEA-0B223C9F46AB}" name="Mar _x000a_2016"/>
    <tableColumn id="77" xr3:uid="{053FEE40-86FB-4347-8F23-7A70B693CC64}" name="Apr _x000a_2016"/>
    <tableColumn id="78" xr3:uid="{EB4AE1F5-A3DA-406E-992F-2415C7CFE04A}" name="May _x000a_2016"/>
    <tableColumn id="79" xr3:uid="{D7155D9B-DF76-417B-9E75-9E6A3E6A4639}" name="Jun _x000a_2016"/>
    <tableColumn id="80" xr3:uid="{12225B2D-DC23-4865-BAE2-A18683EBCA7C}" name="Jul _x000a_2016"/>
    <tableColumn id="81" xr3:uid="{27308C88-7DC6-4EEA-BB6C-8FA7E83E8555}" name="Aug _x000a_2016"/>
    <tableColumn id="82" xr3:uid="{1E6CC7C1-A398-47D0-B911-01E7732790B5}" name="Sep _x000a_2016"/>
    <tableColumn id="83" xr3:uid="{F8F1E972-AC34-4E7A-83B9-E0F764562D38}" name="Oct _x000a_2016"/>
    <tableColumn id="84" xr3:uid="{7442A2E1-54EF-4898-B978-7A659839D47D}" name="Nov _x000a_2016"/>
    <tableColumn id="85" xr3:uid="{1EA181E3-FA91-4146-8EBC-240F9ADB12FE}" name="Dec _x000a_2016"/>
    <tableColumn id="86" xr3:uid="{1DAACD81-B490-4FDA-BD24-D65D9CF0849D}" name="Jan _x000a_2017"/>
    <tableColumn id="87" xr3:uid="{6D6AD83E-07DB-4C38-ABB0-CA4BF4C88822}" name="Feb _x000a_2017"/>
    <tableColumn id="88" xr3:uid="{1CE5D502-B0C2-409D-BDCC-41094EFCF481}" name="Mar _x000a_2017"/>
    <tableColumn id="89" xr3:uid="{560D1C60-C7D4-4E8B-B16F-F3CAB2F75F70}" name="Apr _x000a_2017"/>
    <tableColumn id="90" xr3:uid="{D3BEB3D2-8F06-4C5A-9961-2B78CFF16430}" name="May _x000a_2017"/>
    <tableColumn id="91" xr3:uid="{FF325F51-6EFE-43CC-A0DC-A29F56E80E22}" name="Jun _x000a_2017"/>
    <tableColumn id="92" xr3:uid="{7FFDD0E2-6393-4B68-BB0C-501668C25C36}" name="Jul _x000a_2017"/>
    <tableColumn id="93" xr3:uid="{5D9FBCD2-D2A6-4CB9-B0AC-57F260B1030F}" name="Aug _x000a_2017"/>
    <tableColumn id="94" xr3:uid="{5124E262-9D7B-4D5A-B832-A8A9F92A4CF9}" name="Sep _x000a_2017"/>
    <tableColumn id="95" xr3:uid="{6842D288-093F-4A73-86F5-DB6839F51667}" name="Oct _x000a_2017"/>
    <tableColumn id="96" xr3:uid="{92376F55-E859-4BD3-B9B2-730F39375D08}" name="Nov _x000a_2017"/>
    <tableColumn id="97" xr3:uid="{F1C2C5BA-21C2-4C2F-920F-6AB1D7EC37AD}" name="Dec _x000a_2017"/>
    <tableColumn id="98" xr3:uid="{697E0EDA-F12A-45E3-888B-964E931D984A}" name="Jan _x000a_2018"/>
    <tableColumn id="99" xr3:uid="{1609F98D-7678-4934-AC66-CF491C5AAB10}" name="Feb _x000a_2018"/>
    <tableColumn id="100" xr3:uid="{4EA9F6D4-B558-4678-B851-6BACD08D650B}" name="Mar _x000a_2018"/>
    <tableColumn id="101" xr3:uid="{33CED7FC-DE23-4B1B-88C5-0B71B6906037}" name="Apr _x000a_2018"/>
    <tableColumn id="102" xr3:uid="{DB43CAE8-7A77-4C52-BA4D-B8C8F4BC3B83}" name="May _x000a_2018"/>
    <tableColumn id="103" xr3:uid="{1EF78EFE-1B80-4EE5-96E3-AD26C0135B98}" name="Jun _x000a_2018"/>
    <tableColumn id="104" xr3:uid="{C405740D-2978-429A-9CD4-1237CC2BB7EB}" name="Jul _x000a_2018"/>
    <tableColumn id="105" xr3:uid="{95642821-0D1B-493A-9CB2-E09D467A0A4A}" name="Aug _x000a_2018"/>
    <tableColumn id="106" xr3:uid="{0139C9B4-FEFB-4393-A5CF-61E8974EF74B}" name="Sep _x000a_2018"/>
    <tableColumn id="107" xr3:uid="{94BCDCDD-1398-4E2B-9993-7226438FDD84}" name="Oct _x000a_2018"/>
    <tableColumn id="108" xr3:uid="{DB0A28F0-B112-4452-AE91-0C8CBA7C29A3}" name="Nov _x000a_2018"/>
    <tableColumn id="109" xr3:uid="{325FC6DF-C9CC-409E-9E9A-97CF9F8DB543}" name="Dec _x000a_2018"/>
    <tableColumn id="110" xr3:uid="{3E58D0B3-05EA-4611-9554-8AC5F512C129}" name="Jan _x000a_2019"/>
    <tableColumn id="111" xr3:uid="{B095B160-2FF5-4A87-94C8-3C12F4337527}" name="Feb _x000a_2019"/>
    <tableColumn id="112" xr3:uid="{9F6E8E17-2E7F-42EB-A14F-08EB6B9B8D8E}" name="Mar _x000a_2019"/>
    <tableColumn id="113" xr3:uid="{E2DE995A-F964-4DD9-9F72-887507FA70C6}" name="Apr _x000a_2019"/>
    <tableColumn id="114" xr3:uid="{25B888E7-13A3-4758-AE01-E6C43AF8B6FE}" name="May _x000a_2019"/>
    <tableColumn id="115" xr3:uid="{1A5D5AC5-0B32-40AD-9233-E2E1283512E1}" name="Jun _x000a_2019"/>
    <tableColumn id="116" xr3:uid="{3518BF1E-E8AC-4AE6-8E3E-FB50AB3ACCB7}" name="Jul _x000a_2019"/>
    <tableColumn id="117" xr3:uid="{0B91D276-C7EA-4BEC-8DE7-82651B70FC4C}" name="Aug _x000a_2019"/>
    <tableColumn id="118" xr3:uid="{3F3137C9-AEAC-442B-BB73-4BDB6F049199}" name="Sep _x000a_2019"/>
    <tableColumn id="119" xr3:uid="{170AED36-9DF4-425D-AEDF-B896583157A7}" name="Oct _x000a_2019"/>
    <tableColumn id="120" xr3:uid="{B51B669C-6DCC-4363-965C-7830932DBF9F}" name="Nov _x000a_2019"/>
    <tableColumn id="121" xr3:uid="{48ACE215-3ECF-4A68-B79E-F75705FCEC33}" name="Dec _x000a_2019"/>
    <tableColumn id="122" xr3:uid="{F70C3A29-79EE-4675-B0CA-BF1F08EED2E8}" name="Jan _x000a_2020"/>
    <tableColumn id="123" xr3:uid="{14B6D081-A84C-4EB5-809C-6EFE3504351A}" name="Feb _x000a_2020"/>
    <tableColumn id="124" xr3:uid="{375E4195-6E3C-400F-8B8E-878F0E0EE1F5}" name="Mar _x000a_2020"/>
    <tableColumn id="125" xr3:uid="{F927F595-E584-4452-BD15-BB0FF011A652}" name="Apr _x000a_2020"/>
    <tableColumn id="126" xr3:uid="{8DECD039-AA67-4F59-8CD7-9F008A9BDDBF}" name="May _x000a_2020"/>
    <tableColumn id="127" xr3:uid="{14472751-4A72-4BE4-804D-2AA925533DB9}" name="Jun _x000a_2020"/>
    <tableColumn id="128" xr3:uid="{29F7467C-9734-460F-9B69-E7C2E4F03D12}" name="Jul _x000a_2020"/>
    <tableColumn id="129" xr3:uid="{64023DF0-F8D6-46EC-9F87-F71E10CC58B7}" name="Aug _x000a_2020"/>
    <tableColumn id="130" xr3:uid="{11EBA858-2A74-48A2-A8DB-571299D50ED6}" name="Sep  _x000a_2020"/>
    <tableColumn id="131" xr3:uid="{0A07DA68-8598-4626-BD2D-9FE411015E8D}" name="Oct _x000a_2020"/>
    <tableColumn id="132" xr3:uid="{81FCA08B-E0B1-436D-B62D-442A77EC22E6}" name="Nov _x000a_2020"/>
    <tableColumn id="133" xr3:uid="{81A95C8F-8D0F-493D-A881-7764595B5369}" name="Dec _x000a_2020"/>
    <tableColumn id="134" xr3:uid="{B95BD536-215E-4AA7-B5BB-3A42A2EFA533}" name="Jan _x000a_2021"/>
    <tableColumn id="135" xr3:uid="{A3AE270C-AC67-4F76-B2CF-3F4D6D1FD7B2}" name="Feb _x000a_2021"/>
    <tableColumn id="136" xr3:uid="{26119CB6-8562-46E2-BF13-BF634F872A72}" name="Mar _x000a_2021"/>
    <tableColumn id="137" xr3:uid="{36C7C008-6931-4FB0-B492-6346280EA496}" name="Apr _x000a_2021"/>
    <tableColumn id="138" xr3:uid="{F3BE3DFF-3C65-470B-B1BE-1F6F02A952B0}" name="May _x000a_2021"/>
    <tableColumn id="139" xr3:uid="{D378C788-3972-4FF5-93B7-DAFB7908AD5B}" name="Jun _x000a_2021"/>
    <tableColumn id="140" xr3:uid="{3A58278A-6B05-4D75-A4F7-4FFDD7E7BACA}" name="Jul _x000a_2021"/>
    <tableColumn id="141" xr3:uid="{866313C9-5B4D-4314-B3CF-D34E442CBA9D}" name="Aug _x000a_2021"/>
    <tableColumn id="142" xr3:uid="{6203D8DA-F672-4627-B1B9-CA9815602D2F}" name="Sep _x000a_2021"/>
    <tableColumn id="143" xr3:uid="{0E817CDC-E08F-491D-A357-0EA7FECB5BDB}" name="Oct_x000a_2021"/>
    <tableColumn id="144" xr3:uid="{7F522558-B82D-41F8-829F-62FACCF2D75A}" name="Nov_x000a_2021" dataDxfId="540" dataCellStyle="Comma"/>
    <tableColumn id="145" xr3:uid="{3CDA006F-31E6-4AE1-BB98-1B511BBAD949}" name="Dec_x000a_2021" dataDxfId="539" dataCellStyle="Comma"/>
    <tableColumn id="146" xr3:uid="{CCBA20B1-3F38-41D4-988A-7CA841EB4FB3}" name="Jan_x000a_2022" dataDxfId="538" dataCellStyle="Comma"/>
    <tableColumn id="147" xr3:uid="{FD24DCA9-B596-4C1C-AD87-F54324B6F097}" name="Feb_x000a_2022" dataDxfId="537" dataCellStyle="Comma"/>
    <tableColumn id="148" xr3:uid="{49A3CD3D-6E15-497C-A848-5D7943551CED}" name="Mar_x000a_2022" dataDxfId="536" dataCellStyle="Comma"/>
    <tableColumn id="149" xr3:uid="{01B1A84D-572B-4215-86E8-160758F0C7B8}" name="Apr_x000a_2022" dataDxfId="535" dataCellStyle="Comma"/>
    <tableColumn id="150" xr3:uid="{21639E6A-A59B-43BA-AAEC-2893ABCC6643}" name="May_x000a_2022" dataDxfId="534" dataCellStyle="Comma"/>
    <tableColumn id="151" xr3:uid="{95BAF993-644F-4FCA-B1DD-8B66FFA6535E}" name="Jun_x000a_2022" dataDxfId="533" dataCellStyle="Comma"/>
    <tableColumn id="152" xr3:uid="{0E69BBBE-668D-4C24-8824-9E5A1E8BE5B2}" name="Jul_x000a_2022" dataDxfId="532" dataCellStyle="Comma"/>
    <tableColumn id="153" xr3:uid="{EAE63F4E-441B-48D2-94D4-E0A6066566F4}" name="Aug_x000a_2022" dataDxfId="531" dataCellStyle="Comma"/>
    <tableColumn id="154" xr3:uid="{772C4C2B-7CD5-4D4E-809E-7406832BB9D7}" name="Sep_x000a_2022" dataDxfId="530" dataCellStyle="Comma"/>
    <tableColumn id="155" xr3:uid="{4C015EB9-46A8-4035-A2B6-CA1D95BB4CA7}" name="Oct_x000a_2022" dataDxfId="529" dataCellStyle="Comma"/>
    <tableColumn id="156" xr3:uid="{4522367E-1811-4C07-B788-A4D557BB7D48}" name="Nov_x000a_2022" dataDxfId="528" dataCellStyle="Comma"/>
    <tableColumn id="157" xr3:uid="{99AB3421-092F-40D0-8719-C262C4F582D2}" name="Dec_x000a_2022" dataDxfId="527" dataCellStyle="Comma"/>
    <tableColumn id="158" xr3:uid="{04545533-8794-4B67-8B50-0BED8C4D0C43}" name="Jan_x000a_2023" dataDxfId="526" dataCellStyle="Comma"/>
    <tableColumn id="159" xr3:uid="{C49B85E8-6F90-403D-B5FF-96273C3CBAFD}" name="Feb_x000a_2023" dataDxfId="525" dataCellStyle="Comma"/>
    <tableColumn id="160" xr3:uid="{41C56B28-E798-43E4-A688-407524C7F234}" name="Mar_x000a_2023" dataDxfId="524" dataCellStyle="Comma"/>
    <tableColumn id="161" xr3:uid="{CC358C35-F25F-419D-9D49-B5502DAFED29}" name="Apr_x000a_2023" dataDxfId="523" dataCellStyle="Comma"/>
    <tableColumn id="162" xr3:uid="{017077AD-9123-49C1-B766-57AD3E121589}" name="May_x000a_2023" dataDxfId="522" dataCellStyle="Comma"/>
    <tableColumn id="163" xr3:uid="{5746F5BD-9AB3-4DFA-9415-D25CE53BCC4B}" name="Jun_x000a_2023" dataDxfId="521" dataCellStyle="Comma"/>
    <tableColumn id="164" xr3:uid="{6C9036DD-0931-4D7B-B0CC-D28D17704F89}" name="Jul_x000a_2023" dataDxfId="520" dataCellStyle="Comma"/>
    <tableColumn id="165" xr3:uid="{1E9E006E-2CBC-42B6-9D7F-8CF4483A023C}" name="Aug_x000a_2023" dataDxfId="519" dataCellStyle="Comma"/>
    <tableColumn id="166" xr3:uid="{3A855A80-F322-48C4-AF7D-4D1E14D70E97}" name="Sep_x000a_2023" dataDxfId="518" dataCellStyle="Comma"/>
    <tableColumn id="167" xr3:uid="{8648D245-F04F-4A5A-B78C-9DC06A9DFB3B}" name="Oct_x000a_2023" dataDxfId="517" dataCellStyle="Comma"/>
    <tableColumn id="168" xr3:uid="{C2436A92-9871-40AE-80B3-F6CF2F3EC94E}" name="Nov_x000a_2023" dataDxfId="516" dataCellStyle="Comma"/>
    <tableColumn id="169" xr3:uid="{05A665B9-D81A-49F7-AE6F-EC893164B079}" name="Dec_x000a_2023" dataDxfId="515" dataCellStyle="Comma"/>
    <tableColumn id="170" xr3:uid="{6E107AD7-AD45-42DB-B01E-FA67724070B0}" name="Jan_x000a_2024" dataDxfId="514" dataCellStyle="Comma"/>
    <tableColumn id="171" xr3:uid="{E25ABB04-DFD7-4E8D-A65D-4093F846CA8C}" name="Feb_x000a_2024" dataDxfId="513" dataCellStyle="Comma"/>
    <tableColumn id="172" xr3:uid="{0809EE73-2C02-4286-937A-D384DBB35E61}" name="Mar_x000a_2024" dataDxfId="512" dataCellStyle="Comma"/>
    <tableColumn id="173" xr3:uid="{14D51A60-32C8-44B1-B6AB-7589239B3599}" name="Apr_x000a_2024" dataDxfId="511" dataCellStyle="Comma"/>
    <tableColumn id="174" xr3:uid="{19602AE9-EEDA-487A-9308-89892B445B83}" name="May_x000a_2024" dataDxfId="510" dataCellStyle="Comma"/>
    <tableColumn id="175" xr3:uid="{17DE5FFB-BD47-4136-A84E-A14C13E3FAB2}" name="Jun_x000a_2024" dataDxfId="509" dataCellStyle="Comma"/>
    <tableColumn id="176" xr3:uid="{F8058AFB-5C66-4440-A8A8-E815D1517980}" name="Jul_x000a_2024" dataDxfId="508" dataCellStyle="Comma"/>
    <tableColumn id="177" xr3:uid="{2E26B3D0-7F1E-4062-8A15-10FAC8AC8B6C}" name="Aug_x000a_2024" dataDxfId="507" dataCellStyle="Comma"/>
    <tableColumn id="178" xr3:uid="{D7A28A46-0034-4824-9BD7-459D6DAE3641}" name="Sep_x000a_2024" dataDxfId="506" dataCellStyle="Comma"/>
    <tableColumn id="179" xr3:uid="{CBB4B121-0FC1-41D7-9900-2E03F958E804}" name="Oct_x000a_2024" dataDxfId="505" dataCellStyle="Comma"/>
    <tableColumn id="180" xr3:uid="{84E6FDDE-3CF6-4EC2-9CEE-A61227875C3F}" name="Nov_x000a_2024" dataDxfId="504" dataCellStyle="Comma"/>
    <tableColumn id="181" xr3:uid="{0EF691F0-D752-4991-B8F1-D23B38F35D6E}" name="Dec_x000a_2024" dataDxfId="503" dataCellStyle="Comma"/>
    <tableColumn id="182" xr3:uid="{791DF402-B31E-4AD0-8CB7-34A1F46D6ED1}" name="Jan_x000a_2025" dataDxfId="502" dataCellStyle="Comma"/>
    <tableColumn id="183" xr3:uid="{4B765FAD-72EA-4086-8F49-9E8D4D93F14C}" name="Feb_x000a_2025" dataDxfId="501" dataCellStyle="Comma"/>
    <tableColumn id="184" xr3:uid="{5D9F9C1C-E861-4071-9757-494FEDDF8484}" name="Mar_x000a_2025" dataDxfId="500" dataCellStyle="Comma"/>
    <tableColumn id="185" xr3:uid="{5A1444E2-5F25-4A0D-B7D4-571E942E3C50}" name="Apr_x000a_2025" dataDxfId="499" dataCellStyle="Comma"/>
    <tableColumn id="186" xr3:uid="{EA5B151A-5774-4C5E-A05D-390182EF3BD2}" name="May_x000a_2025" dataDxfId="498" dataCellStyle="Comma"/>
    <tableColumn id="187" xr3:uid="{4E08BEBC-D27A-43A0-9B74-74FCD6AE80F1}" name="Jun_x000a_2025" dataDxfId="497" dataCellStyle="Comma"/>
    <tableColumn id="188" xr3:uid="{A1733CE0-62ED-488B-A25B-D9A0567A7EFF}" name="Jul_x000a_2025" dataDxfId="496" dataCellStyle="Comma"/>
    <tableColumn id="189" xr3:uid="{4C2A4C04-BC78-490A-90C4-AF52F6419BBC}" name="Aug_x000a_2025" dataDxfId="495" dataCellStyle="Comma"/>
    <tableColumn id="190" xr3:uid="{7A17AF93-BBD8-4422-89E4-6899A221A904}" name="Sep_x000a_2025" dataDxfId="494" dataCellStyle="Comma"/>
    <tableColumn id="191" xr3:uid="{5DEA33FE-315A-4909-800B-912A8A14779B}" name="Oct_x000a_2025" dataDxfId="493" dataCellStyle="Comma"/>
    <tableColumn id="192" xr3:uid="{26702E42-7D9F-482A-89DF-D18A6F78744B}" name="Nov_x000a_2025" dataDxfId="492" dataCellStyle="Comma"/>
    <tableColumn id="193" xr3:uid="{69B45AC9-CB93-4E5B-A3AC-6AB63763EC8A}" name="Dec_x000a_2025" dataDxfId="491" dataCellStyle="Comma"/>
    <tableColumn id="194" xr3:uid="{E959E4F1-7F29-4C37-9DD2-EBEDB151BFA7}" name="Jan_x000a_2026" dataDxfId="490" dataCellStyle="Comma"/>
    <tableColumn id="195" xr3:uid="{709A4D4E-91EC-4D24-A6D4-7A67324D6B8A}" name="Feb_x000a_2026" dataDxfId="489" dataCellStyle="Comma"/>
    <tableColumn id="196" xr3:uid="{90A2010F-077F-46EF-9F66-2252DC07E6A5}" name="Mar_x000a_2026" dataDxfId="488" dataCellStyle="Comma"/>
    <tableColumn id="197" xr3:uid="{DD590612-195E-4F30-BA80-D240F557B7FB}" name="Apr_x000a_2026" dataDxfId="487" dataCellStyle="Comma"/>
    <tableColumn id="198" xr3:uid="{05B4697C-930C-4426-B279-365A457E3D67}" name="May_x000a_2026" dataDxfId="486" dataCellStyle="Comma"/>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FBE612-E44A-4EDB-A278-7FD4715671FC}" name="Cumulative_installed_capacity_by_tariff3" displayName="Cumulative_installed_capacity_by_tariff3" ref="A5:GO31" totalsRowShown="0">
  <tableColumns count="197">
    <tableColumn id="1" xr3:uid="{86EF32F5-D8E5-4EC4-A656-3939457602E7}" name="CUMULATIVE CAPACITY (MW) [note 1]"/>
    <tableColumn id="2" xr3:uid="{7A6C6DD1-F731-41F3-BDCC-9EDBA875504D}" name="Jan _x000a_2010"/>
    <tableColumn id="3" xr3:uid="{870DC681-A46E-4EC6-8C7F-B038BA13E46F}" name="Feb _x000a_2010"/>
    <tableColumn id="4" xr3:uid="{59DDE253-AE78-4529-B9D1-D30569043DF3}" name="Mar _x000a_2010"/>
    <tableColumn id="5" xr3:uid="{5AA63C62-A300-4E19-BC08-F540476667D8}" name="Apr _x000a_2010"/>
    <tableColumn id="6" xr3:uid="{A9BE5A68-C6B2-4248-8C75-3931B6FD5468}" name="May _x000a_2010"/>
    <tableColumn id="7" xr3:uid="{5FEE71A1-E708-40B9-866D-EFB8664058A5}" name="Jun _x000a_2010"/>
    <tableColumn id="8" xr3:uid="{DDC92E1D-D614-483E-A4FB-F7486D886822}" name="Jul _x000a_2010"/>
    <tableColumn id="9" xr3:uid="{B143FA35-85A4-4189-B962-448FD4A9F080}" name="Aug _x000a_2010"/>
    <tableColumn id="10" xr3:uid="{6625ED5E-1970-481C-BC04-ED9EAEF93B80}" name="Sep _x000a_2010"/>
    <tableColumn id="11" xr3:uid="{9765B8E0-C9A0-4AB3-BA18-177219D99A1C}" name="Oct _x000a_2010"/>
    <tableColumn id="12" xr3:uid="{5C528288-3190-49D7-B58C-5BF30C0564B7}" name="Nov _x000a_2010"/>
    <tableColumn id="13" xr3:uid="{1B6F3A08-790D-4EE0-B9F5-7C78EFCAAF1D}" name="Dec _x000a_2010"/>
    <tableColumn id="14" xr3:uid="{A219C4BC-35E1-46DC-8F1C-C962A92A4158}" name="Jan _x000a_2011"/>
    <tableColumn id="15" xr3:uid="{2D1E020D-F0EC-490A-9694-4998FC5CAE1A}" name="Feb _x000a_2011"/>
    <tableColumn id="16" xr3:uid="{D7BE1114-EEF3-4450-87C7-62A0CF2E6042}" name="Mar _x000a_2011"/>
    <tableColumn id="17" xr3:uid="{0CA062FE-3E27-4737-81C1-FA4B39EF35F2}" name="Apr _x000a_2011"/>
    <tableColumn id="18" xr3:uid="{687D9799-166C-4733-82D7-1B38785029EE}" name="May _x000a_2011"/>
    <tableColumn id="19" xr3:uid="{1CEFF01C-98DC-4133-8A08-E075B40A5075}" name="Jun _x000a_2011"/>
    <tableColumn id="20" xr3:uid="{93DE031B-0BE1-42D3-88DA-B851288B9E11}" name="Jul _x000a_2011"/>
    <tableColumn id="21" xr3:uid="{41B9A91C-7C3C-419F-BF8D-B5E02DA5C88E}" name="Aug _x000a_2011"/>
    <tableColumn id="22" xr3:uid="{A98969C4-4DA2-4018-BB7A-F036E613D62C}" name="Sep _x000a_2011"/>
    <tableColumn id="23" xr3:uid="{CFA1C626-24AF-4472-B136-34A127898108}" name="Oct _x000a_2011"/>
    <tableColumn id="24" xr3:uid="{7A2E5A18-B36D-4D9A-9D55-EB43663679DF}" name="Nov _x000a_2011"/>
    <tableColumn id="25" xr3:uid="{D7131581-2305-4C61-8065-D12C838DAA93}" name="Dec _x000a_2011"/>
    <tableColumn id="26" xr3:uid="{CA1BF9F1-2DD0-4ADF-900F-CFD562AEB630}" name="Jan _x000a_2012"/>
    <tableColumn id="27" xr3:uid="{A3779538-08EC-4770-9FD9-88E6E5912E96}" name="Feb _x000a_2012"/>
    <tableColumn id="28" xr3:uid="{1041E47F-081A-49B1-8A48-D7A7A44E05C7}" name="Mar _x000a_2012"/>
    <tableColumn id="29" xr3:uid="{95B79FDE-700B-4A90-BB8D-FA8EA91D25CA}" name="Apr _x000a_2012"/>
    <tableColumn id="30" xr3:uid="{B78F70E6-6461-41D6-BF52-EAFEDC7F8AEB}" name="May _x000a_2012"/>
    <tableColumn id="31" xr3:uid="{B6140EC2-CC5D-41B3-9436-ABCFF378B967}" name="Jun _x000a_2012"/>
    <tableColumn id="32" xr3:uid="{D9512954-F86E-405D-9256-013C8B1D2B05}" name="Jul _x000a_2012"/>
    <tableColumn id="33" xr3:uid="{F40875B8-AC49-45E0-ADF2-E3290DB6A51F}" name="Aug _x000a_2012"/>
    <tableColumn id="34" xr3:uid="{94D85B79-3BDF-4B08-8480-0B4A38CA235E}" name="Sep _x000a_2012"/>
    <tableColumn id="35" xr3:uid="{66731C5E-C8FA-4DE2-B8CE-8D00601C101E}" name="Oct _x000a_2012"/>
    <tableColumn id="36" xr3:uid="{0CB99A84-C28B-4BBF-A7DE-5714615A1694}" name="Nov _x000a_2012"/>
    <tableColumn id="37" xr3:uid="{CD39483F-54AC-41F7-8F6F-0368387BE476}" name="Dec _x000a_2012"/>
    <tableColumn id="38" xr3:uid="{0FD7D5C7-6627-4CC4-BE9F-E5854599A826}" name="Jan _x000a_2013"/>
    <tableColumn id="39" xr3:uid="{F0C92792-4376-41BC-A12C-BB153D405B67}" name="Feb _x000a_2013"/>
    <tableColumn id="40" xr3:uid="{D9CAF3B0-3680-40A3-8C3F-BB0D5A3516EF}" name="Mar _x000a_2013"/>
    <tableColumn id="41" xr3:uid="{DEDCDCC4-1B49-483F-9BDB-E41918DD0CD4}" name="Apr _x000a_2013"/>
    <tableColumn id="42" xr3:uid="{0E13EC43-073E-4CE0-951E-C94516F4D45D}" name="May _x000a_2013"/>
    <tableColumn id="43" xr3:uid="{5F105D38-7937-41B8-AA05-8DC339D45E6D}" name="Jun _x000a_2013"/>
    <tableColumn id="44" xr3:uid="{F20DBF4D-FB87-4CB8-830A-773AD1F0051D}" name="Jul _x000a_2013"/>
    <tableColumn id="45" xr3:uid="{D1516889-6DD6-4E84-A6CA-16286C39FA02}" name="Aug _x000a_2013"/>
    <tableColumn id="46" xr3:uid="{563BFFCB-6A92-4182-BD55-6E92FA1BF195}" name="Sep _x000a_2013"/>
    <tableColumn id="47" xr3:uid="{5D159E91-064C-407E-BC9F-DAA98239324F}" name="Oct _x000a_2013"/>
    <tableColumn id="48" xr3:uid="{4FD8B2CC-056A-48C6-A403-011B5DDF1F04}" name=" Nov _x000a_2013"/>
    <tableColumn id="49" xr3:uid="{67C8D241-DF0F-4987-9108-672031A0F09C}" name="Dec _x000a_2013"/>
    <tableColumn id="50" xr3:uid="{10884076-EDA2-4DDA-B14F-C01D9E67B11D}" name="Jan _x000a_2014"/>
    <tableColumn id="51" xr3:uid="{CC5050CA-1ECD-4686-87A1-824E3C1C057C}" name="Feb _x000a_2014"/>
    <tableColumn id="52" xr3:uid="{E8E2B044-AA0B-4A2A-A0B1-C36678C7F566}" name="Mar _x000a_2014"/>
    <tableColumn id="53" xr3:uid="{51EA688C-885F-42A0-808D-D0D0EE42F9BC}" name="Apr _x000a_2014"/>
    <tableColumn id="54" xr3:uid="{0498FEC3-38A5-41C0-A601-9F828A46F1B8}" name="May _x000a_2014"/>
    <tableColumn id="55" xr3:uid="{9DEC2E50-B388-4590-9C81-373D57D9B18D}" name="Jun _x000a_2014"/>
    <tableColumn id="56" xr3:uid="{658A5B83-9014-49AD-A5A4-2CFEAD6996C4}" name="Jul _x000a_2014"/>
    <tableColumn id="57" xr3:uid="{D03E3FBC-E6B4-43A7-88E5-0C7B5DB9C1C0}" name="Aug _x000a_2014"/>
    <tableColumn id="58" xr3:uid="{45CA21CF-6841-4F58-8105-66C80BCDF4FF}" name="Sep _x000a_2014"/>
    <tableColumn id="59" xr3:uid="{BE905D6A-8CA8-4444-AB06-38923F536B92}" name="Oct _x000a_2014"/>
    <tableColumn id="60" xr3:uid="{823B4447-42D9-4EE5-A898-10589857E32F}" name="Nov _x000a_2014"/>
    <tableColumn id="61" xr3:uid="{8EE6B98E-94FB-4F5E-B50A-0BE879672EC1}" name="Dec _x000a_2014"/>
    <tableColumn id="62" xr3:uid="{6B06E0DE-1FD2-4421-88F3-F402F2453084}" name="Jan _x000a_2015"/>
    <tableColumn id="63" xr3:uid="{2A68FE7D-61C0-49A0-B651-97521A5032FC}" name="Feb _x000a_2015"/>
    <tableColumn id="64" xr3:uid="{CDDED42B-9CE4-4523-A511-906CB56A80E5}" name="Mar _x000a_2015"/>
    <tableColumn id="65" xr3:uid="{09EB724D-7AD5-4E08-82D5-DCB06A6DE853}" name="Apr _x000a_2015"/>
    <tableColumn id="66" xr3:uid="{68AD45B4-3318-46D8-AD12-5E477E011250}" name="May _x000a_2015"/>
    <tableColumn id="67" xr3:uid="{8220D794-0DA0-411F-AC1C-67B09063CC24}" name="Jun _x000a_2015"/>
    <tableColumn id="68" xr3:uid="{532742F2-DC1F-4A45-A275-FFF75B25C3BD}" name="Jul _x000a_2015"/>
    <tableColumn id="69" xr3:uid="{F19C2B18-3969-4811-B1ED-4B58049CF6C1}" name="Aug _x000a_2015"/>
    <tableColumn id="70" xr3:uid="{63AA3C5A-32E0-45EB-A1F6-9C01ECA4F94E}" name="Sep _x000a_2015"/>
    <tableColumn id="71" xr3:uid="{B64AB64E-C5AD-495C-B88B-51DF536154A1}" name="Oct _x000a_2015"/>
    <tableColumn id="72" xr3:uid="{12EDA25C-E761-4E54-A1AA-5ED1899DAC15}" name="Nov _x000a_2015"/>
    <tableColumn id="73" xr3:uid="{240D76A2-AC7C-4BDA-9322-359E01108D57}" name="Dec _x000a_2015"/>
    <tableColumn id="74" xr3:uid="{0BDADE02-B514-4C8B-A852-2E8901B6BE0C}" name="Jan _x000a_2016"/>
    <tableColumn id="75" xr3:uid="{314B65F7-8E87-42E9-B72A-F96AE9946035}" name="Feb _x000a_2016"/>
    <tableColumn id="76" xr3:uid="{B5F6CBF2-B124-4FC0-AF1B-27EF7518B398}" name="Mar _x000a_2016"/>
    <tableColumn id="77" xr3:uid="{71296325-AB3A-4511-8034-59D594D23172}" name="Apr _x000a_2016"/>
    <tableColumn id="78" xr3:uid="{CCAB03BF-E490-48E5-B36C-553322DA4531}" name="May _x000a_2016"/>
    <tableColumn id="79" xr3:uid="{0A8AFE90-B82E-469F-ABE7-8B8872368C9D}" name="Jun _x000a_2016"/>
    <tableColumn id="80" xr3:uid="{8788DD53-5FB3-453D-B3AE-F3502C215E4F}" name="Jul _x000a_2016"/>
    <tableColumn id="81" xr3:uid="{99A55273-DA2B-4352-93C4-29FF07C233E3}" name="Aug _x000a_2016"/>
    <tableColumn id="82" xr3:uid="{46D655DC-FCDC-4488-92E1-C9FF3AFBC5E3}" name="Sep _x000a_2016"/>
    <tableColumn id="83" xr3:uid="{DC6B52FF-84AC-4132-B9D3-002D6B45CEDE}" name="Oct _x000a_2016"/>
    <tableColumn id="84" xr3:uid="{00597B4C-796A-4C02-BD4C-8AF1AF45D4AA}" name="Nov _x000a_2016"/>
    <tableColumn id="85" xr3:uid="{F81311DF-7A55-4B86-BA0D-AD10C7148B16}" name="Dec _x000a_2016"/>
    <tableColumn id="86" xr3:uid="{B2B2AA1E-6E4B-4FE1-A71C-BD55834A1A33}" name="Jan _x000a_2017"/>
    <tableColumn id="87" xr3:uid="{48843DA3-2E26-49C2-B777-99841512E9D1}" name="Feb _x000a_2017"/>
    <tableColumn id="88" xr3:uid="{665D5466-C14D-4AC7-AC73-E92CCA47FB89}" name="Mar _x000a_2017"/>
    <tableColumn id="89" xr3:uid="{D634C41C-294E-40CC-8077-29AE8875E7A4}" name="Apr _x000a_2017"/>
    <tableColumn id="90" xr3:uid="{E4C7438D-990B-4938-90F7-CB42F0A17AB9}" name="May _x000a_2017"/>
    <tableColumn id="91" xr3:uid="{CFE9B07F-9AFA-4E2B-B7A4-E8C024FD3B5E}" name="Jun _x000a_2017"/>
    <tableColumn id="92" xr3:uid="{17CAE51E-2067-43A8-886B-2C45C3E3A0CF}" name="Jul _x000a_2017"/>
    <tableColumn id="93" xr3:uid="{A114784A-6B25-42CF-A25E-7D36D5E985B9}" name="Aug _x000a_2017"/>
    <tableColumn id="94" xr3:uid="{0C073C7D-ED0D-4B43-8D60-CE565A49C5EC}" name="Sep _x000a_2017"/>
    <tableColumn id="95" xr3:uid="{8A976CB5-2904-4CEC-983C-B0F853E86081}" name="Oct _x000a_2017"/>
    <tableColumn id="96" xr3:uid="{A7DD6013-788C-46D6-9213-FC323495E874}" name="Nov _x000a_2017"/>
    <tableColumn id="97" xr3:uid="{B75BBFDB-1A95-4A05-8F7B-71B2E232F9EE}" name="Dec _x000a_2017"/>
    <tableColumn id="98" xr3:uid="{36DA82E4-EC19-466C-8EEF-1895FEDDB6E5}" name="Jan _x000a_2018"/>
    <tableColumn id="99" xr3:uid="{91B14D3C-2FFD-4717-B66D-A0E031386240}" name="Feb _x000a_2018"/>
    <tableColumn id="100" xr3:uid="{1AE48656-6FF7-42D5-A2C9-BB9AB724736F}" name="Mar _x000a_2018"/>
    <tableColumn id="101" xr3:uid="{C1B7A248-64A0-4379-AF9A-59C687C87044}" name="Apr _x000a_2018"/>
    <tableColumn id="102" xr3:uid="{2083F0F1-C156-45C5-A64E-1D6939B8A33E}" name="May _x000a_2018"/>
    <tableColumn id="103" xr3:uid="{6130E929-79A4-41FC-A825-568C1A1018AC}" name="Jun _x000a_2018"/>
    <tableColumn id="104" xr3:uid="{E7B96D2C-7F45-4FB2-B62D-78B1B21A551A}" name="Jul _x000a_2018"/>
    <tableColumn id="105" xr3:uid="{C8222465-CF45-4EA1-BFE9-27BF4A267EAD}" name="Aug _x000a_2018"/>
    <tableColumn id="106" xr3:uid="{F5D8FBD9-1711-40D2-BD0C-CA17603707A6}" name="Sep _x000a_2018"/>
    <tableColumn id="107" xr3:uid="{7277DE19-09E0-4FCB-B810-4C394B0F9A65}" name="Oct _x000a_2018"/>
    <tableColumn id="108" xr3:uid="{D4CB402F-CB90-4D84-A4AE-BE6A5308F1FD}" name="Nov _x000a_2018"/>
    <tableColumn id="109" xr3:uid="{4BD52C52-A75A-4D9E-9509-D9B4918AD52B}" name="Dec _x000a_2018"/>
    <tableColumn id="110" xr3:uid="{1CA0AD4C-9CE7-4623-945E-0EBEC006071A}" name="Jan _x000a_2019"/>
    <tableColumn id="111" xr3:uid="{F538BF54-7148-46C0-B6D7-68975B9F8F66}" name="Feb _x000a_2019"/>
    <tableColumn id="112" xr3:uid="{BBEEE85A-6CD0-4534-97CC-14AE6BB6A909}" name="Mar _x000a_2019"/>
    <tableColumn id="113" xr3:uid="{2F61C02C-3CCA-4483-B367-74FD0AB97D37}" name="Apr _x000a_2019"/>
    <tableColumn id="114" xr3:uid="{5D47DD1F-AEFF-4304-9840-24C8F393628D}" name="May _x000a_2019"/>
    <tableColumn id="115" xr3:uid="{404385ED-A17A-413F-970A-7D4F914E37F3}" name="Jun _x000a_2019"/>
    <tableColumn id="116" xr3:uid="{C31F216D-AF9E-4758-95E7-13EC875B2BA0}" name="Jul _x000a_2019"/>
    <tableColumn id="117" xr3:uid="{C4509939-C9D7-4F0E-867E-87436441EE66}" name="Aug _x000a_2019"/>
    <tableColumn id="118" xr3:uid="{B7845D20-DD74-461C-A14A-460AC6703A9A}" name="Sep _x000a_2019"/>
    <tableColumn id="119" xr3:uid="{A4CDE3CF-7D2E-457B-B6C6-CF1AA7BC484D}" name="Oct _x000a_2019"/>
    <tableColumn id="120" xr3:uid="{D5C36773-67C6-4C79-A48D-3E3DECB16800}" name="Nov _x000a_2019"/>
    <tableColumn id="121" xr3:uid="{49D2482A-7A6C-45EE-9E77-F3FAAFAED615}" name="Dec _x000a_2019"/>
    <tableColumn id="122" xr3:uid="{8E4C4CD1-1454-4506-876B-854B60F14B68}" name="Jan _x000a_2020"/>
    <tableColumn id="123" xr3:uid="{6FC074E4-E32F-4071-9788-96AEFB94C0DC}" name="Feb _x000a_2020"/>
    <tableColumn id="124" xr3:uid="{6711359A-5BA1-49FA-A9CE-F903D9925696}" name="Mar _x000a_2020"/>
    <tableColumn id="125" xr3:uid="{5C3F76B1-9C63-4237-8DE1-AC7A174648FE}" name="Apr _x000a_2020"/>
    <tableColumn id="126" xr3:uid="{F2C6652A-98A2-4A7C-86D4-0B916A9ABE69}" name="May _x000a_2020"/>
    <tableColumn id="127" xr3:uid="{7B6F78E9-22B0-471C-A1DF-E9AC6443D08A}" name="Jun _x000a_2020"/>
    <tableColumn id="128" xr3:uid="{B51C37E8-DC3F-446D-8315-07B0BB0D84A6}" name="Jul _x000a_2020"/>
    <tableColumn id="129" xr3:uid="{1A135556-CAE5-4666-9A05-B7313F00F24A}" name="Aug _x000a_2020"/>
    <tableColumn id="130" xr3:uid="{EE01819F-0C41-40B2-83B3-D1766C0836F6}" name="Sep  _x000a_2020"/>
    <tableColumn id="131" xr3:uid="{6887766E-1A52-45F1-B539-2949F118B69E}" name="Oct _x000a_2020"/>
    <tableColumn id="132" xr3:uid="{5DC2ABAB-D592-4426-883D-11BF3CFC926A}" name="Nov _x000a_2020"/>
    <tableColumn id="133" xr3:uid="{25F6742F-3342-4C8B-972D-638EF731763A}" name="Dec _x000a_2020"/>
    <tableColumn id="134" xr3:uid="{10EC2CE1-D3FF-47C2-B795-86FC1F3E48B4}" name="Jan _x000a_2021"/>
    <tableColumn id="135" xr3:uid="{7D79D6BB-D526-4230-974E-84BF6232E282}" name="Feb _x000a_2021"/>
    <tableColumn id="136" xr3:uid="{203F8665-C7B9-432B-A34E-B92639C05B97}" name="Mar _x000a_2021"/>
    <tableColumn id="137" xr3:uid="{56070297-ADEC-4649-AA94-1D57B495B132}" name="Apr _x000a_2021"/>
    <tableColumn id="138" xr3:uid="{C1D71293-213A-46D5-B5DB-C4718689C46B}" name="May _x000a_2021"/>
    <tableColumn id="139" xr3:uid="{8F97593C-2891-427B-9103-23B62501337F}" name="Jun _x000a_2021"/>
    <tableColumn id="140" xr3:uid="{2183E87E-743B-471C-8E4D-C73BC7FD46B6}" name="Jul _x000a_2021"/>
    <tableColumn id="141" xr3:uid="{2974B351-36CC-4BFE-8217-BBCA8B70BED6}" name="Aug _x000a_2021"/>
    <tableColumn id="142" xr3:uid="{88E1932D-1BC7-49C1-A6F8-2134DA36CB7D}" name="Sep_x000a_2021"/>
    <tableColumn id="143" xr3:uid="{D34E552D-6D5C-402F-9DD2-42E4E57469AD}" name="Oct_x000a_2021"/>
    <tableColumn id="144" xr3:uid="{56385F39-9986-4EDD-BD4E-3556B539C7C2}" name="Nov_x000a_2021"/>
    <tableColumn id="145" xr3:uid="{E6E16F8E-4B21-4AC2-9244-64429747A2B2}" name="Dec_x000a_2021" dataDxfId="485" dataCellStyle="Comma"/>
    <tableColumn id="146" xr3:uid="{ADE75FC5-4AD2-455C-A460-0C53FE700D78}" name="Jan_x000a_2022" dataDxfId="484" dataCellStyle="Comma"/>
    <tableColumn id="147" xr3:uid="{5B57F405-C3DC-444D-9888-DA14ED6893A6}" name="Feb_x000a_2022"/>
    <tableColumn id="148" xr3:uid="{6C0A0EF3-68A6-4D3D-A94A-5EB2AC52EAEB}" name="Mar_x000a_2022"/>
    <tableColumn id="149" xr3:uid="{D0609DE4-90B0-4505-AEBE-223D1E5C9C7A}" name="Apr_x000a_2022" dataDxfId="483" dataCellStyle="Comma"/>
    <tableColumn id="150" xr3:uid="{6F4D7803-0531-4354-AA08-8C52489DC6EF}" name="May_x000a_2022" dataDxfId="482" dataCellStyle="Comma"/>
    <tableColumn id="151" xr3:uid="{5F410E7C-C558-49C2-964A-46F89072ABEE}" name="Jun_x000a_2022" dataDxfId="481" dataCellStyle="Comma"/>
    <tableColumn id="152" xr3:uid="{46D7857A-58B8-46AE-8AE0-E405B0E9605E}" name="Jul_x000a_2022" dataDxfId="480" dataCellStyle="Comma"/>
    <tableColumn id="153" xr3:uid="{93223246-BB3E-4D72-8D2A-0696DBA5A0DC}" name="Aug_x000a_2022" dataDxfId="479" dataCellStyle="Comma"/>
    <tableColumn id="154" xr3:uid="{A1E3CC1D-CAEB-41E7-AFF0-24B743D1ECBA}" name="Sep_x000a_2022" dataDxfId="478" dataCellStyle="Comma"/>
    <tableColumn id="155" xr3:uid="{D58879B3-058A-4DC7-876E-889BD1F9D967}" name="Oct_x000a_2022" dataDxfId="477" dataCellStyle="Comma"/>
    <tableColumn id="156" xr3:uid="{319DBCA2-1289-410C-A0CF-804BAC3D38FC}" name="Nov_x000a_2022" dataDxfId="476" dataCellStyle="Comma"/>
    <tableColumn id="157" xr3:uid="{B5F27FCE-ED7C-4E67-A40F-FA7354431E61}" name="Dec_x000a_2022" dataDxfId="475" dataCellStyle="Comma"/>
    <tableColumn id="158" xr3:uid="{6A2773B5-0636-4498-9040-275C16E2E022}" name="Jan_x000a_2023" dataDxfId="474" dataCellStyle="Comma"/>
    <tableColumn id="159" xr3:uid="{6FAFA890-1BFF-41AB-AF0E-F0DFD8C96C4E}" name="Feb_x000a_2023" dataDxfId="473" dataCellStyle="Comma"/>
    <tableColumn id="160" xr3:uid="{4A562FC0-8EB7-4985-AD87-F0C28CE1A8BC}" name="Mar_x000a_2023" dataDxfId="472" dataCellStyle="Comma"/>
    <tableColumn id="161" xr3:uid="{BA219798-037C-4C48-9014-3465E9BF8295}" name="Apr_x000a_2023" dataDxfId="471" dataCellStyle="Comma"/>
    <tableColumn id="162" xr3:uid="{1713DD3F-4A7F-4E32-A6BD-3ABA5E2671CA}" name="May_x000a_2023" dataDxfId="470" dataCellStyle="Comma"/>
    <tableColumn id="163" xr3:uid="{2F0DEDC3-AC08-40BB-A532-88CFCC49F822}" name="Jun_x000a_2023" dataDxfId="469" dataCellStyle="Comma"/>
    <tableColumn id="164" xr3:uid="{D267B173-D5E9-4CE9-B352-6151B7C1AD0A}" name="Jul_x000a_2023" dataDxfId="468" dataCellStyle="Comma"/>
    <tableColumn id="165" xr3:uid="{1E5EB9FD-B754-4E17-A729-B0F72B56E21D}" name="Aug_x000a_2023" dataDxfId="467" dataCellStyle="Comma"/>
    <tableColumn id="166" xr3:uid="{70D86ADF-E0D4-4C92-929D-82C3DE91E943}" name="Sep_x000a_2023" dataDxfId="466" dataCellStyle="Comma"/>
    <tableColumn id="168" xr3:uid="{D2DE4F4C-7A0C-4569-8FBE-F01B84889F63}" name="Oct_x000a_2023" dataDxfId="465" dataCellStyle="Comma"/>
    <tableColumn id="167" xr3:uid="{740FE768-1725-4770-AAB1-DC3C5D434509}" name="Nov_x000a_2023" dataDxfId="464" dataCellStyle="Comma"/>
    <tableColumn id="169" xr3:uid="{A9F0EF9A-1306-44A9-986C-44E9F5ACAD9E}" name="Dec_x000a_2023" dataDxfId="463" dataCellStyle="Comma"/>
    <tableColumn id="170" xr3:uid="{3807ECF0-F40E-470F-B856-D13E7561F521}" name="Jan_x000a_2024" dataDxfId="462" dataCellStyle="Comma"/>
    <tableColumn id="171" xr3:uid="{3135769C-8A16-4F22-A37D-64205B2D242A}" name="Feb_x000a_2024" dataDxfId="461" dataCellStyle="Comma"/>
    <tableColumn id="172" xr3:uid="{9A0E4930-02CA-4A0C-BBA5-673C9477131B}" name="Mar_x000a_2024" dataDxfId="460" dataCellStyle="Comma"/>
    <tableColumn id="173" xr3:uid="{0184DE2A-A5BF-40FE-9085-40E054DC1785}" name="Apr_x000a_2024" dataDxfId="459" dataCellStyle="Comma"/>
    <tableColumn id="174" xr3:uid="{4F784483-95AA-4D15-B464-5CA718FFD5DF}" name="May_x000a_2024" dataDxfId="458" dataCellStyle="Comma"/>
    <tableColumn id="175" xr3:uid="{6DBD3E4F-8D63-4798-B3CE-81E269DB3635}" name="Jun_x000a_2024" dataDxfId="457" dataCellStyle="Comma"/>
    <tableColumn id="176" xr3:uid="{857B3F10-8E3B-426B-9799-291156876446}" name="Jul_x000a_2024" dataDxfId="456" dataCellStyle="Comma"/>
    <tableColumn id="177" xr3:uid="{A1240AF3-E74A-40E5-8F60-C7BAA8D60288}" name="Aug_x000a_2024" dataDxfId="455" dataCellStyle="Comma"/>
    <tableColumn id="178" xr3:uid="{3F111998-699D-406F-8DAF-8D8E9F3BF409}" name="Sep_x000a_2024" dataDxfId="454" dataCellStyle="Comma"/>
    <tableColumn id="179" xr3:uid="{6637682E-71FA-428C-80CF-FC9C4D718A38}" name="Oct_x000a_2024" dataDxfId="453" dataCellStyle="Comma"/>
    <tableColumn id="180" xr3:uid="{CFF417B6-22E4-4C67-98C3-952F6BB0379F}" name="Nov_x000a_2024" dataDxfId="452" dataCellStyle="Comma"/>
    <tableColumn id="181" xr3:uid="{F1F57812-3E19-42BA-939F-A8A1E6C330CD}" name="Dec_x000a_2024" dataDxfId="451" dataCellStyle="Comma"/>
    <tableColumn id="182" xr3:uid="{D8BCAD42-ADDB-44A8-90C8-5AB1805DCDE9}" name="Jan_x000a_2025" dataDxfId="450" dataCellStyle="Comma"/>
    <tableColumn id="183" xr3:uid="{58D383E8-5C2C-4557-9080-BBAFB018847C}" name="Feb_x000a_2025" dataDxfId="449" dataCellStyle="Comma"/>
    <tableColumn id="184" xr3:uid="{73289695-A4DE-4908-9E6E-1D08206450BC}" name="Mar_x000a_2025" dataDxfId="448" dataCellStyle="Comma"/>
    <tableColumn id="185" xr3:uid="{35F5282B-8594-4B7F-AEDB-5D78D0408A72}" name="Apr_x000a_2025" dataDxfId="447" dataCellStyle="Comma"/>
    <tableColumn id="186" xr3:uid="{222F7C7B-A4A0-47C5-BD85-F2BF09623B71}" name="May_x000a_2025" dataDxfId="446" dataCellStyle="Comma"/>
    <tableColumn id="187" xr3:uid="{7E3B1827-C672-4F44-876E-F8DE4238C38E}" name="Jun_x000a_2025" dataDxfId="445" dataCellStyle="Comma"/>
    <tableColumn id="188" xr3:uid="{87B6CD0B-5E4C-4450-BD16-B50C1FB474D9}" name="Jul_x000a_2025" dataDxfId="444" dataCellStyle="Comma"/>
    <tableColumn id="189" xr3:uid="{D6F69964-9C24-4B63-9313-42B944B82072}" name="Aug_x000a_2025" dataDxfId="443" dataCellStyle="Comma"/>
    <tableColumn id="190" xr3:uid="{95B42D1D-2AF3-4BE5-9728-9F3C50B2EE88}" name="Sep_x000a_2025" dataDxfId="442" dataCellStyle="Comma"/>
    <tableColumn id="191" xr3:uid="{5868D7FF-0523-47E7-9F59-CEDFA1CFFFD7}" name="Oct_x000a_2025" dataDxfId="441" dataCellStyle="Comma"/>
    <tableColumn id="192" xr3:uid="{6A03571C-BAC0-4780-923A-4612BA2742A7}" name="Nov_x000a_2025" dataDxfId="440" dataCellStyle="Comma"/>
    <tableColumn id="193" xr3:uid="{370366FE-3DA3-4C67-89C7-0BC2059868AD}" name="Dec_x000a_2025" dataDxfId="439" dataCellStyle="Comma"/>
    <tableColumn id="194" xr3:uid="{62649262-EEAD-4DAB-8060-8FFBC32227F2}" name="Jan_x000a_2026" dataDxfId="438" dataCellStyle="Comma"/>
    <tableColumn id="195" xr3:uid="{413B915A-6266-4C2F-B9D5-A2D757C063C9}" name="Feb_x000a_2026" dataDxfId="437" dataCellStyle="Comma"/>
    <tableColumn id="196" xr3:uid="{81B95061-FEAF-4DF0-A712-B054C5C2661B}" name="Mar_x000a_2026" dataDxfId="436" dataCellStyle="Comma"/>
    <tableColumn id="197" xr3:uid="{76590DE3-9F64-42C9-835B-241DC700126A}" name="Apr_x000a_2026" dataDxfId="435" dataCellStyle="Comma"/>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5F195B3-DF6D-43C0-BE0F-7EE5AB54120C}" name="Cumulative_count_by_tariff9" displayName="Cumulative_count_by_tariff9" ref="A33:GO58" totalsRowShown="0">
  <tableColumns count="197">
    <tableColumn id="1" xr3:uid="{AA91E0B7-D44F-481E-B368-F656E82B2DB4}" name="CUMULATIVE COUNT"/>
    <tableColumn id="2" xr3:uid="{9A670112-D161-46E7-BEFC-717C79E255BB}" name="Jan _x000a_2010"/>
    <tableColumn id="3" xr3:uid="{F2725E83-B35F-4701-A0DE-FD6D63C5EBDD}" name="Feb _x000a_2010"/>
    <tableColumn id="4" xr3:uid="{11A27427-E507-44BD-9FBC-6242B4AE4777}" name="Mar _x000a_2010"/>
    <tableColumn id="5" xr3:uid="{128F4E00-3C96-4B32-AF98-A95707343B00}" name="Apr _x000a_2010"/>
    <tableColumn id="6" xr3:uid="{16CEEC4C-C290-48AB-B122-4C2998C61340}" name="May _x000a_2010"/>
    <tableColumn id="7" xr3:uid="{5B343DFA-27E5-42A4-90A8-C9F92FEDCF11}" name="Jun _x000a_2010"/>
    <tableColumn id="8" xr3:uid="{E11044E1-6F2F-4858-971D-7E767C036F21}" name="Jul _x000a_2010"/>
    <tableColumn id="9" xr3:uid="{F7501D45-672F-4D99-A234-CDD2313193A9}" name="Aug _x000a_2010"/>
    <tableColumn id="10" xr3:uid="{AA6323C0-9698-40E9-9706-FD9F3CA36FDC}" name="Sep _x000a_2010"/>
    <tableColumn id="11" xr3:uid="{EF7210DB-A3B8-4743-B006-1F788C03CB46}" name="Oct _x000a_2010"/>
    <tableColumn id="12" xr3:uid="{59557772-BB9A-47C0-823F-4AB762CDD530}" name="Nov _x000a_2010"/>
    <tableColumn id="13" xr3:uid="{113662A6-5427-49F1-B471-45EED174255D}" name="Dec _x000a_2010"/>
    <tableColumn id="14" xr3:uid="{AF4A29AA-7D5E-4D40-B093-3609D2188731}" name="Jan _x000a_2011"/>
    <tableColumn id="15" xr3:uid="{B5C87D40-0C1D-4C6C-BFF3-5050047BEF91}" name="Feb _x000a_2011"/>
    <tableColumn id="16" xr3:uid="{9AA4C33F-C2BD-4F4B-842C-3FEDB4EF709F}" name="Mar _x000a_2011"/>
    <tableColumn id="17" xr3:uid="{A6E11AEB-8A53-4225-94B4-921DE9B60099}" name="Apr _x000a_2011"/>
    <tableColumn id="18" xr3:uid="{25EA145E-48F9-4EDB-94E3-B0A12C115287}" name="May _x000a_2011"/>
    <tableColumn id="19" xr3:uid="{403B7989-AF67-4259-8DAE-86A674D5B4CC}" name="Jun _x000a_2011"/>
    <tableColumn id="20" xr3:uid="{FDC94E7B-975E-47FA-BC2B-17C05262227F}" name="Jul _x000a_2011"/>
    <tableColumn id="21" xr3:uid="{5F2B1F97-B230-42B1-AFD0-CF7981B93B55}" name="Aug _x000a_2011"/>
    <tableColumn id="22" xr3:uid="{745B21F3-FA54-408C-BAB5-2FC2C1F7F914}" name="Sep _x000a_2011"/>
    <tableColumn id="23" xr3:uid="{20FA7EFB-3F99-4CB0-B5C8-153F14137651}" name="Oct _x000a_2011"/>
    <tableColumn id="24" xr3:uid="{5623EBED-54BF-413E-B1B3-A163D2E0A12D}" name="Nov _x000a_2011"/>
    <tableColumn id="25" xr3:uid="{6394391F-4E3E-4CEB-836E-D68312DAC7D7}" name="Dec _x000a_2011"/>
    <tableColumn id="26" xr3:uid="{1FAAA54F-8279-450D-BE7D-ADC9DFED0B75}" name="Jan _x000a_2012"/>
    <tableColumn id="27" xr3:uid="{CEC7930B-99E8-4A9F-B591-E0B6710CDC8A}" name="Feb _x000a_2012"/>
    <tableColumn id="28" xr3:uid="{14CD70D2-C9D3-4A14-8A57-6EE5B3FC59F1}" name="Mar _x000a_2012"/>
    <tableColumn id="29" xr3:uid="{5224108C-A31C-446D-BC38-96FF70CA60B7}" name="Apr _x000a_2012"/>
    <tableColumn id="30" xr3:uid="{F8DCB7C6-437C-40DA-AA26-4EB998DE06D8}" name="May _x000a_2012"/>
    <tableColumn id="31" xr3:uid="{9F0445DF-5375-49BB-BFC5-F2A6EE1A2A3B}" name="Jun _x000a_2012"/>
    <tableColumn id="32" xr3:uid="{1D251B5B-0C3E-41BB-ABA2-3676424E6F90}" name="Jul _x000a_2012"/>
    <tableColumn id="33" xr3:uid="{465A45F7-D83D-422C-B523-94F34C6C9330}" name="Aug _x000a_2012"/>
    <tableColumn id="34" xr3:uid="{79A76369-131F-4FFD-8322-517A7AB92125}" name="Sep _x000a_2012"/>
    <tableColumn id="35" xr3:uid="{958E39B9-8F03-4459-9D9B-B2C00B151CCB}" name="Oct _x000a_2012"/>
    <tableColumn id="36" xr3:uid="{39BD5569-19F4-4CC1-85FB-56C9B65EE4E3}" name="Nov _x000a_2012"/>
    <tableColumn id="37" xr3:uid="{E7212242-D161-436D-81CC-B241A85D4065}" name="Dec _x000a_2012"/>
    <tableColumn id="38" xr3:uid="{7DC87D9B-2A74-4FB4-9643-94E95A4DEFDD}" name="Jan _x000a_2013"/>
    <tableColumn id="39" xr3:uid="{AEFCFD2E-9717-43B4-88A1-65A312176058}" name="Feb _x000a_2013"/>
    <tableColumn id="40" xr3:uid="{696E92CD-6351-4DD5-BDBE-57EE91E524EB}" name="Mar _x000a_2013"/>
    <tableColumn id="41" xr3:uid="{4CB9895E-34DE-4D02-A681-65D29E616582}" name="Apr _x000a_2013"/>
    <tableColumn id="42" xr3:uid="{833C23E9-A4A0-4EBD-A379-6E5FB56AB954}" name="May _x000a_2013"/>
    <tableColumn id="43" xr3:uid="{D8A749DF-03FF-45E9-A240-DF44350E75E6}" name="Jun _x000a_2013"/>
    <tableColumn id="44" xr3:uid="{6637CA34-48F1-4042-85DA-054D680C0B1A}" name="Jul _x000a_2013"/>
    <tableColumn id="45" xr3:uid="{0F706EB9-3153-4949-B7DF-74B7AF2FAF33}" name="Aug _x000a_2013"/>
    <tableColumn id="46" xr3:uid="{64F1A71E-872D-43D1-ABF4-AB33019E92B6}" name="Sep _x000a_2013"/>
    <tableColumn id="47" xr3:uid="{68707541-78AF-4983-8CEB-5C6D1A2666DF}" name="Oct _x000a_2013"/>
    <tableColumn id="48" xr3:uid="{645E8F2F-1019-42B9-8E34-8812C750B13C}" name=" Nov _x000a_2013"/>
    <tableColumn id="49" xr3:uid="{0289F97D-029D-4B0F-8DC7-714DFCB88D02}" name="Dec _x000a_2013"/>
    <tableColumn id="50" xr3:uid="{B834D03F-A89D-4777-B6E4-D1EB2138A3AB}" name="Jan _x000a_2014"/>
    <tableColumn id="51" xr3:uid="{018D38F8-3A3C-4629-92D3-260F481CA6C8}" name="Feb _x000a_2014"/>
    <tableColumn id="52" xr3:uid="{3E7EF163-CAD8-422C-8129-70D32BE02FD3}" name="Mar _x000a_2014"/>
    <tableColumn id="53" xr3:uid="{8203FF33-79DB-4EAD-86E9-8D3B94AF53E1}" name="Apr _x000a_2014"/>
    <tableColumn id="54" xr3:uid="{DCA3DB65-78AD-4947-80B9-3817116DC296}" name="May _x000a_2014"/>
    <tableColumn id="55" xr3:uid="{BFD0A672-68D3-411A-ADC8-078BCD11FB39}" name="Jun _x000a_2014"/>
    <tableColumn id="56" xr3:uid="{587C440D-BC74-4F51-BA96-E08D4BEBD87B}" name="Jul _x000a_2014"/>
    <tableColumn id="57" xr3:uid="{73CF70AB-6397-4A7D-866D-305A569F6DA3}" name="Aug _x000a_2014"/>
    <tableColumn id="58" xr3:uid="{CDF0B1F1-F637-4AB5-A9E7-25672C745F88}" name="Sep _x000a_2014"/>
    <tableColumn id="59" xr3:uid="{60C3361F-2571-4D02-9DA9-993276276A00}" name="Oct _x000a_2014"/>
    <tableColumn id="60" xr3:uid="{61BDE925-EA63-4798-8E11-C18F14441E1E}" name="Nov _x000a_2014"/>
    <tableColumn id="61" xr3:uid="{F148E6D3-2F48-49F3-A7BD-84F714E16E68}" name="Dec _x000a_2014"/>
    <tableColumn id="62" xr3:uid="{F2FF23FA-C560-4913-8332-5570DDE004AF}" name="Jan _x000a_2015"/>
    <tableColumn id="63" xr3:uid="{315AF8B2-E8DF-40FF-8090-42D9B5BFBAD0}" name="Feb _x000a_2015"/>
    <tableColumn id="64" xr3:uid="{6DF5A1EB-6236-4486-8A18-A4CE4E086286}" name="Mar _x000a_2015"/>
    <tableColumn id="65" xr3:uid="{9AC4ADC3-72BC-441C-B3A6-CC3B2E1F300C}" name="Apr _x000a_2015"/>
    <tableColumn id="66" xr3:uid="{515822EC-5853-4F10-A913-2E963A88B1AD}" name="May _x000a_2015"/>
    <tableColumn id="67" xr3:uid="{1410DD95-D907-44CB-BF60-FB6835F758EF}" name="Jun _x000a_2015"/>
    <tableColumn id="68" xr3:uid="{9E9D90C3-7F2D-47AF-B5E6-22C312F90103}" name="Jul _x000a_2015"/>
    <tableColumn id="69" xr3:uid="{689ACCDA-212D-4CD7-8AA3-B2AC9875D607}" name="Aug _x000a_2015"/>
    <tableColumn id="70" xr3:uid="{8E0CDB58-3AA9-4FAA-AF40-442C7888C313}" name="Sep _x000a_2015"/>
    <tableColumn id="71" xr3:uid="{DF2BAE12-0240-4EC9-9EBC-8038ACF3F142}" name="Oct _x000a_2015"/>
    <tableColumn id="72" xr3:uid="{424DE412-1316-48C4-94E5-D48625B71840}" name="Nov _x000a_2015"/>
    <tableColumn id="73" xr3:uid="{658E60E7-4DD3-419F-B14B-6ABF34236C66}" name="Dec _x000a_2015"/>
    <tableColumn id="74" xr3:uid="{8DE6562B-3E5C-46FE-86BD-A46E11C810CF}" name="Jan _x000a_2016"/>
    <tableColumn id="75" xr3:uid="{8C6846B6-A94B-46C4-BCED-1E841B048712}" name="Feb _x000a_2016"/>
    <tableColumn id="76" xr3:uid="{D63EF4F5-93C2-4A6D-AEBD-B09C9E77B039}" name="Mar _x000a_2016"/>
    <tableColumn id="77" xr3:uid="{43E5F524-E559-408A-B123-6ACAE560BD35}" name="Apr _x000a_2016"/>
    <tableColumn id="78" xr3:uid="{4E0DEE4E-6330-4E76-93F7-842C39B77C33}" name="May _x000a_2016"/>
    <tableColumn id="79" xr3:uid="{0F5FA1C8-DD1E-419F-8C91-F0138A17F90F}" name="Jun _x000a_2016"/>
    <tableColumn id="80" xr3:uid="{7006842B-F14F-4570-B67E-C591A5462E96}" name="Jul _x000a_2016"/>
    <tableColumn id="81" xr3:uid="{DE6CD1EE-4C6C-407C-A4D8-376B8E523F41}" name="Aug _x000a_2016"/>
    <tableColumn id="82" xr3:uid="{358B7C9C-24C9-43AC-8F62-6BA2E18B74FF}" name="Sep _x000a_2016"/>
    <tableColumn id="83" xr3:uid="{A2F054A2-C358-44D2-82D7-1E196068B001}" name="Oct _x000a_2016"/>
    <tableColumn id="84" xr3:uid="{FA33B3F6-FCFD-42A8-BC99-4CF76A0B3CF7}" name="Nov _x000a_2016"/>
    <tableColumn id="85" xr3:uid="{C0A8F329-DC2C-4ECA-AF20-0D75B348B8B3}" name="Dec _x000a_2016"/>
    <tableColumn id="86" xr3:uid="{1D7A4614-1A91-4B16-A735-6438CBC86575}" name="Jan _x000a_2017"/>
    <tableColumn id="87" xr3:uid="{38D85217-5E72-49EC-9AA6-03E81B42E6CC}" name="Feb _x000a_2017"/>
    <tableColumn id="88" xr3:uid="{04C2307E-6A01-4800-9934-1288D46A1431}" name="Mar _x000a_2017"/>
    <tableColumn id="89" xr3:uid="{97D6899C-028F-417F-AFAE-77943B556141}" name="Apr _x000a_2017"/>
    <tableColumn id="90" xr3:uid="{E039ACFE-E63D-4EB7-9DDE-4D56DD231352}" name="May _x000a_2017"/>
    <tableColumn id="91" xr3:uid="{CB69B92B-5F80-4410-A75F-5225E673D98D}" name="Jun _x000a_2017"/>
    <tableColumn id="92" xr3:uid="{A2D3D7B1-7940-43B8-B87B-C7456A9F54EA}" name="Jul _x000a_2017"/>
    <tableColumn id="93" xr3:uid="{E07F40AE-BB9F-40ED-83E2-E189D62935AD}" name="Aug _x000a_2017"/>
    <tableColumn id="94" xr3:uid="{371E1F31-B926-4E6C-8EF4-93CE3BCC4804}" name="Sep _x000a_2017"/>
    <tableColumn id="95" xr3:uid="{26C82A5B-6F8A-4BC4-BCFD-E8E35706EB97}" name="Oct _x000a_2017"/>
    <tableColumn id="96" xr3:uid="{0C9C46F4-5DC1-4D79-A4DD-3FD17D8BC9D7}" name="Nov _x000a_2017"/>
    <tableColumn id="97" xr3:uid="{1357084B-1C25-42CD-92BC-E5162EA67F22}" name="Dec _x000a_2017"/>
    <tableColumn id="98" xr3:uid="{57D9D11C-187C-4EDE-B072-ECCE2A7F8D32}" name="Jan _x000a_2018"/>
    <tableColumn id="99" xr3:uid="{01968491-5899-4A80-BEB4-D77611A57BD9}" name="Feb _x000a_2018"/>
    <tableColumn id="100" xr3:uid="{FF169273-4C3E-411F-96B1-14F1B568E060}" name="Mar _x000a_2018"/>
    <tableColumn id="101" xr3:uid="{EF2F60CA-422B-4236-8DB3-C33F8B844D51}" name="Apr _x000a_2018"/>
    <tableColumn id="102" xr3:uid="{F131BA6C-57FA-4028-B23A-1549513EC038}" name="May _x000a_2018"/>
    <tableColumn id="103" xr3:uid="{695AFD8E-8111-40CF-966C-8FEB7ECFA008}" name="Jun _x000a_2018"/>
    <tableColumn id="104" xr3:uid="{0C765EC5-ED47-4405-8CA5-F44511F98778}" name="Jul _x000a_2018"/>
    <tableColumn id="105" xr3:uid="{21FA3B40-0760-4228-AB3F-90E9A20AA40C}" name="Aug _x000a_2018"/>
    <tableColumn id="106" xr3:uid="{8EDE7654-2B04-4EF3-AAF1-D95F83269892}" name="Sep _x000a_2018"/>
    <tableColumn id="107" xr3:uid="{8F5CD3DE-A032-45C1-9ADD-233128727588}" name="Oct _x000a_2018"/>
    <tableColumn id="108" xr3:uid="{E26AD634-D3C0-4E3E-B0B8-49CEDE11C556}" name="Nov _x000a_2018"/>
    <tableColumn id="109" xr3:uid="{28D70891-4AD5-4295-8153-C4147D4CE6E8}" name="Dec _x000a_2018"/>
    <tableColumn id="110" xr3:uid="{EBA4D86D-5429-439D-9892-8672A1C7520E}" name="Jan _x000a_2019"/>
    <tableColumn id="111" xr3:uid="{637DE230-ADF2-4A2D-8BB2-29FC72430A10}" name="Feb _x000a_2019"/>
    <tableColumn id="112" xr3:uid="{A508E899-126D-45B8-BB14-28E3F4AD2276}" name="Mar _x000a_2019"/>
    <tableColumn id="113" xr3:uid="{7F3F82B9-4D81-4DE0-B953-506AD731D2B4}" name="Apr _x000a_2019"/>
    <tableColumn id="114" xr3:uid="{3CA2D1D5-6B2B-43A3-8491-044244F81911}" name="May _x000a_2019"/>
    <tableColumn id="115" xr3:uid="{0857EE80-DEF4-4F1C-9C8A-FB358F6D6BC2}" name="Jun _x000a_2019"/>
    <tableColumn id="116" xr3:uid="{7CE72368-A12C-4356-A10A-CB15C3FACECD}" name="Jul _x000a_2019"/>
    <tableColumn id="117" xr3:uid="{D04875E8-F627-494E-9800-146278660AF6}" name="Aug _x000a_2019"/>
    <tableColumn id="118" xr3:uid="{D8467CFA-1DCE-4D4B-B26E-7B2975B9B473}" name="Sep _x000a_2019"/>
    <tableColumn id="119" xr3:uid="{75E59E43-32DE-4458-8A41-D3B8FD181225}" name="Oct _x000a_2019"/>
    <tableColumn id="120" xr3:uid="{5EE13E08-E3AF-4E95-89DB-EF7B5EEAA673}" name="Nov _x000a_2019"/>
    <tableColumn id="121" xr3:uid="{60254B65-BF2C-491D-AE34-989B57DF9CEC}" name="Dec _x000a_2019"/>
    <tableColumn id="122" xr3:uid="{EEC9199C-A062-418A-A984-CB779ADD3113}" name="Jan _x000a_2020"/>
    <tableColumn id="123" xr3:uid="{729D5691-921C-4708-AEE0-91A4AC1A8911}" name="Feb _x000a_2020"/>
    <tableColumn id="124" xr3:uid="{F01BCD78-D908-41E4-9449-C4967148F19D}" name="Mar _x000a_2020"/>
    <tableColumn id="125" xr3:uid="{39F89ECA-11A7-4605-B158-FDDEA1EF0945}" name="Apr _x000a_2020"/>
    <tableColumn id="126" xr3:uid="{8A2407B8-078D-4615-B8D1-78C3949CC526}" name="May _x000a_2020"/>
    <tableColumn id="127" xr3:uid="{74D6C770-8AA0-49B6-A584-A70AB2605A81}" name="Jun _x000a_2020"/>
    <tableColumn id="128" xr3:uid="{8E03AF17-40A5-4CB0-909A-4D5E18AC0E58}" name="Jul _x000a_2020"/>
    <tableColumn id="129" xr3:uid="{10308A51-86EE-4CD4-B4F6-E7EBCBC7F347}" name="Aug _x000a_2020"/>
    <tableColumn id="130" xr3:uid="{FBA71E30-A811-41C0-B1CD-52C3458C0D53}" name="Sep  _x000a_2020"/>
    <tableColumn id="131" xr3:uid="{FCC5D7CC-F5CD-44F0-8ED8-BA14E2D310B1}" name="Oct _x000a_2020"/>
    <tableColumn id="132" xr3:uid="{5C916100-A59F-4728-B0FD-7A412E547993}" name="Nov _x000a_2020"/>
    <tableColumn id="133" xr3:uid="{4664BE90-4C3E-4DD4-AA8A-80C8EF4CCC85}" name="Dec _x000a_2020"/>
    <tableColumn id="134" xr3:uid="{080C844B-61DA-47D4-A412-EF6498AF23F1}" name="Jan _x000a_2021"/>
    <tableColumn id="135" xr3:uid="{857C6159-45BB-4148-AB46-0B93A760917E}" name="Feb _x000a_2021"/>
    <tableColumn id="136" xr3:uid="{5C89576A-2EE3-4B05-96EB-AF70274D0C4C}" name="Mar _x000a_2021"/>
    <tableColumn id="137" xr3:uid="{66EE2E08-EDF7-4D58-96BE-80E26668C40F}" name="Apr _x000a_2021"/>
    <tableColumn id="138" xr3:uid="{9E0C050C-8F14-4CDB-8A5F-42CF166373E5}" name="May _x000a_2021"/>
    <tableColumn id="139" xr3:uid="{27F63114-B850-46D2-91EC-4650E7E86F35}" name="Jun _x000a_2021"/>
    <tableColumn id="140" xr3:uid="{01DB08CC-EAB4-499F-B264-209649CB82CE}" name="Jul _x000a_2021"/>
    <tableColumn id="141" xr3:uid="{AD03F702-A071-4C92-BFF3-D936164B11F6}" name="Aug _x000a_2021"/>
    <tableColumn id="142" xr3:uid="{72E3C2EA-58A8-4F8D-81DB-BD90367BFD94}" name="Sep _x000a_2021"/>
    <tableColumn id="143" xr3:uid="{4796CBED-0728-4C67-A193-AFA732DA93C3}" name="Oct_x000a_2021"/>
    <tableColumn id="144" xr3:uid="{0CF13171-E58F-498C-88B5-EB15D7F28205}" name="Nov_x000a_2021" dataDxfId="434" dataCellStyle="Comma"/>
    <tableColumn id="145" xr3:uid="{3F207A1F-E9DC-4FAC-8E0A-D3B71353626A}" name="Dec_x000a_2021" dataDxfId="433" dataCellStyle="Comma"/>
    <tableColumn id="146" xr3:uid="{7A437542-05FC-4169-97BC-6E92A37DDE9E}" name="Jan_x000a_2022" dataDxfId="432" dataCellStyle="Comma"/>
    <tableColumn id="147" xr3:uid="{395B5BB3-F3C6-42CB-A9D4-AD32BDFFABCE}" name="Feb_x000a_2022" dataDxfId="431" dataCellStyle="Comma"/>
    <tableColumn id="148" xr3:uid="{3CCE5C8E-F5A1-49D4-8704-8020A460E359}" name="Mar_x000a_2022" dataDxfId="430" dataCellStyle="Comma"/>
    <tableColumn id="149" xr3:uid="{113E01D3-5303-44FE-9917-CC14C6C6E8DB}" name="Apr_x000a_2022" dataDxfId="429" dataCellStyle="Comma"/>
    <tableColumn id="150" xr3:uid="{1C155AF5-8773-4BC3-BDAD-08D45DC45009}" name="May_x000a_2022" dataDxfId="428" dataCellStyle="Comma"/>
    <tableColumn id="151" xr3:uid="{B42B79AB-4F40-4FAA-B84C-4FD7BCEC8DD7}" name="Jun_x000a_2022" dataDxfId="427" dataCellStyle="Comma"/>
    <tableColumn id="152" xr3:uid="{9AAD57F5-B22E-4DCC-BD7D-775C9F77EA6B}" name="Jul_x000a_2022" dataDxfId="426" dataCellStyle="Comma"/>
    <tableColumn id="153" xr3:uid="{69FB9EB8-3521-4A3C-8833-118A7140D9FD}" name="Aug_x000a_2022" dataDxfId="425" dataCellStyle="Comma"/>
    <tableColumn id="154" xr3:uid="{AEEA7E56-CEA4-4CD7-9729-223B6FD2C76B}" name="Sep_x000a_2022" dataDxfId="424" dataCellStyle="Comma"/>
    <tableColumn id="155" xr3:uid="{D33FDF8D-99C9-45E4-880D-64E675B15FAB}" name="Oct_x000a_2022" dataDxfId="423" dataCellStyle="Comma"/>
    <tableColumn id="156" xr3:uid="{C1AA1DD5-EE13-438E-AC9B-0F10EB26D35B}" name="Nov_x000a_2022" dataDxfId="422" dataCellStyle="Comma"/>
    <tableColumn id="157" xr3:uid="{68162351-E00D-403A-A8D1-878A05773537}" name="Dec_x000a_2022" dataDxfId="421" dataCellStyle="Comma"/>
    <tableColumn id="158" xr3:uid="{18E6F071-08C6-4D73-A4F2-F0BBC2399E54}" name="Jan_x000a_2023" dataDxfId="420" dataCellStyle="Comma"/>
    <tableColumn id="159" xr3:uid="{A86F3A86-7393-48ED-BD9A-46160B1933F0}" name="Feb_x000a_2023" dataDxfId="419" dataCellStyle="Comma"/>
    <tableColumn id="160" xr3:uid="{0FD16C92-76AE-4C30-AACD-1A1E0EA41F4F}" name="Mar_x000a_2023" dataDxfId="418" dataCellStyle="Comma"/>
    <tableColumn id="161" xr3:uid="{D296CEA0-7D3E-40C4-80DC-567B12D61D7D}" name="Apr_x000a_2023" dataDxfId="417" dataCellStyle="Comma"/>
    <tableColumn id="162" xr3:uid="{7056A5C9-031F-430C-B94A-1F57B8D6218B}" name="May_x000a_2023" dataDxfId="416" dataCellStyle="Comma"/>
    <tableColumn id="163" xr3:uid="{BB663142-B59C-4455-94EA-A64C3B88CFFC}" name="Jun_x000a_2023" dataDxfId="415" dataCellStyle="Comma"/>
    <tableColumn id="164" xr3:uid="{0BA88198-F78D-427A-9843-DDA6FCA37F36}" name="Jul_x000a_2023" dataDxfId="414" dataCellStyle="Comma"/>
    <tableColumn id="165" xr3:uid="{98AEB7F6-A9C9-4852-A587-A8BECD955155}" name="Aug_x000a_2023" dataDxfId="413" dataCellStyle="Comma"/>
    <tableColumn id="166" xr3:uid="{26E3800B-467A-4C93-8F8D-5A3E2F67D7A3}" name="Sep_x000a_2023" dataDxfId="412" dataCellStyle="Comma"/>
    <tableColumn id="167" xr3:uid="{49EEB9C0-DC2E-4F07-BA9C-E35BC4583489}" name="Oct_x000a_2023" dataDxfId="411" dataCellStyle="Comma"/>
    <tableColumn id="168" xr3:uid="{B0F1C0E2-A7FB-46DA-9211-7AB999B7387A}" name="Nov_x000a_2023" dataDxfId="410" dataCellStyle="Comma"/>
    <tableColumn id="169" xr3:uid="{C50064AC-9A7B-46BA-8D2F-FD76E13B828C}" name="Dec_x000a_2023" dataDxfId="409" dataCellStyle="Comma"/>
    <tableColumn id="170" xr3:uid="{C687E7E6-639A-49F6-8F57-D5F395BA57CB}" name="Jan_x000a_2024" dataDxfId="408" dataCellStyle="Comma"/>
    <tableColumn id="171" xr3:uid="{0B45C2FE-580D-4F99-AC7D-9E5586EF26E1}" name="Feb_x000a_2024" dataDxfId="407" dataCellStyle="Comma"/>
    <tableColumn id="172" xr3:uid="{524C3230-FBD6-43CB-94AE-14801F509A3B}" name="Mar_x000a_2024" dataDxfId="406" dataCellStyle="Comma"/>
    <tableColumn id="173" xr3:uid="{ADD65C3F-430B-446F-BCDC-016EC6E02D2C}" name="Apr_x000a_2024" dataDxfId="405" dataCellStyle="Comma"/>
    <tableColumn id="174" xr3:uid="{CA7E72CD-ADBC-4B46-AEC1-A541055DA876}" name="May_x000a_2024" dataDxfId="404" dataCellStyle="Comma"/>
    <tableColumn id="175" xr3:uid="{FAABD420-A576-43E4-9FAE-FEC90540C62D}" name="Jun_x000a_2024" dataDxfId="403" dataCellStyle="Comma"/>
    <tableColumn id="176" xr3:uid="{B7361A77-4FC0-44D4-A892-C8E8D8E43E8C}" name="Jul_x000a_2024" dataDxfId="402" dataCellStyle="Comma"/>
    <tableColumn id="177" xr3:uid="{C9C43CF2-3725-4019-95AC-A4F272854CC6}" name="Aug_x000a_2024" dataDxfId="401" dataCellStyle="Comma"/>
    <tableColumn id="178" xr3:uid="{440C7E26-C375-49E7-9693-BFFFD8869B30}" name="Sep_x000a_2024" dataDxfId="400" dataCellStyle="Comma"/>
    <tableColumn id="179" xr3:uid="{3859C4D6-C572-4D1A-81BA-984B4765702A}" name="Oct_x000a_2024" dataDxfId="399" dataCellStyle="Comma"/>
    <tableColumn id="180" xr3:uid="{4ACD1BB0-A3C4-41B4-91EA-21D10C88A136}" name="Nov_x000a_2024" dataDxfId="398" dataCellStyle="Comma"/>
    <tableColumn id="181" xr3:uid="{F055A11E-D31C-4669-B6BC-43F42CC088A5}" name="Dec_x000a_2024" dataDxfId="397" dataCellStyle="Comma"/>
    <tableColumn id="182" xr3:uid="{35A141A3-EA78-47B2-B52A-3899D7A0A320}" name="Jan_x000a_2025" dataDxfId="396" dataCellStyle="Comma"/>
    <tableColumn id="183" xr3:uid="{B4597D99-A5E3-4789-928A-CA0306650BD3}" name="Feb_x000a_2025" dataDxfId="395" dataCellStyle="Comma"/>
    <tableColumn id="184" xr3:uid="{96A1C551-C41E-4118-8EA6-C24FBDEF2A5C}" name="Mar_x000a_2025" dataDxfId="394" dataCellStyle="Comma"/>
    <tableColumn id="185" xr3:uid="{3405930E-2A04-4BF7-9AC2-F810F2DAE47A}" name="Apr_x000a_2025" dataDxfId="393" dataCellStyle="Comma"/>
    <tableColumn id="186" xr3:uid="{4CB8C22A-3AB6-45A6-BF4D-72A239850316}" name="May_x000a_2025" dataDxfId="392" dataCellStyle="Comma"/>
    <tableColumn id="187" xr3:uid="{4C9F62B0-9B85-4B1D-8A55-3D54BEFC071E}" name="Jun_x000a_2025" dataDxfId="391" dataCellStyle="Comma"/>
    <tableColumn id="188" xr3:uid="{63B07F27-4C30-4E6D-9A69-AA4424D81744}" name="Jul_x000a_2025" dataDxfId="390" dataCellStyle="Comma"/>
    <tableColumn id="189" xr3:uid="{C2F4EC7A-6005-4725-8B89-905F328A0A74}" name="Aug_x000a_2025" dataDxfId="389" dataCellStyle="Comma"/>
    <tableColumn id="190" xr3:uid="{E62FE123-B8E9-4C38-9A2F-EE9A0A551D5C}" name="Sep_x000a_2025" dataDxfId="388" dataCellStyle="Comma"/>
    <tableColumn id="191" xr3:uid="{9781DE02-4488-4838-B54F-2BF627CA49C9}" name="Oct_x000a_2025" dataDxfId="387" dataCellStyle="Comma"/>
    <tableColumn id="192" xr3:uid="{0D87C602-BE1D-47E3-8EB9-0FCB760B88C6}" name="Nov_x000a_2025" dataDxfId="386" dataCellStyle="Comma"/>
    <tableColumn id="193" xr3:uid="{B9B6275D-CAE0-498C-8161-A75E48CEE115}" name="Dec_x000a_2025" dataDxfId="385" dataCellStyle="Comma"/>
    <tableColumn id="194" xr3:uid="{B85481BB-EAEF-4CEE-AFAF-DCD4F1405769}" name="Jan_x000a_2026" dataDxfId="384" dataCellStyle="Comma"/>
    <tableColumn id="195" xr3:uid="{5ABCEC87-1F26-444F-B925-196DD0746217}" name="Feb_x000a_2026" dataDxfId="383" dataCellStyle="Comma"/>
    <tableColumn id="196" xr3:uid="{A31F5239-C9FD-45DE-B527-4E46B3AA2E02}" name="Mar_x000a_2026" dataDxfId="382" dataCellStyle="Comma"/>
    <tableColumn id="197" xr3:uid="{B2BBDC3A-C3CF-49A5-9266-4C00FD492185}" name="Apr_x000a_2026" dataDxfId="381" dataCellStyle="Comma"/>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7CEED14-57C9-48F3-A23C-2A36FDD170A3}" name="Cumulative_installed_capacity_by_tariff19" displayName="Cumulative_installed_capacity_by_tariff19" ref="A5:GN31" totalsRowShown="0">
  <tableColumns count="196">
    <tableColumn id="1" xr3:uid="{7B3B3637-1E12-47AA-BE6E-EAF173405A80}" name="CUMULATIVE CAPACITY (MW) [note 1]"/>
    <tableColumn id="2" xr3:uid="{97AC5E60-C2A4-409C-BEF8-0F1B31F357A0}" name="Jan _x000a_2010"/>
    <tableColumn id="3" xr3:uid="{00C519B1-9BA8-4507-A414-C8C1CCFD0227}" name="Feb _x000a_2010"/>
    <tableColumn id="4" xr3:uid="{E1A03145-398C-4556-B33A-DD985540CE1F}" name="Mar _x000a_2010"/>
    <tableColumn id="5" xr3:uid="{09D3DBEB-4707-42E7-88F5-70705CBE4C63}" name="Apr _x000a_2010"/>
    <tableColumn id="6" xr3:uid="{DCFC7078-8CFB-46D7-AC32-9C7904731F56}" name="May _x000a_2010"/>
    <tableColumn id="7" xr3:uid="{A4634DC1-B7D7-4794-B235-FCE53A83C30A}" name="Jun _x000a_2010"/>
    <tableColumn id="8" xr3:uid="{0DECB6E9-01E4-44FA-AA91-1BEB66499023}" name="Jul _x000a_2010"/>
    <tableColumn id="9" xr3:uid="{6E8260D1-FC16-4054-8104-55645746B35E}" name="Aug _x000a_2010"/>
    <tableColumn id="10" xr3:uid="{1DAF146B-60DA-4880-8FC0-741E5B4A4E3D}" name="Sep _x000a_2010"/>
    <tableColumn id="11" xr3:uid="{5425C9F5-797C-48C4-963F-149EAEFD90B9}" name="Oct _x000a_2010"/>
    <tableColumn id="12" xr3:uid="{C75AE152-40FF-4103-AD2C-31D6D44B9AD8}" name="Nov _x000a_2010"/>
    <tableColumn id="13" xr3:uid="{F7FB10F3-B184-44DA-B838-863677813845}" name="Dec _x000a_2010"/>
    <tableColumn id="14" xr3:uid="{00C0C0A1-C440-4642-9EBA-08AB0F9E7E8F}" name="Jan _x000a_2011"/>
    <tableColumn id="15" xr3:uid="{58244819-204F-458F-838D-21E38EBDC015}" name="Feb _x000a_2011"/>
    <tableColumn id="16" xr3:uid="{A176E7FB-B6B5-4613-8214-87E9EE3C8199}" name="Mar _x000a_2011"/>
    <tableColumn id="17" xr3:uid="{197C04B8-FDD4-41D3-B96F-0429B970BC67}" name="Apr _x000a_2011"/>
    <tableColumn id="18" xr3:uid="{B79BD557-3D88-4897-9C77-7A667F9845B1}" name="May _x000a_2011"/>
    <tableColumn id="19" xr3:uid="{1AE835B6-4ADD-4CB4-9E05-E690EF2B02CC}" name="Jun _x000a_2011"/>
    <tableColumn id="20" xr3:uid="{2C4D2303-E7AB-486B-8109-F7161DB3E7C9}" name="Jul _x000a_2011"/>
    <tableColumn id="21" xr3:uid="{42DF5167-F93E-4F01-AD7C-9D51ADCA8849}" name="Aug _x000a_2011"/>
    <tableColumn id="22" xr3:uid="{695EF9C5-71C0-493D-8372-41A9D2DD3A95}" name="Sep _x000a_2011"/>
    <tableColumn id="23" xr3:uid="{F166F9B9-C19D-468E-BB24-6996DB5B4E62}" name="Oct _x000a_2011"/>
    <tableColumn id="24" xr3:uid="{794FDC1C-368E-4035-95CA-82B66FAE41D6}" name="Nov _x000a_2011"/>
    <tableColumn id="25" xr3:uid="{10BC66AA-24D2-4053-8CAF-F6B8ECF5FCB6}" name="Dec _x000a_2011"/>
    <tableColumn id="26" xr3:uid="{D7EF36A9-426C-438C-BECA-F4DE0239A646}" name="Jan _x000a_2012"/>
    <tableColumn id="27" xr3:uid="{28642C9A-F00B-45F5-A817-70444015BBD5}" name="Feb _x000a_2012"/>
    <tableColumn id="28" xr3:uid="{1F7FFC00-2752-410E-AEC3-A3560105F2F5}" name="Mar _x000a_2012"/>
    <tableColumn id="29" xr3:uid="{8233C83A-14D2-4A2E-99A4-993A3FDD2018}" name="Apr _x000a_2012"/>
    <tableColumn id="30" xr3:uid="{10023D58-3DB3-477E-97EB-D75A7D571C2B}" name="May _x000a_2012"/>
    <tableColumn id="31" xr3:uid="{69884099-F9C6-4D1C-81A1-3F079403588D}" name="Jun _x000a_2012"/>
    <tableColumn id="32" xr3:uid="{FD633916-EAD9-42B2-813C-711FBDA35EFF}" name="Jul _x000a_2012"/>
    <tableColumn id="33" xr3:uid="{6C172F86-068F-4035-9274-1010FDD47AC6}" name="Aug _x000a_2012"/>
    <tableColumn id="34" xr3:uid="{B9AEA7DA-8F1B-4A1E-8200-DCBB1C444777}" name="Sep _x000a_2012"/>
    <tableColumn id="35" xr3:uid="{AB9DC3F4-4238-4F55-BDA7-D55CAA48268D}" name="Oct _x000a_2012"/>
    <tableColumn id="36" xr3:uid="{AE09BFA2-0923-410A-A2A3-E163AEC88F39}" name="Nov _x000a_2012"/>
    <tableColumn id="37" xr3:uid="{D127A341-ADA6-46AA-BAF8-F2ABBCC6AD58}" name="Dec _x000a_2012"/>
    <tableColumn id="38" xr3:uid="{EC4C2861-3700-42DA-9122-E360399DBFE0}" name="Jan _x000a_2013"/>
    <tableColumn id="39" xr3:uid="{E1741FDC-04D6-439C-810A-C62312EA9943}" name="Feb _x000a_2013"/>
    <tableColumn id="40" xr3:uid="{FCE9B837-AD09-4FB7-8166-4D1D9D120767}" name="Mar _x000a_2013"/>
    <tableColumn id="41" xr3:uid="{EDFDF694-575A-4892-91FC-C7F023AF5512}" name="Apr _x000a_2013"/>
    <tableColumn id="42" xr3:uid="{20F91D9C-E774-43C1-8DD4-55ED40853DA1}" name="May _x000a_2013"/>
    <tableColumn id="43" xr3:uid="{8B6D050A-3D42-41BF-A944-7FD34701FA7D}" name="Jun _x000a_2013"/>
    <tableColumn id="44" xr3:uid="{28F6D9E0-792A-4D75-9C16-2F4957CA4E93}" name="Jul _x000a_2013"/>
    <tableColumn id="45" xr3:uid="{A4196EA1-027F-4B9B-A4EC-07DF6D160F74}" name="Aug _x000a_2013"/>
    <tableColumn id="46" xr3:uid="{0C08D938-0835-44E1-967A-33DC73ED45E5}" name="Sep _x000a_2013"/>
    <tableColumn id="47" xr3:uid="{4CBBBA1E-1892-40C0-8932-E5AE4D65BDED}" name="Oct _x000a_2013"/>
    <tableColumn id="48" xr3:uid="{69F398BB-9187-4838-BB2F-706A9151775A}" name=" Nov _x000a_2013"/>
    <tableColumn id="49" xr3:uid="{27CB7062-9AC7-4A9A-B3FF-DDE8C98E2415}" name="Dec _x000a_2013"/>
    <tableColumn id="50" xr3:uid="{269D10D9-2591-4B77-9849-2735187B0E47}" name="Jan _x000a_2014"/>
    <tableColumn id="51" xr3:uid="{BA2BE8E6-2161-47BD-A6BC-62D6FFC94071}" name="Feb _x000a_2014"/>
    <tableColumn id="52" xr3:uid="{9891BCB2-7396-4B59-B426-837CB6E31613}" name="Mar _x000a_2014"/>
    <tableColumn id="53" xr3:uid="{333578B9-000E-4CF7-B048-9C037B4B5368}" name="Apr _x000a_2014"/>
    <tableColumn id="54" xr3:uid="{1D582387-7B41-4A0D-B894-4874635A996F}" name="May _x000a_2014"/>
    <tableColumn id="55" xr3:uid="{012D1189-E1F4-491A-AD16-7FDE01407743}" name="Jun _x000a_2014"/>
    <tableColumn id="56" xr3:uid="{68589C8B-81AE-43EB-BF93-3E77BD237E68}" name="Jul _x000a_2014"/>
    <tableColumn id="57" xr3:uid="{4FB89986-83BB-42DA-8F77-89E31265EC1B}" name="Aug _x000a_2014"/>
    <tableColumn id="58" xr3:uid="{9DDAA4B4-31CB-4B85-A176-F413B667D47A}" name="Sep _x000a_2014"/>
    <tableColumn id="59" xr3:uid="{C3CC942E-A1E0-4CE3-B4AE-56A0BDA9BA5B}" name="Oct _x000a_2014"/>
    <tableColumn id="60" xr3:uid="{EAD5A649-CA88-456C-9671-A2B8B13C9D37}" name="Nov _x000a_2014"/>
    <tableColumn id="61" xr3:uid="{3325A8BC-C6CD-4197-B12E-759CF6665858}" name="Dec _x000a_2014"/>
    <tableColumn id="62" xr3:uid="{675CDE1C-3C76-41F8-895C-C8F6B5B5DDBA}" name="Jan _x000a_2015"/>
    <tableColumn id="63" xr3:uid="{21054D95-2D45-49F9-A0C2-E95B71580DC6}" name="Feb _x000a_2015"/>
    <tableColumn id="64" xr3:uid="{296F01D7-7F1A-40D3-821E-AA1FF37AFCB9}" name="Mar _x000a_2015"/>
    <tableColumn id="65" xr3:uid="{12C115EB-1BA0-4933-A276-43A72D404318}" name="Apr _x000a_2015"/>
    <tableColumn id="66" xr3:uid="{946FB5E7-83F9-4161-A144-520F07C1743D}" name="May _x000a_2015"/>
    <tableColumn id="67" xr3:uid="{F3F7FCF9-D59F-4F7C-BC08-DBB86F3F2F1C}" name="Jun _x000a_2015"/>
    <tableColumn id="68" xr3:uid="{4984B84F-1997-43FD-B3ED-C28FDEC4B196}" name="Jul _x000a_2015"/>
    <tableColumn id="69" xr3:uid="{74C658B7-DDEE-40C1-879D-9D5DA544204B}" name="Aug _x000a_2015"/>
    <tableColumn id="70" xr3:uid="{2C617B15-5461-4C43-AB7A-EE77024BEC7D}" name="Sep _x000a_2015"/>
    <tableColumn id="71" xr3:uid="{35485A99-33BB-44BF-AAB7-1A8246B116D5}" name="Oct _x000a_2015"/>
    <tableColumn id="72" xr3:uid="{01050444-F5A0-4777-918D-BC3AA64A9381}" name="Nov _x000a_2015"/>
    <tableColumn id="73" xr3:uid="{12F6DFCA-BC8C-41B9-8036-87372DE2A598}" name="Dec _x000a_2015"/>
    <tableColumn id="74" xr3:uid="{562FC852-AA9F-4DB6-B1F6-77CBDFF94B5F}" name="Jan _x000a_2016"/>
    <tableColumn id="75" xr3:uid="{D5CEFBD9-C200-480B-9A4A-1063EB0047F4}" name="Feb _x000a_2016"/>
    <tableColumn id="76" xr3:uid="{5271B6DE-C083-47EB-83CC-B8D3D1F46A02}" name="Mar _x000a_2016"/>
    <tableColumn id="77" xr3:uid="{2F013682-23EC-4FFF-8981-2F3684425E51}" name="Apr _x000a_2016"/>
    <tableColumn id="78" xr3:uid="{BECD2F31-7369-47A8-AFFF-9956738BD499}" name="May _x000a_2016"/>
    <tableColumn id="79" xr3:uid="{F13DB692-83A0-42EE-A142-2033588C5BF1}" name="Jun _x000a_2016"/>
    <tableColumn id="80" xr3:uid="{09169D25-017F-48D6-B162-F9D7D8EBE3FE}" name="Jul _x000a_2016"/>
    <tableColumn id="81" xr3:uid="{54C850B0-379F-4A7D-9562-068557695E9E}" name="Aug _x000a_2016"/>
    <tableColumn id="82" xr3:uid="{779B59EC-CE5D-4A3B-B462-D73652E2AE0B}" name="Sep _x000a_2016"/>
    <tableColumn id="83" xr3:uid="{76C9568E-403A-4ED3-8669-A09B881F4D8D}" name="Oct _x000a_2016"/>
    <tableColumn id="84" xr3:uid="{0BC36DFD-39FC-4142-9405-D0F34B393FD1}" name="Nov _x000a_2016"/>
    <tableColumn id="85" xr3:uid="{2DAF5B17-03A9-4862-9C43-3DBD66DBD2CA}" name="Dec _x000a_2016"/>
    <tableColumn id="86" xr3:uid="{6F3C7448-6C5E-45ED-9B03-96C61F3FDC3A}" name="Jan _x000a_2017"/>
    <tableColumn id="87" xr3:uid="{3C7D65CE-FAB8-4D01-A96F-3D008D7D004A}" name="Feb _x000a_2017"/>
    <tableColumn id="88" xr3:uid="{7DEBBD3C-D6D8-45FA-89A0-A0BD7F3D7E06}" name="Mar _x000a_2017"/>
    <tableColumn id="89" xr3:uid="{B63FFF11-28BB-41C3-8A40-05C41ECE6783}" name="Apr _x000a_2017"/>
    <tableColumn id="90" xr3:uid="{3375F708-F34A-4AF5-A749-1F0624570477}" name="May _x000a_2017"/>
    <tableColumn id="91" xr3:uid="{D14E8F87-8296-4296-BAE6-1F709EB361A1}" name="Jun _x000a_2017"/>
    <tableColumn id="92" xr3:uid="{95D3CFBF-84CB-4AB2-8DA0-F24CEA7A4B36}" name="Jul _x000a_2017"/>
    <tableColumn id="93" xr3:uid="{9836FCF4-E42C-4D06-9C7B-547FE545C56C}" name="Aug _x000a_2017"/>
    <tableColumn id="94" xr3:uid="{E99819E4-17D0-44C1-B9C6-B47C72E0C054}" name="Sep _x000a_2017"/>
    <tableColumn id="95" xr3:uid="{BBBE4580-C727-42C9-A760-AC36B3CE8FF5}" name="Oct _x000a_2017"/>
    <tableColumn id="96" xr3:uid="{667E939D-78E5-43E9-8B25-1C26B718D55B}" name="Nov _x000a_2017"/>
    <tableColumn id="97" xr3:uid="{7A26FCFC-818A-4705-8CAC-37E14A778166}" name="Dec _x000a_2017"/>
    <tableColumn id="98" xr3:uid="{B3B1BC4C-E297-41EC-81FF-2A5E16917529}" name="Jan _x000a_2018"/>
    <tableColumn id="99" xr3:uid="{A3DF2A45-3CF0-479E-B091-9296EC0490E0}" name="Feb _x000a_2018"/>
    <tableColumn id="100" xr3:uid="{673820AE-7AFE-404E-B9A7-D8CFD6E6F7BD}" name="Mar _x000a_2018"/>
    <tableColumn id="101" xr3:uid="{E8AB8E0F-10EC-4925-8423-C91E50282D11}" name="Apr _x000a_2018"/>
    <tableColumn id="102" xr3:uid="{DF71DA17-84A2-4DC0-973F-7ABB2242DFDE}" name="May _x000a_2018"/>
    <tableColumn id="103" xr3:uid="{345F1B12-F447-42BA-B2DD-16F141ED65D1}" name="Jun _x000a_2018"/>
    <tableColumn id="104" xr3:uid="{3F042F4D-E4B6-433A-A441-0504DB6C5EFD}" name="Jul _x000a_2018"/>
    <tableColumn id="105" xr3:uid="{64C091A5-F5CD-4090-A6E5-881FFF934707}" name="Aug _x000a_2018"/>
    <tableColumn id="106" xr3:uid="{AF626D37-EF36-48E7-B479-7E5D5251D713}" name="Sep _x000a_2018"/>
    <tableColumn id="107" xr3:uid="{6A2A3B35-CB46-48B7-A431-E64147B1C6C5}" name="Oct _x000a_2018"/>
    <tableColumn id="108" xr3:uid="{03DE3192-B4F7-481D-8E8B-FB5D4B5AAE05}" name="Nov _x000a_2018"/>
    <tableColumn id="109" xr3:uid="{8D0435E6-B862-49B0-A698-4F24C371FA71}" name="Dec _x000a_2018"/>
    <tableColumn id="110" xr3:uid="{80BD2ACD-38CF-4E91-9EEC-4B22F6A3E105}" name="Jan _x000a_2019"/>
    <tableColumn id="111" xr3:uid="{9989E001-504B-4F05-BBD6-0C50C91D9A6F}" name="Feb _x000a_2019"/>
    <tableColumn id="112" xr3:uid="{791F77A2-300F-4C3E-9B75-59E84598B4C8}" name="Mar _x000a_2019"/>
    <tableColumn id="113" xr3:uid="{6760A4DF-BD08-4211-BF4E-118F6AC81AAA}" name="Apr _x000a_2019"/>
    <tableColumn id="114" xr3:uid="{3E804126-352B-4F85-A444-9CC51A113457}" name="May _x000a_2019"/>
    <tableColumn id="115" xr3:uid="{87283C20-9184-41FB-AD69-C1DA223F103E}" name="Jun _x000a_2019"/>
    <tableColumn id="116" xr3:uid="{F93DAA23-DBA3-47AA-8908-2E1846846518}" name="Jul _x000a_2019"/>
    <tableColumn id="117" xr3:uid="{7BB1C7B8-9240-4CD1-85FD-287CCF248CB6}" name="Aug _x000a_2019"/>
    <tableColumn id="118" xr3:uid="{CC30421C-DFEC-46D2-B2A7-AAA3EB4554A9}" name="Sep _x000a_2019"/>
    <tableColumn id="119" xr3:uid="{7241AB04-D3F4-4445-8C23-A8E396D0E0D9}" name="Oct _x000a_2019"/>
    <tableColumn id="120" xr3:uid="{3075366D-01B1-4506-B9C7-F968CD34DE4C}" name="Nov _x000a_2019"/>
    <tableColumn id="121" xr3:uid="{97A51538-CD4A-41BB-824D-5AC7BF455DC6}" name="Dec _x000a_2019"/>
    <tableColumn id="122" xr3:uid="{37E3E8D0-A2F8-4397-8287-3711C518141F}" name="Jan _x000a_2020"/>
    <tableColumn id="123" xr3:uid="{100F7544-8882-4821-9A16-482C0A217F14}" name="Feb _x000a_2020"/>
    <tableColumn id="124" xr3:uid="{3CDFE93E-5084-4480-9BE9-28E627190ABB}" name="Mar _x000a_2020"/>
    <tableColumn id="125" xr3:uid="{7B6816D9-64C4-4281-97A5-8B29134A2096}" name="Apr _x000a_2020"/>
    <tableColumn id="126" xr3:uid="{844AC930-7CCF-48F4-97C0-A8B84FB7CF53}" name="May _x000a_2020"/>
    <tableColumn id="127" xr3:uid="{4506B099-FB66-4B1C-9922-CC420DABEB66}" name="Jun _x000a_2020"/>
    <tableColumn id="128" xr3:uid="{682FE5BE-53B3-4C69-8ED1-71810A92C4B9}" name="Jul _x000a_2020"/>
    <tableColumn id="129" xr3:uid="{54076FBB-E00F-4715-94B0-B867F7EB9548}" name="Aug _x000a_2020"/>
    <tableColumn id="130" xr3:uid="{2B02EDD2-AFD3-4E5D-954A-DA7B18912736}" name="Sep  _x000a_2020"/>
    <tableColumn id="131" xr3:uid="{09AC67CA-5492-49FA-8D96-FBEFED96C677}" name="Oct _x000a_2020"/>
    <tableColumn id="132" xr3:uid="{E8B7AD40-8219-455E-8081-41372D008FBD}" name="Nov _x000a_2020"/>
    <tableColumn id="133" xr3:uid="{66109FC2-8940-4757-BEFE-2C7C5258EE15}" name="Dec _x000a_2020"/>
    <tableColumn id="134" xr3:uid="{E8655AE4-B147-4028-9F22-1B75F7FCAA11}" name="Jan _x000a_2021"/>
    <tableColumn id="135" xr3:uid="{ED25CEAA-358B-4D90-97CC-E1F5691824BB}" name="Feb _x000a_2021"/>
    <tableColumn id="136" xr3:uid="{95D7FE66-044D-4B1C-805C-0C2C1A38D9F2}" name="Mar _x000a_2021"/>
    <tableColumn id="137" xr3:uid="{482ADC69-6AFD-4D35-9EE0-A44E5C7BD2C3}" name="Apr _x000a_2021"/>
    <tableColumn id="138" xr3:uid="{7721A3A9-D626-4BE0-991A-1C8A29445766}" name="May _x000a_2021"/>
    <tableColumn id="139" xr3:uid="{8A8A0463-F344-4911-B212-F2C15BE1B87C}" name="Jun _x000a_2021"/>
    <tableColumn id="140" xr3:uid="{A6490111-3F20-48E1-9232-8782FF9E6DCC}" name="Jul _x000a_2021"/>
    <tableColumn id="141" xr3:uid="{AE958BA7-0758-4526-BC30-9D9D3856B50C}" name="Aug _x000a_2021"/>
    <tableColumn id="142" xr3:uid="{B215BA39-C7E9-4C57-B7DC-868D78016229}" name="Sep_x000a_2021"/>
    <tableColumn id="143" xr3:uid="{07A61A18-2BC4-4D05-B82A-0D8EAD3D0B02}" name="Oct_x000a_2021"/>
    <tableColumn id="144" xr3:uid="{D87E8B56-45EC-45D1-A6EC-784654107F14}" name="Nov_x000a_2021"/>
    <tableColumn id="145" xr3:uid="{FFF975FC-9131-47B0-B4AD-0093A7D31A90}" name="Dec_x000a_2021" dataDxfId="380" dataCellStyle="Comma"/>
    <tableColumn id="146" xr3:uid="{0A14CBD6-8E61-4920-9F6D-BE8A9C607D1F}" name="Jan_x000a_2022" dataDxfId="379" dataCellStyle="Comma"/>
    <tableColumn id="147" xr3:uid="{9FA1E511-7439-48AF-9113-3AD756351EA0}" name="Feb_x000a_2022"/>
    <tableColumn id="148" xr3:uid="{F4CB35BE-C233-4E9C-96F4-38E253BB3F66}" name="Mar_x000a_2022"/>
    <tableColumn id="149" xr3:uid="{40E85DC2-D2A8-4002-A890-76F7C2CD848F}" name="Apr_x000a_2022" dataDxfId="378" dataCellStyle="Comma"/>
    <tableColumn id="150" xr3:uid="{E4F624DC-AACA-4067-8918-1ADB0BFF67AB}" name="May_x000a_2022" dataDxfId="377" dataCellStyle="Comma"/>
    <tableColumn id="151" xr3:uid="{EC393396-E053-40DB-B941-AB92B4688F5E}" name="Jun_x000a_2022" dataDxfId="376" dataCellStyle="Comma"/>
    <tableColumn id="152" xr3:uid="{EDA31EF5-3C52-471E-B804-3BED370E553D}" name="Jul_x000a_2022" dataDxfId="375" dataCellStyle="Comma"/>
    <tableColumn id="153" xr3:uid="{679A7F2D-F949-4D9B-AEB1-37C043E10F5F}" name="Aug_x000a_2022" dataDxfId="374" dataCellStyle="Comma"/>
    <tableColumn id="154" xr3:uid="{A285681D-E094-46A5-84E5-6E0622F29A8B}" name="Sep_x000a_2022" dataDxfId="373" dataCellStyle="Comma"/>
    <tableColumn id="155" xr3:uid="{4C9DD500-E6DD-46AE-81FB-0FEF27D8C438}" name="Oct_x000a_2022" dataDxfId="372" dataCellStyle="Comma"/>
    <tableColumn id="156" xr3:uid="{676B7A8C-75BD-44FB-9F71-2DF0A5CF691C}" name="Nov_x000a_2022" dataDxfId="371" dataCellStyle="Comma"/>
    <tableColumn id="157" xr3:uid="{5DCE1684-450E-44A9-8948-633550FFFD9E}" name="Dec_x000a_2022" dataDxfId="370" dataCellStyle="Comma"/>
    <tableColumn id="158" xr3:uid="{9C9CC7BD-6288-4508-B7B7-1800AAA0F178}" name="Jan_x000a_2023" dataDxfId="369" dataCellStyle="Comma"/>
    <tableColumn id="159" xr3:uid="{0C874594-C899-40D0-97D1-9C756D287AD9}" name="Feb_x000a_2023" dataDxfId="368" dataCellStyle="Comma"/>
    <tableColumn id="160" xr3:uid="{97123219-59C6-43C9-B560-03BC965BA496}" name="Mar_x000a_2023" dataDxfId="367" dataCellStyle="Comma"/>
    <tableColumn id="161" xr3:uid="{5D4F701D-F103-4B50-A0E1-CB1F18A51FB7}" name="Apr_x000a_2023" dataDxfId="366" dataCellStyle="Comma"/>
    <tableColumn id="162" xr3:uid="{F836FD2D-E665-4C2B-AC22-5175FB9F1BE9}" name="May_x000a_2023" dataDxfId="365" dataCellStyle="Comma"/>
    <tableColumn id="163" xr3:uid="{A4CE644C-11FF-4615-BBED-9818D79DC1FD}" name="Jun_x000a_2023" dataDxfId="364" dataCellStyle="Comma"/>
    <tableColumn id="164" xr3:uid="{9292E6AB-B514-488A-962B-776BFE4D05ED}" name="Jul_x000a_2023" dataDxfId="363" dataCellStyle="Comma"/>
    <tableColumn id="165" xr3:uid="{75F864BE-2284-4D6B-AC96-719DA7D1C17E}" name="Aug_x000a_2023" dataDxfId="362" dataCellStyle="Comma"/>
    <tableColumn id="166" xr3:uid="{459FDA5E-E792-403D-8E68-50C2DE17062E}" name="Sep_x000a_2023" dataDxfId="361" dataCellStyle="Comma"/>
    <tableColumn id="168" xr3:uid="{494F9BA9-AC2D-4036-85A3-48EF41BDD361}" name="Oct_x000a_2023" dataDxfId="360" dataCellStyle="Comma"/>
    <tableColumn id="167" xr3:uid="{3FFFFEDB-BAF1-47BE-A917-9791473F35BD}" name="Nov_x000a_2023" dataDxfId="359" dataCellStyle="Comma"/>
    <tableColumn id="169" xr3:uid="{3CD9E81B-68FC-4893-A1E7-F7394E2F3F08}" name="Dec_x000a_2023" dataDxfId="358" dataCellStyle="Comma"/>
    <tableColumn id="170" xr3:uid="{60DB2CC6-2D6B-4BCD-A936-50CB94E33653}" name="Jan_x000a_2024" dataDxfId="357" dataCellStyle="Comma"/>
    <tableColumn id="171" xr3:uid="{CECA250C-C035-448A-9834-3AD1EC374981}" name="Feb_x000a_2024" dataDxfId="356" dataCellStyle="Comma"/>
    <tableColumn id="172" xr3:uid="{A6AFA454-4F5C-46FB-A7ED-93373A3FB12C}" name="Mar_x000a_2024" dataDxfId="355" dataCellStyle="Comma"/>
    <tableColumn id="173" xr3:uid="{EA9918A7-4561-4406-BFCA-EB336FB4C312}" name="Apr_x000a_2024" dataDxfId="354" dataCellStyle="Comma"/>
    <tableColumn id="174" xr3:uid="{129F4E20-89A5-46FF-8B6C-427DFBC8127D}" name="May_x000a_2024" dataDxfId="353" dataCellStyle="Comma"/>
    <tableColumn id="175" xr3:uid="{1C782B32-75A0-4EF1-8191-A8F79CE8F183}" name="Jun_x000a_2024" dataDxfId="352" dataCellStyle="Comma"/>
    <tableColumn id="176" xr3:uid="{C2C690C5-3039-4C97-A5AA-771D089EC7C7}" name="Jul_x000a_2024" dataDxfId="351" dataCellStyle="Comma"/>
    <tableColumn id="177" xr3:uid="{3C94CA85-1B91-46A0-B8E7-7E7095D323E8}" name="Aug_x000a_2024" dataDxfId="350" dataCellStyle="Comma"/>
    <tableColumn id="178" xr3:uid="{DFF8CC6B-F850-4D8F-8255-1B9CAC6A5976}" name="Sep_x000a_2024" dataDxfId="349" dataCellStyle="Comma"/>
    <tableColumn id="179" xr3:uid="{284E3891-A81E-4900-AD51-1F6C7480535B}" name="Oct_x000a_2024" dataDxfId="348" dataCellStyle="Comma"/>
    <tableColumn id="180" xr3:uid="{42206A7E-F195-4FE6-825C-A931BD8808B2}" name="Nov_x000a_2024" dataDxfId="347" dataCellStyle="Comma"/>
    <tableColumn id="181" xr3:uid="{443F5CDE-801F-4318-8DC1-03C544CC9261}" name="Dec_x000a_2024" dataDxfId="346" dataCellStyle="Comma"/>
    <tableColumn id="182" xr3:uid="{2F254026-15A5-4B14-92AD-B6BD0FA053D9}" name="Jan_x000a_2025" dataDxfId="345" dataCellStyle="Comma"/>
    <tableColumn id="183" xr3:uid="{8CA08EF9-581E-4E12-821F-AFD7CE1BE76B}" name="Feb_x000a_2025" dataDxfId="344" dataCellStyle="Comma"/>
    <tableColumn id="184" xr3:uid="{65D8C2E6-FD8B-47E4-9074-E709170A4E21}" name="Mar_x000a_2025" dataDxfId="343" dataCellStyle="Comma"/>
    <tableColumn id="185" xr3:uid="{4BECD0FC-5DF7-442A-898F-65B6128DE1D1}" name="Apr_x000a_2025" dataDxfId="342" dataCellStyle="Comma"/>
    <tableColumn id="186" xr3:uid="{B8C7F2A2-AFA2-4F7E-9161-FF60C442412E}" name="May_x000a_2025" dataDxfId="341" dataCellStyle="Comma"/>
    <tableColumn id="187" xr3:uid="{7ADC9C26-2AEE-4BBB-83F9-378C9ED03C52}" name="Jun_x000a_2025" dataDxfId="340" dataCellStyle="Comma"/>
    <tableColumn id="188" xr3:uid="{266FCBD9-1358-4AE5-AAFB-22320A9DC41F}" name="Jul_x000a_2025" dataDxfId="339" dataCellStyle="Comma"/>
    <tableColumn id="189" xr3:uid="{4AAB9953-BF24-44A2-9782-48B970B69272}" name="Aug_x000a_2025" dataDxfId="338" dataCellStyle="Comma"/>
    <tableColumn id="190" xr3:uid="{6CAC850A-DA2E-4894-B572-F94556647984}" name="Sep_x000a_2025" dataDxfId="337" dataCellStyle="Comma"/>
    <tableColumn id="191" xr3:uid="{D9F16346-3239-4064-8E5F-790B17207959}" name="Oct_x000a_2025" dataDxfId="336" dataCellStyle="Comma"/>
    <tableColumn id="192" xr3:uid="{DBED83AB-FF91-44D9-87B7-837062F5D962}" name="Nov_x000a_2025" dataDxfId="335" dataCellStyle="Comma"/>
    <tableColumn id="193" xr3:uid="{389CD80B-C1D3-49EA-B1BE-896E408A60A1}" name="Dec_x000a_2025" dataDxfId="334" dataCellStyle="Comma"/>
    <tableColumn id="194" xr3:uid="{DC944E9F-6680-4B29-8ED5-1E3A18D4B97A}" name="Jan_x000a_2026" dataDxfId="333" dataCellStyle="Comma"/>
    <tableColumn id="195" xr3:uid="{F8677EA3-7D5A-4815-A826-5FA7ABCDBA97}" name="Feb_x000a_2026" dataDxfId="332" dataCellStyle="Comma"/>
    <tableColumn id="196" xr3:uid="{311D1327-0DDB-45D3-B265-F693262D4258}" name="Mar_x000a_2026" dataDxfId="331" dataCellStyle="Comma"/>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F069C89-CE90-4409-A680-525DF78926B5}" name="Cumulative_count_by_tariff20" displayName="Cumulative_count_by_tariff20" ref="A33:GN58" totalsRowShown="0">
  <tableColumns count="196">
    <tableColumn id="1" xr3:uid="{C82017DB-FAF2-42EB-A8C4-6F39F6D78DBE}" name="CUMULATIVE COUNT"/>
    <tableColumn id="2" xr3:uid="{A74823A7-2BDC-47E4-9C71-1FF066B10342}" name="Jan _x000a_2010"/>
    <tableColumn id="3" xr3:uid="{8AE65214-1655-4CE4-83BA-FDC329BD9655}" name="Feb _x000a_2010"/>
    <tableColumn id="4" xr3:uid="{7188D548-C2DA-4833-9C70-317483AFA215}" name="Mar _x000a_2010"/>
    <tableColumn id="5" xr3:uid="{1E62D7D0-939F-4292-AA28-BAAF27F07A3D}" name="Apr _x000a_2010"/>
    <tableColumn id="6" xr3:uid="{289C433F-39C0-4D7D-85CA-8C3386B21CE7}" name="May _x000a_2010"/>
    <tableColumn id="7" xr3:uid="{1C66A5B2-4502-496F-90E2-063FC8AC0EAF}" name="Jun _x000a_2010"/>
    <tableColumn id="8" xr3:uid="{C6F34A83-CE9E-4841-BDD8-DCB78EFCE67D}" name="Jul _x000a_2010"/>
    <tableColumn id="9" xr3:uid="{8F8B0E5C-06B2-4587-AF71-6A5BA3345E7E}" name="Aug _x000a_2010"/>
    <tableColumn id="10" xr3:uid="{1F6CD405-7FF6-4451-B593-CF38D23E3010}" name="Sep _x000a_2010"/>
    <tableColumn id="11" xr3:uid="{67229F0C-FD5B-4923-A3DD-82DC0FE182FC}" name="Oct _x000a_2010"/>
    <tableColumn id="12" xr3:uid="{4057EEC8-6D59-462F-AF2D-D041BF78204E}" name="Nov _x000a_2010"/>
    <tableColumn id="13" xr3:uid="{C35F2EE1-834A-45CD-A847-B4B0A124CCF9}" name="Dec _x000a_2010"/>
    <tableColumn id="14" xr3:uid="{07B2BF02-58AF-4274-8DF9-27062FE333AF}" name="Jan _x000a_2011"/>
    <tableColumn id="15" xr3:uid="{FFE3FCD3-B69B-47E4-B450-82083ED5ABBE}" name="Feb _x000a_2011"/>
    <tableColumn id="16" xr3:uid="{388DDAA8-E783-489E-B12B-FE6AAC062D08}" name="Mar _x000a_2011"/>
    <tableColumn id="17" xr3:uid="{0145C4EE-F8E6-4B48-BF4F-C39FC76F6A2A}" name="Apr _x000a_2011"/>
    <tableColumn id="18" xr3:uid="{9E072343-872C-48F2-8DA3-52D0D68AD6B3}" name="May _x000a_2011"/>
    <tableColumn id="19" xr3:uid="{F242BCA7-713F-49C7-973F-F6D46F05D01B}" name="Jun _x000a_2011"/>
    <tableColumn id="20" xr3:uid="{4B0D38DC-0627-4937-BF21-65C999D2E492}" name="Jul _x000a_2011"/>
    <tableColumn id="21" xr3:uid="{5CDEF7B5-42E8-44D2-A919-130916186B15}" name="Aug _x000a_2011"/>
    <tableColumn id="22" xr3:uid="{1D9D79C0-E262-45F5-82DB-014816EDC14A}" name="Sep _x000a_2011"/>
    <tableColumn id="23" xr3:uid="{4703118D-D1F8-4667-8285-1F3D75E0C3D8}" name="Oct _x000a_2011"/>
    <tableColumn id="24" xr3:uid="{6B789F29-4A59-477D-AD6E-4D0C35D338FC}" name="Nov _x000a_2011"/>
    <tableColumn id="25" xr3:uid="{E47C747B-4FCA-49D7-8C25-4D49E2683D0A}" name="Dec _x000a_2011"/>
    <tableColumn id="26" xr3:uid="{BD9AA770-627D-4548-915A-622421DFB26E}" name="Jan _x000a_2012"/>
    <tableColumn id="27" xr3:uid="{47798085-891A-459E-9D7D-D88FFBCABFD8}" name="Feb _x000a_2012"/>
    <tableColumn id="28" xr3:uid="{656949AF-7F6D-4D81-B144-990FA2D4D6E9}" name="Mar _x000a_2012"/>
    <tableColumn id="29" xr3:uid="{C5A627DB-C5D0-4C0F-9E5E-00A7D0612359}" name="Apr _x000a_2012"/>
    <tableColumn id="30" xr3:uid="{C5A0C3F0-7892-44D5-802D-EF2F6492673C}" name="May _x000a_2012"/>
    <tableColumn id="31" xr3:uid="{2534A680-80D5-4BEF-A43D-238F51FD7149}" name="Jun _x000a_2012"/>
    <tableColumn id="32" xr3:uid="{115C83BF-44A6-4E38-8DB9-1E1D47E94088}" name="Jul _x000a_2012"/>
    <tableColumn id="33" xr3:uid="{F3CB5AAF-8E89-4245-952B-977731E2A1AB}" name="Aug _x000a_2012"/>
    <tableColumn id="34" xr3:uid="{1E30CE80-6002-4FA8-B817-9698883F4FC2}" name="Sep _x000a_2012"/>
    <tableColumn id="35" xr3:uid="{AAB8ACFC-459D-4FFD-BD6D-D9A5A0E852D1}" name="Oct _x000a_2012"/>
    <tableColumn id="36" xr3:uid="{24307034-21EB-4389-883A-9102C2C624C3}" name="Nov _x000a_2012"/>
    <tableColumn id="37" xr3:uid="{34724BDF-6DA1-4E2E-9BBD-8E4CF83EF501}" name="Dec _x000a_2012"/>
    <tableColumn id="38" xr3:uid="{E51A9E24-5084-41E8-84D8-3B1E9036E670}" name="Jan _x000a_2013"/>
    <tableColumn id="39" xr3:uid="{EAB680BC-4AD9-481E-A84D-2E1C738018F6}" name="Feb _x000a_2013"/>
    <tableColumn id="40" xr3:uid="{77624D0A-23B9-4C66-9114-B521F4195BCA}" name="Mar _x000a_2013"/>
    <tableColumn id="41" xr3:uid="{DE112E5E-37CE-4C44-8450-7015A2F3AEE0}" name="Apr _x000a_2013"/>
    <tableColumn id="42" xr3:uid="{2168A82F-BD62-4BDD-B461-8107961A8930}" name="May _x000a_2013"/>
    <tableColumn id="43" xr3:uid="{63284004-E579-4BB6-9D7E-44FD45004337}" name="Jun _x000a_2013"/>
    <tableColumn id="44" xr3:uid="{A45A9F85-0D61-4AB8-82A3-11FD09093E75}" name="Jul _x000a_2013"/>
    <tableColumn id="45" xr3:uid="{1B27FEAD-9A6A-4793-B792-B90567F784A1}" name="Aug _x000a_2013"/>
    <tableColumn id="46" xr3:uid="{A2A2D284-6178-4B23-AD40-B9BA1D8B843D}" name="Sep _x000a_2013"/>
    <tableColumn id="47" xr3:uid="{EAD66601-06E1-49E1-B4CA-6951A1F096C9}" name="Oct _x000a_2013"/>
    <tableColumn id="48" xr3:uid="{7B43D7C0-8002-473A-9A21-97235979089D}" name=" Nov _x000a_2013"/>
    <tableColumn id="49" xr3:uid="{A0F8D3D5-7F2C-47AB-A760-421FC6EFD635}" name="Dec _x000a_2013"/>
    <tableColumn id="50" xr3:uid="{EBE339C6-A80C-43BA-AFD5-7401B95C8363}" name="Jan _x000a_2014"/>
    <tableColumn id="51" xr3:uid="{83BAC994-9862-4BBD-A0C4-576F88D8935B}" name="Feb _x000a_2014"/>
    <tableColumn id="52" xr3:uid="{D4FE7023-FE01-43E3-909B-A0CABDF6D465}" name="Mar _x000a_2014"/>
    <tableColumn id="53" xr3:uid="{1B20D06C-61E5-4287-AD9C-FDE765CB501F}" name="Apr _x000a_2014"/>
    <tableColumn id="54" xr3:uid="{069DB071-337E-42FA-94E2-4B0DBC6F5BA0}" name="May _x000a_2014"/>
    <tableColumn id="55" xr3:uid="{EB886BED-25DF-4270-9F84-733DECFAAF84}" name="Jun _x000a_2014"/>
    <tableColumn id="56" xr3:uid="{74990F25-F2E1-4353-96D5-29D9FE1179D9}" name="Jul _x000a_2014"/>
    <tableColumn id="57" xr3:uid="{8257B6FB-6863-4332-80FC-034C2528CED7}" name="Aug _x000a_2014"/>
    <tableColumn id="58" xr3:uid="{CEEF9FB8-6503-4CE5-AD89-5A84B0F6EACF}" name="Sep _x000a_2014"/>
    <tableColumn id="59" xr3:uid="{1094374F-9B61-4FE2-80B1-4330A82A8FDE}" name="Oct _x000a_2014"/>
    <tableColumn id="60" xr3:uid="{692A5B65-BFF7-4A0F-871F-435C70605968}" name="Nov _x000a_2014"/>
    <tableColumn id="61" xr3:uid="{079EF831-D294-465C-A510-AF1CEB791856}" name="Dec _x000a_2014"/>
    <tableColumn id="62" xr3:uid="{7FA3FC02-B836-4A64-B993-FA3C8374EA54}" name="Jan _x000a_2015"/>
    <tableColumn id="63" xr3:uid="{7CEB4893-2AD0-4A42-BB49-1EF4B33FCB0B}" name="Feb _x000a_2015"/>
    <tableColumn id="64" xr3:uid="{26BC6208-B92C-458B-B1BD-29B6DE94DB30}" name="Mar _x000a_2015"/>
    <tableColumn id="65" xr3:uid="{CB0718DE-BAAD-448A-ACA9-6F43506CBC7C}" name="Apr _x000a_2015"/>
    <tableColumn id="66" xr3:uid="{61517F41-A370-4BA6-A8E1-FD34C9E5106D}" name="May _x000a_2015"/>
    <tableColumn id="67" xr3:uid="{8D7F9AB7-EE1D-4BF2-8AAB-51CDAF235B4A}" name="Jun _x000a_2015"/>
    <tableColumn id="68" xr3:uid="{C7EF94C9-90B5-4EF3-B7AB-8D136B3A1C2C}" name="Jul _x000a_2015"/>
    <tableColumn id="69" xr3:uid="{5A976459-820A-4548-AAAD-CB0F4DB6486A}" name="Aug _x000a_2015"/>
    <tableColumn id="70" xr3:uid="{2A259749-55F7-4E30-895D-1A58B44DFD50}" name="Sep _x000a_2015"/>
    <tableColumn id="71" xr3:uid="{962AF960-CB7E-4A4F-888D-B61130C75687}" name="Oct _x000a_2015"/>
    <tableColumn id="72" xr3:uid="{A97C74EB-DF03-46DE-A56E-A899CD1981FF}" name="Nov _x000a_2015"/>
    <tableColumn id="73" xr3:uid="{8E5B6D69-D157-4D89-8316-EC9D43EAF573}" name="Dec _x000a_2015"/>
    <tableColumn id="74" xr3:uid="{C7E58EB8-1646-441A-BB30-C2F16F593CCC}" name="Jan _x000a_2016"/>
    <tableColumn id="75" xr3:uid="{82FBA27A-F3C3-4B64-B01A-ECF51BA4D91A}" name="Feb _x000a_2016"/>
    <tableColumn id="76" xr3:uid="{53173984-0D79-4265-B06B-AAEB9B007A93}" name="Mar _x000a_2016"/>
    <tableColumn id="77" xr3:uid="{7A058156-0C5C-476B-B19C-ED6D76CB248D}" name="Apr _x000a_2016"/>
    <tableColumn id="78" xr3:uid="{E701A65E-6B16-4B88-8072-8B34AEF6714C}" name="May _x000a_2016"/>
    <tableColumn id="79" xr3:uid="{9AF12078-7263-412B-89D3-EAEC01F98811}" name="Jun _x000a_2016"/>
    <tableColumn id="80" xr3:uid="{CDF6EA20-D2C2-412B-AB10-20F81524A45F}" name="Jul _x000a_2016"/>
    <tableColumn id="81" xr3:uid="{3C170E65-3A9E-44EC-8CF4-2B1E8DF315B0}" name="Aug _x000a_2016"/>
    <tableColumn id="82" xr3:uid="{1FCAA0F2-2C64-4AB1-A3C2-F8FD9C88C9AE}" name="Sep _x000a_2016"/>
    <tableColumn id="83" xr3:uid="{4693C4CA-C5FB-4EB7-BBE5-08D1F72EB226}" name="Oct _x000a_2016"/>
    <tableColumn id="84" xr3:uid="{BC1049C1-E3C5-4AEE-A15D-067FC8051630}" name="Nov _x000a_2016"/>
    <tableColumn id="85" xr3:uid="{517AF6CD-CB67-4EF8-803F-BD4831FD5D22}" name="Dec _x000a_2016"/>
    <tableColumn id="86" xr3:uid="{CFB740E1-3907-4E73-A522-0B98A31CD809}" name="Jan _x000a_2017"/>
    <tableColumn id="87" xr3:uid="{3B59D907-5626-43CE-8ACB-A7C12EE539BE}" name="Feb _x000a_2017"/>
    <tableColumn id="88" xr3:uid="{136E7097-2A3C-4A3C-B50C-0E819946C48D}" name="Mar _x000a_2017"/>
    <tableColumn id="89" xr3:uid="{440AEF85-06AF-4E79-B10B-97746B689A87}" name="Apr _x000a_2017"/>
    <tableColumn id="90" xr3:uid="{6A6478D5-ABAE-40A9-B78F-CEB4357A9042}" name="May _x000a_2017"/>
    <tableColumn id="91" xr3:uid="{C955BC02-BE0B-415C-860E-AA4CE145BBF6}" name="Jun _x000a_2017"/>
    <tableColumn id="92" xr3:uid="{AB10E549-D7AF-4996-A4E4-95DF889869C4}" name="Jul _x000a_2017"/>
    <tableColumn id="93" xr3:uid="{A88FCC89-B419-4415-A0CF-F90E43E13AF4}" name="Aug _x000a_2017"/>
    <tableColumn id="94" xr3:uid="{CF5C07C2-A6E8-497F-82BE-B31ECFD6457C}" name="Sep _x000a_2017"/>
    <tableColumn id="95" xr3:uid="{123D9718-336E-495A-9D04-4A3EE504C6F1}" name="Oct _x000a_2017"/>
    <tableColumn id="96" xr3:uid="{4FC0BB89-F0D8-4BDD-9FA9-1BF020C2792F}" name="Nov _x000a_2017"/>
    <tableColumn id="97" xr3:uid="{CBB4D7F6-7740-4BFB-ADBF-6EE81B558064}" name="Dec _x000a_2017"/>
    <tableColumn id="98" xr3:uid="{B0DBAC9B-54E1-4D4F-9B3E-7F78402CC7D8}" name="Jan _x000a_2018"/>
    <tableColumn id="99" xr3:uid="{4242F93E-1B56-4B35-A16D-A2A618B5D426}" name="Feb _x000a_2018"/>
    <tableColumn id="100" xr3:uid="{9513356C-1566-4C0D-93DC-E44C78B1AA21}" name="Mar _x000a_2018"/>
    <tableColumn id="101" xr3:uid="{C92393B5-54AC-460C-8D0A-338FAEEFDC7B}" name="Apr _x000a_2018"/>
    <tableColumn id="102" xr3:uid="{B1C50A46-B27D-4E21-8F6B-F97F053B2FB1}" name="May _x000a_2018"/>
    <tableColumn id="103" xr3:uid="{EC89D94D-3FD2-487E-9B0D-2A6DFE78A27D}" name="Jun _x000a_2018"/>
    <tableColumn id="104" xr3:uid="{7A9D019D-08BD-4A80-B285-8D4187680027}" name="Jul _x000a_2018"/>
    <tableColumn id="105" xr3:uid="{615D865F-CFD1-4707-97BA-2A07829DFD40}" name="Aug _x000a_2018"/>
    <tableColumn id="106" xr3:uid="{828C3690-3F07-4194-9392-1938A97D8842}" name="Sep _x000a_2018"/>
    <tableColumn id="107" xr3:uid="{5B034903-36FA-4593-9D8C-36F84697BA02}" name="Oct _x000a_2018"/>
    <tableColumn id="108" xr3:uid="{7BAA5BCA-CAB3-4154-92D0-38EFF7FFD4DD}" name="Nov _x000a_2018"/>
    <tableColumn id="109" xr3:uid="{8240BBD1-C727-4852-BDBB-51C583A0735F}" name="Dec _x000a_2018"/>
    <tableColumn id="110" xr3:uid="{C1202182-5E55-467B-859D-8B6A275AAB31}" name="Jan _x000a_2019"/>
    <tableColumn id="111" xr3:uid="{DF245F45-7C26-438B-B426-871FC77DAB53}" name="Feb _x000a_2019"/>
    <tableColumn id="112" xr3:uid="{E90B97B6-FAB3-420F-AFD2-215B21503B9C}" name="Mar _x000a_2019"/>
    <tableColumn id="113" xr3:uid="{0820F959-494D-4CB3-B3DF-EDA2551B716F}" name="Apr _x000a_2019"/>
    <tableColumn id="114" xr3:uid="{71A25765-8146-4EC6-A0EF-13ECCF23A9A8}" name="May _x000a_2019"/>
    <tableColumn id="115" xr3:uid="{08F00508-C8D6-4BC1-9041-A4898FAD55F5}" name="Jun _x000a_2019"/>
    <tableColumn id="116" xr3:uid="{19E76B75-211A-4AEC-93CB-51482E69B8FC}" name="Jul _x000a_2019"/>
    <tableColumn id="117" xr3:uid="{8ADB1FCD-D064-4C42-B858-2C7601E51231}" name="Aug _x000a_2019"/>
    <tableColumn id="118" xr3:uid="{3B98861B-646B-4640-9F1F-247DC010681C}" name="Sep _x000a_2019"/>
    <tableColumn id="119" xr3:uid="{07C05D05-F4C4-4C5C-B1F7-1A5F39135ADD}" name="Oct _x000a_2019"/>
    <tableColumn id="120" xr3:uid="{E7DBEABA-2152-4294-8A28-6B994EB6D3DE}" name="Nov _x000a_2019"/>
    <tableColumn id="121" xr3:uid="{D4446087-045B-4CE3-88EE-C3890BF03590}" name="Dec _x000a_2019"/>
    <tableColumn id="122" xr3:uid="{A2F1067F-0A3F-4B07-A448-AD5F93CA21CA}" name="Jan _x000a_2020"/>
    <tableColumn id="123" xr3:uid="{7EFBAC13-6F8A-4E09-8185-E9E7D8F01E83}" name="Feb _x000a_2020"/>
    <tableColumn id="124" xr3:uid="{025184E7-1C64-4CD1-BBBA-B911375CCBE2}" name="Mar _x000a_2020"/>
    <tableColumn id="125" xr3:uid="{423A0B02-2C3D-45B8-9885-F7EAE0521BCB}" name="Apr _x000a_2020"/>
    <tableColumn id="126" xr3:uid="{2AB8E038-1C13-4E43-BBBD-BEC4108E28B1}" name="May _x000a_2020"/>
    <tableColumn id="127" xr3:uid="{2664AA47-D8E7-45BF-9CBB-611F7ED0922A}" name="Jun _x000a_2020"/>
    <tableColumn id="128" xr3:uid="{8FD3779A-813B-4C13-B935-50FDC8106D9E}" name="Jul _x000a_2020"/>
    <tableColumn id="129" xr3:uid="{20A85C71-B0FD-461C-B7EA-AF375531B609}" name="Aug _x000a_2020"/>
    <tableColumn id="130" xr3:uid="{EE399681-5420-4E71-A53F-97BC2F52AEC7}" name="Sep  _x000a_2020"/>
    <tableColumn id="131" xr3:uid="{A70B17F8-48ED-43ED-A66D-64C3CC70CBFB}" name="Oct _x000a_2020"/>
    <tableColumn id="132" xr3:uid="{521237ED-66E0-44E4-844B-BE402DF264BF}" name="Nov _x000a_2020"/>
    <tableColumn id="133" xr3:uid="{13C5AE60-5C88-4A01-8141-D07DE97CFB4D}" name="Dec _x000a_2020"/>
    <tableColumn id="134" xr3:uid="{A169CB26-099C-401C-9900-9562AF48D115}" name="Jan _x000a_2021"/>
    <tableColumn id="135" xr3:uid="{6640341B-C472-47A5-B2DD-2E6584FEE8DC}" name="Feb _x000a_2021"/>
    <tableColumn id="136" xr3:uid="{19A67750-5AE2-4BE1-8F88-CA9DC95CC4A5}" name="Mar _x000a_2021"/>
    <tableColumn id="137" xr3:uid="{2BDE59ED-2F4C-4A00-AD5B-1206D40DFA9A}" name="Apr _x000a_2021"/>
    <tableColumn id="138" xr3:uid="{599F0C84-4F0D-4200-8375-6FD8F3E60AC6}" name="May _x000a_2021"/>
    <tableColumn id="139" xr3:uid="{DBB2B099-F3AB-46D0-948F-1B442F2F4F56}" name="Jun _x000a_2021"/>
    <tableColumn id="140" xr3:uid="{1BF66607-11E0-4D96-908C-5B3E3C4D9A62}" name="Jul _x000a_2021"/>
    <tableColumn id="141" xr3:uid="{BC44AF83-9740-4D36-B8FE-AA78D4042741}" name="Aug _x000a_2021"/>
    <tableColumn id="142" xr3:uid="{34A449CF-EFEF-43A2-A369-FD57AEAD64B6}" name="Sep _x000a_2021"/>
    <tableColumn id="143" xr3:uid="{CB4D0B2C-B3D6-4903-8BE2-CD1571A766A1}" name="Oct_x000a_2021"/>
    <tableColumn id="144" xr3:uid="{86132455-76DE-4B74-877B-E7C0F58B9107}" name="Nov_x000a_2021" dataDxfId="330" dataCellStyle="Comma"/>
    <tableColumn id="145" xr3:uid="{737D539C-D4F9-45DD-8D3F-8EB04816517B}" name="Dec_x000a_2021" dataDxfId="329" dataCellStyle="Comma"/>
    <tableColumn id="146" xr3:uid="{9C9F12DF-27FC-45F7-B16E-BE9A0F111CE5}" name="Jan_x000a_2022" dataDxfId="328" dataCellStyle="Comma"/>
    <tableColumn id="147" xr3:uid="{9333E6A5-1A70-4299-8CEB-3A80B5C964AA}" name="Feb_x000a_2022" dataDxfId="327" dataCellStyle="Comma"/>
    <tableColumn id="148" xr3:uid="{19523CCF-A5C6-4141-A72C-1A7ACE64F1F8}" name="Mar_x000a_2022" dataDxfId="326" dataCellStyle="Comma"/>
    <tableColumn id="149" xr3:uid="{12BE965F-5B28-41DC-B62A-35BF30C9FBF1}" name="Apr_x000a_2022" dataDxfId="325" dataCellStyle="Comma"/>
    <tableColumn id="150" xr3:uid="{ACC01C56-8DA6-40DE-939A-D3D2D3655A52}" name="May_x000a_2022" dataDxfId="324" dataCellStyle="Comma"/>
    <tableColumn id="151" xr3:uid="{99FEAB23-480F-4D1A-A951-F371C6821A58}" name="Jun_x000a_2022" dataDxfId="323" dataCellStyle="Comma"/>
    <tableColumn id="152" xr3:uid="{A4104626-384B-4BA5-9CDC-B678079C6C11}" name="Jul_x000a_2022" dataDxfId="322" dataCellStyle="Comma"/>
    <tableColumn id="153" xr3:uid="{14542EAF-5DA3-41A3-997C-91CE781C81BC}" name="Aug_x000a_2022" dataDxfId="321" dataCellStyle="Comma"/>
    <tableColumn id="154" xr3:uid="{18202CE2-22E6-4EC7-976B-52541AE8A496}" name="Sep_x000a_2022" dataDxfId="320" dataCellStyle="Comma"/>
    <tableColumn id="155" xr3:uid="{FDE403C1-29CE-484A-9604-DC3F2C298106}" name="Oct_x000a_2022" dataDxfId="319" dataCellStyle="Comma"/>
    <tableColumn id="156" xr3:uid="{4492F559-DE39-43A7-A783-7C57CD04ECBF}" name="Nov_x000a_2022" dataDxfId="318" dataCellStyle="Comma"/>
    <tableColumn id="157" xr3:uid="{107069FD-A328-40B0-B93A-5E946EE94C6A}" name="Dec_x000a_2022" dataDxfId="317" dataCellStyle="Comma"/>
    <tableColumn id="158" xr3:uid="{79358B1D-13EE-4252-9588-F4A782653103}" name="Jan_x000a_2023" dataDxfId="316" dataCellStyle="Comma"/>
    <tableColumn id="159" xr3:uid="{1D4F494B-CA91-4F1B-9B83-9D18F0807B9B}" name="Feb_x000a_2023" dataDxfId="315" dataCellStyle="Comma"/>
    <tableColumn id="160" xr3:uid="{A09ACE61-BB41-44D0-A6AD-692BC0B94FA1}" name="Mar_x000a_2023" dataDxfId="314" dataCellStyle="Comma"/>
    <tableColumn id="161" xr3:uid="{8CDCBB0C-9453-4408-81A5-9FC665D6D295}" name="Apr_x000a_2023" dataDxfId="313" dataCellStyle="Comma"/>
    <tableColumn id="162" xr3:uid="{8B1AFB34-74E1-4051-B9E0-C262042C5F6B}" name="May_x000a_2023" dataDxfId="312" dataCellStyle="Comma"/>
    <tableColumn id="163" xr3:uid="{C49C9D94-5C2A-473C-A024-C5C712CFCF67}" name="Jun_x000a_2023" dataDxfId="311" dataCellStyle="Comma"/>
    <tableColumn id="164" xr3:uid="{38F8F7FD-0E46-4D95-940C-E8C870CD4DFD}" name="Jul_x000a_2023" dataDxfId="310" dataCellStyle="Comma"/>
    <tableColumn id="165" xr3:uid="{7863853A-196B-4333-8E56-C200F2F8EB49}" name="Aug_x000a_2023" dataDxfId="309" dataCellStyle="Comma"/>
    <tableColumn id="166" xr3:uid="{56DD6E29-EC3C-418F-A4B0-58ED54303479}" name="Sep_x000a_2023" dataDxfId="308" dataCellStyle="Comma"/>
    <tableColumn id="167" xr3:uid="{11DA3F22-E2E3-4361-AE98-BA9D0F64DE62}" name="Oct_x000a_2023" dataDxfId="307" dataCellStyle="Comma"/>
    <tableColumn id="168" xr3:uid="{F3A9214D-752F-460F-949B-A316A6CFD1DF}" name="Nov_x000a_2023" dataDxfId="306" dataCellStyle="Comma"/>
    <tableColumn id="169" xr3:uid="{DE993D93-BDC1-4CEF-A9B4-81CE9A520D2F}" name="Dec_x000a_2023" dataDxfId="305" dataCellStyle="Comma"/>
    <tableColumn id="170" xr3:uid="{932E4AC8-9E1C-4A19-AB90-FD5998D2BC36}" name="Jan_x000a_2024" dataDxfId="304" dataCellStyle="Comma"/>
    <tableColumn id="171" xr3:uid="{9110079B-321D-4DF6-83D7-5F44E6F5D0FE}" name="Feb_x000a_2024" dataDxfId="303" dataCellStyle="Comma"/>
    <tableColumn id="172" xr3:uid="{CD237F6C-7C57-46F7-A9FF-80AD96CF9B12}" name="Mar_x000a_2024" dataDxfId="302" dataCellStyle="Comma"/>
    <tableColumn id="173" xr3:uid="{FA2DE43E-6C6F-4BC1-B594-0BFFA0F8F844}" name="Apr_x000a_2024" dataDxfId="301" dataCellStyle="Comma"/>
    <tableColumn id="174" xr3:uid="{8A700253-579B-49AE-A693-574D74F592F1}" name="May_x000a_2024" dataDxfId="300" dataCellStyle="Comma"/>
    <tableColumn id="175" xr3:uid="{879CDFE1-8653-4AE1-B777-8D669A105095}" name="Jun_x000a_2024" dataDxfId="299" dataCellStyle="Comma"/>
    <tableColumn id="176" xr3:uid="{CDCAE4D0-3464-4E6A-B287-A47C69B70BDC}" name="Jul_x000a_2024" dataDxfId="298" dataCellStyle="Comma"/>
    <tableColumn id="177" xr3:uid="{CBD02648-1229-4E1E-8150-3A9D024E5769}" name="Aug_x000a_2024" dataDxfId="297" dataCellStyle="Comma"/>
    <tableColumn id="178" xr3:uid="{46727523-E1E0-4374-A715-A567451B17AF}" name="Sep_x000a_2024" dataDxfId="296" dataCellStyle="Comma"/>
    <tableColumn id="179" xr3:uid="{696AFBBB-A173-400F-A4FB-372F7A72C7B7}" name="Oct_x000a_2024" dataDxfId="295" dataCellStyle="Comma"/>
    <tableColumn id="180" xr3:uid="{7331AF53-6CFB-4929-A5CF-EF63700301CB}" name="Nov_x000a_2024" dataDxfId="294" dataCellStyle="Comma"/>
    <tableColumn id="181" xr3:uid="{93F5A69B-5337-4CB4-956A-0B228E958A88}" name="Dec_x000a_2024" dataDxfId="293" dataCellStyle="Comma"/>
    <tableColumn id="182" xr3:uid="{6C130B5C-89AD-47C8-8662-DD9C6A9D3E0B}" name="Jan_x000a_2025" dataDxfId="292" dataCellStyle="Comma"/>
    <tableColumn id="183" xr3:uid="{840F02B7-398E-4AED-9A86-EB94D8E65F8C}" name="Feb_x000a_2025" dataDxfId="291" dataCellStyle="Comma"/>
    <tableColumn id="184" xr3:uid="{3ED6AED8-C0C6-40C6-BA63-5F9917D4886C}" name="Mar_x000a_2025" dataDxfId="290" dataCellStyle="Comma"/>
    <tableColumn id="185" xr3:uid="{98384C8B-A0A9-4218-9676-F4A420631FD0}" name="Apr_x000a_2025" dataDxfId="289" dataCellStyle="Comma"/>
    <tableColumn id="186" xr3:uid="{59BB1611-52F4-4DBA-96D2-457A4C6ED54A}" name="May_x000a_2025" dataDxfId="288" dataCellStyle="Comma"/>
    <tableColumn id="187" xr3:uid="{55AA19B6-49AB-440D-8F6F-C33B16B2D68A}" name="Jun_x000a_2025" dataDxfId="287" dataCellStyle="Comma"/>
    <tableColumn id="188" xr3:uid="{BC11C60F-E019-4F6E-AAF7-A7E631C59576}" name="Jul_x000a_2025" dataDxfId="286" dataCellStyle="Comma"/>
    <tableColumn id="189" xr3:uid="{39187D59-9912-48C6-B9E4-ADA1D31CEBEA}" name="Aug_x000a_2025" dataDxfId="285" dataCellStyle="Comma"/>
    <tableColumn id="190" xr3:uid="{66643756-CF68-4797-9A44-D79E08259E83}" name="Sep_x000a_2025" dataDxfId="284" dataCellStyle="Comma"/>
    <tableColumn id="191" xr3:uid="{746B87D6-BBCE-4BA1-8E88-39BF40735CDF}" name="Oct_x000a_2025" dataDxfId="283" dataCellStyle="Comma"/>
    <tableColumn id="192" xr3:uid="{3945A913-575D-4246-86F3-A6135E89F6A4}" name="Nov_x000a_2025" dataDxfId="282" dataCellStyle="Comma"/>
    <tableColumn id="193" xr3:uid="{859C00F3-8435-4E55-BC4A-4CF563704E3F}" name="Dec_x000a_2025" dataDxfId="281" dataCellStyle="Comma"/>
    <tableColumn id="194" xr3:uid="{7ED5C71A-6657-4223-9CC9-018D990E6DAF}" name="Jan_x000a_2026" dataDxfId="280" dataCellStyle="Comma"/>
    <tableColumn id="195" xr3:uid="{B091437A-E806-43B3-BB87-7380BF47D273}" name="Feb_x000a_2026" dataDxfId="279" dataCellStyle="Comma"/>
    <tableColumn id="196" xr3:uid="{8166740A-967B-44A5-A16D-2A10B29C9097}" name="Mar_x000a_2026" dataDxfId="278" dataCellStyle="Comma"/>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000BCF8-1314-4D0D-93FE-A30E42AA3C73}" name="Cumulative_capacity_by_scheme21" displayName="Cumulative_capacity_by_scheme21" ref="A5:GP26" totalsRowShown="0" headerRowBorderDxfId="277">
  <tableColumns count="198">
    <tableColumn id="1" xr3:uid="{7FD787CA-8FE8-46D9-862A-0B46B0AD38AD}" name="CUMULATIVE CAPACITY (MW) [note 1]"/>
    <tableColumn id="2" xr3:uid="{D031D410-E8C7-4393-B43C-1CDF7A6FC9A1}" name="Jan _x000a_2010"/>
    <tableColumn id="3" xr3:uid="{B2C6BF5B-CA38-44BE-8854-C3DA0103827B}" name="Feb _x000a_2010"/>
    <tableColumn id="4" xr3:uid="{F36E6DFE-F8EA-4D37-83BA-AD0DA49002CE}" name="Mar _x000a_2010"/>
    <tableColumn id="5" xr3:uid="{428A0678-3A43-478D-AA7F-C80C51C97319}" name="Apr _x000a_2010"/>
    <tableColumn id="6" xr3:uid="{2C7B7A8C-AB84-481B-B0E6-D9860C0C3FAB}" name="May _x000a_2010"/>
    <tableColumn id="7" xr3:uid="{F23BB984-4210-4AEB-99E7-416B48365861}" name="Jun _x000a_2010"/>
    <tableColumn id="8" xr3:uid="{3F1133AC-EE11-411E-9C8C-0BF704188B9F}" name="Jul _x000a_2010"/>
    <tableColumn id="9" xr3:uid="{B46ECFB7-4E4D-4EBE-86DC-FBF12D6243ED}" name="Aug _x000a_2010"/>
    <tableColumn id="10" xr3:uid="{D4AAF945-AF98-43CC-B083-D6BBDDE776D6}" name="Sep _x000a_2010"/>
    <tableColumn id="11" xr3:uid="{9717D5C3-D471-400A-92F4-CF41313F946B}" name="Oct _x000a_2010"/>
    <tableColumn id="12" xr3:uid="{AEF19795-A7C8-4002-B7D6-9EE14C0C5736}" name="Nov _x000a_2010"/>
    <tableColumn id="13" xr3:uid="{4680BC60-100E-4088-8CA0-0AEBF8B85847}" name="Dec _x000a_2010"/>
    <tableColumn id="14" xr3:uid="{F8DAA348-7ED1-4095-BB8D-ACCF1244F0E2}" name="Jan _x000a_2011"/>
    <tableColumn id="15" xr3:uid="{DE47529F-ACE2-4D0E-BCDB-19E7736294CA}" name="Feb _x000a_2011"/>
    <tableColumn id="16" xr3:uid="{D240C372-B2F7-4FA2-AB83-2A8E0E092AAA}" name="Mar _x000a_2011"/>
    <tableColumn id="17" xr3:uid="{229A4D7A-71C9-40FF-8F42-3DD95EB04F9A}" name="Apr _x000a_2011"/>
    <tableColumn id="18" xr3:uid="{39828864-FBEE-49D8-BB0D-A677437CE2C3}" name="May _x000a_2011"/>
    <tableColumn id="19" xr3:uid="{9AF89FC7-8D43-4C90-9ED3-38E2FD821129}" name="Jun _x000a_2011"/>
    <tableColumn id="20" xr3:uid="{60D524B6-F898-4E0B-B284-FC3DE42F72EB}" name="Jul _x000a_2011"/>
    <tableColumn id="21" xr3:uid="{98DA0C35-1D39-4181-922F-C1A2A9CEF508}" name="Aug _x000a_2011"/>
    <tableColumn id="22" xr3:uid="{AEDC6AE9-B099-4DB8-B44A-9D9040D16964}" name="Sep _x000a_2011"/>
    <tableColumn id="23" xr3:uid="{4344263E-E735-477C-8B84-E2CCB79175F8}" name="Oct _x000a_2011"/>
    <tableColumn id="24" xr3:uid="{B48BECF4-089E-4A9C-87EC-B29552161D38}" name="Nov _x000a_2011"/>
    <tableColumn id="25" xr3:uid="{E59B3C13-229C-4F39-9220-09F5B0149BAF}" name="Dec _x000a_2011"/>
    <tableColumn id="26" xr3:uid="{E61F29C4-367D-41C7-8DE4-D86CD061C15B}" name="Jan _x000a_2012"/>
    <tableColumn id="27" xr3:uid="{1304F443-5E53-46E6-8C2F-C781D2747FC8}" name="Feb _x000a_2012"/>
    <tableColumn id="28" xr3:uid="{074C7242-11A4-4491-930B-993F6648A3BA}" name="Mar _x000a_2012"/>
    <tableColumn id="29" xr3:uid="{D43633DA-41F1-4059-B518-D50764DF1CAB}" name="Apr _x000a_2012"/>
    <tableColumn id="30" xr3:uid="{21CBAEC6-04F5-4D31-8B37-0C0DF9C88972}" name="May _x000a_2012"/>
    <tableColumn id="31" xr3:uid="{3632F553-BE22-4F12-91E0-B6252F2CFF8F}" name="Jun _x000a_2012"/>
    <tableColumn id="32" xr3:uid="{66DB304E-6938-49AB-AB9A-5B6451EC3F7E}" name="Jul _x000a_2012"/>
    <tableColumn id="33" xr3:uid="{75D82A0C-C1C6-49F3-A400-E683F5C329A1}" name="Aug _x000a_2012"/>
    <tableColumn id="34" xr3:uid="{4049528F-BF97-4494-BAEB-2BF18AAEAB51}" name="Sep _x000a_2012"/>
    <tableColumn id="35" xr3:uid="{01538003-F8D7-4732-A804-7B4138CFA287}" name="Oct _x000a_2012"/>
    <tableColumn id="36" xr3:uid="{92C5F787-899E-46A7-A0C1-61C34499067F}" name="Nov _x000a_2012"/>
    <tableColumn id="37" xr3:uid="{2CCA6541-DE57-4B47-A697-903BBAE21CDD}" name="Dec _x000a_2012"/>
    <tableColumn id="38" xr3:uid="{55884A47-0397-4850-B838-403F4D1518FF}" name="Jan _x000a_2013"/>
    <tableColumn id="39" xr3:uid="{106F9A4E-8A0B-4D40-8F3C-AEB0C486F43E}" name="Feb _x000a_2013"/>
    <tableColumn id="40" xr3:uid="{48A30348-C282-4B56-99CB-7D8CF7AA1089}" name="Mar _x000a_2013"/>
    <tableColumn id="41" xr3:uid="{B6D380D0-FFD7-47A8-8F04-FB4E345CA43B}" name="Apr _x000a_2013"/>
    <tableColumn id="42" xr3:uid="{EF6FDFFF-7368-4EB1-837A-E46052F18E9F}" name="May _x000a_2013"/>
    <tableColumn id="43" xr3:uid="{2C15894D-79D6-4E0B-913A-5E71E3070AF4}" name="Jun _x000a_2013"/>
    <tableColumn id="44" xr3:uid="{0F940F16-658D-4898-BE20-6DCF2AED4E79}" name="Jul _x000a_2013"/>
    <tableColumn id="45" xr3:uid="{43B6DE5B-44B1-4244-9A8A-2E445E3DD300}" name="Aug _x000a_2013"/>
    <tableColumn id="46" xr3:uid="{DD6E8BDE-1A25-4C21-BE06-97FDA6E34E2D}" name="Sep _x000a_2013"/>
    <tableColumn id="47" xr3:uid="{39CD9E61-B262-4762-B5A9-BB4013D091B5}" name="Oct _x000a_2013"/>
    <tableColumn id="48" xr3:uid="{74A8178B-8219-4404-8053-AE265F43B6FE}" name=" Nov _x000a_2013"/>
    <tableColumn id="49" xr3:uid="{21A767D6-98C6-4969-8F56-A319493C25EB}" name="Dec _x000a_2013"/>
    <tableColumn id="50" xr3:uid="{1BF65B28-6816-4BE2-8A6E-87A21F94E0F1}" name="Jan _x000a_2014"/>
    <tableColumn id="51" xr3:uid="{8339DDC8-89DA-47C2-8CBC-AC21303B2051}" name="Feb _x000a_2014"/>
    <tableColumn id="52" xr3:uid="{4D862702-D8E3-4B93-8097-1C10E06DA2D2}" name="Mar _x000a_2014"/>
    <tableColumn id="53" xr3:uid="{85CFF778-DDAA-4D77-9FB5-91C62A33BADC}" name="Apr _x000a_2014"/>
    <tableColumn id="54" xr3:uid="{10855367-1431-4DB6-A32D-24447F476257}" name="May _x000a_2014"/>
    <tableColumn id="55" xr3:uid="{128C7534-F5DD-4319-AED8-63BB15ADB05C}" name="Jun _x000a_2014"/>
    <tableColumn id="56" xr3:uid="{D730C91C-A714-4251-943C-60892B4EB599}" name="Jul _x000a_2014"/>
    <tableColumn id="57" xr3:uid="{B161DB71-7D43-4CF8-A773-47E356D31AB2}" name="Aug _x000a_2014"/>
    <tableColumn id="58" xr3:uid="{6ABFDD80-9276-48F4-A0EE-8DA096DF3A5F}" name="Sep _x000a_2014"/>
    <tableColumn id="59" xr3:uid="{9F8C2B1B-E5DF-4CB0-8FAB-10FCA23221B2}" name="Oct _x000a_2014"/>
    <tableColumn id="60" xr3:uid="{32D9AAAE-23FA-454B-9B65-208B77D28AA3}" name="Nov _x000a_2014"/>
    <tableColumn id="61" xr3:uid="{3B827370-D89D-496D-897A-E41E92085E04}" name="Dec _x000a_2014"/>
    <tableColumn id="62" xr3:uid="{DC8AEA70-FB9C-4B86-B7FF-A4E9F83E2E4A}" name="Jan _x000a_2015"/>
    <tableColumn id="63" xr3:uid="{9808966D-FFBB-4916-A94F-1D2C780DBBDE}" name="Feb _x000a_2015"/>
    <tableColumn id="64" xr3:uid="{59B7D347-D11F-40E7-A862-942E87427EA5}" name="Mar _x000a_2015"/>
    <tableColumn id="65" xr3:uid="{71D08A95-31EF-495C-9882-3E5794E6D4D3}" name="Apr _x000a_2015"/>
    <tableColumn id="66" xr3:uid="{81360987-09BD-4C9D-85DC-6A4914EFA14D}" name="May _x000a_2015"/>
    <tableColumn id="67" xr3:uid="{192A95E4-B825-4713-AFBB-8256F092CC1D}" name="Jun _x000a_2015"/>
    <tableColumn id="68" xr3:uid="{29009EA9-D960-41F9-A9B9-929A9FD77A03}" name="Jul _x000a_2015"/>
    <tableColumn id="69" xr3:uid="{D8D04556-3136-4FB1-A06B-FA549CE819EE}" name="Aug _x000a_2015"/>
    <tableColumn id="70" xr3:uid="{999ED120-462A-49FE-B83A-ACC10BB2BB3F}" name="Sep _x000a_2015"/>
    <tableColumn id="71" xr3:uid="{EBF9E55C-7F5B-41BE-9646-2C15DF7E778F}" name="Oct _x000a_2015"/>
    <tableColumn id="72" xr3:uid="{EA6916B1-0867-4F38-B2D3-1B5A355407F9}" name="Nov _x000a_2015"/>
    <tableColumn id="73" xr3:uid="{DE13DA3F-2545-4EBB-AB25-84C72A3AA0BC}" name="Dec _x000a_2015"/>
    <tableColumn id="74" xr3:uid="{4E96D318-E815-4F7C-9D50-FE60959538D6}" name="Jan _x000a_2016"/>
    <tableColumn id="75" xr3:uid="{A8D5006B-F05E-44A4-A968-5A9D2B98A731}" name="Feb _x000a_2016"/>
    <tableColumn id="76" xr3:uid="{BC3D5159-6316-4FFD-A084-93FD0FCED2E1}" name="Mar _x000a_2016"/>
    <tableColumn id="77" xr3:uid="{D4AF6D26-8954-4938-B18E-0B6D839B1EAF}" name="Apr _x000a_2016"/>
    <tableColumn id="78" xr3:uid="{FB5D559A-80B4-40CE-A730-E4576728A65A}" name="May _x000a_2016"/>
    <tableColumn id="79" xr3:uid="{372687BE-CC82-4AC4-9165-B9C632FBA3E8}" name="Jun _x000a_2016"/>
    <tableColumn id="80" xr3:uid="{36D999D6-05F0-4340-BDC0-E889C5A1CA84}" name="Jul _x000a_2016"/>
    <tableColumn id="81" xr3:uid="{ED4F91EA-A1F1-4E8E-9D66-06041C43D8B2}" name="Aug _x000a_2016"/>
    <tableColumn id="82" xr3:uid="{1D06F9F6-49FA-4140-A888-2911934077E0}" name="Sep _x000a_2016"/>
    <tableColumn id="83" xr3:uid="{6C4D2F1C-CF0D-4012-BF19-04F7488AF409}" name="Oct _x000a_2016"/>
    <tableColumn id="84" xr3:uid="{006F01A3-5DA4-41C6-91EB-94E4117FF09F}" name="Nov _x000a_2016"/>
    <tableColumn id="85" xr3:uid="{2949BD58-1F7B-489E-8568-F96868E25D6A}" name="Dec _x000a_2016"/>
    <tableColumn id="86" xr3:uid="{139EDAB7-9C24-4946-9DE1-D41384D4DBF0}" name="Jan _x000a_2017"/>
    <tableColumn id="87" xr3:uid="{5A12B630-2996-4DF0-8E90-952B1979FC67}" name="Feb _x000a_2017"/>
    <tableColumn id="88" xr3:uid="{DAB1B8E2-A500-4589-9A8A-CF53E9DE84E7}" name="Mar _x000a_2017"/>
    <tableColumn id="89" xr3:uid="{59B2EFB5-DE1A-4022-9EEB-62E9323262CE}" name="Apr _x000a_2017"/>
    <tableColumn id="90" xr3:uid="{2E68F7AB-E73D-4B7E-8C9F-D895E26CEEBD}" name="May _x000a_2017"/>
    <tableColumn id="91" xr3:uid="{CEAED2C0-564D-418C-93D7-5DB2127B0D51}" name="Jun _x000a_2017"/>
    <tableColumn id="92" xr3:uid="{A6920FD3-869C-404B-A773-B0713C766F8D}" name="Jul _x000a_2017"/>
    <tableColumn id="93" xr3:uid="{8537B258-04FF-4A88-997E-67712E64963C}" name="Aug _x000a_2017"/>
    <tableColumn id="94" xr3:uid="{67995D97-C344-4A06-8EF0-96A0D99F0ED0}" name="Sep _x000a_2017"/>
    <tableColumn id="95" xr3:uid="{62EFFE04-7F31-4378-AAC3-2E091DBDCBA6}" name="Oct _x000a_2017"/>
    <tableColumn id="96" xr3:uid="{E2207FD8-982F-47D3-83F6-86C19B31D291}" name="Nov _x000a_2017"/>
    <tableColumn id="97" xr3:uid="{41E406C9-EB0C-4B6D-ACEA-3C4F3E004543}" name="Dec _x000a_2017"/>
    <tableColumn id="98" xr3:uid="{6359F542-25B6-4696-B33C-61EFFDE32F90}" name="Jan _x000a_2018"/>
    <tableColumn id="99" xr3:uid="{71B21485-C0BA-42B1-9D3C-7532AE726C20}" name="Feb _x000a_2018"/>
    <tableColumn id="100" xr3:uid="{86AB44A3-3291-4B69-BB79-10F8AE2E58E6}" name="Mar _x000a_2018"/>
    <tableColumn id="101" xr3:uid="{FD4E2729-296C-47FB-BD7A-66A8FA9FB31C}" name="Apr _x000a_2018"/>
    <tableColumn id="102" xr3:uid="{7957FBA0-459E-48EF-9D4E-A8E51FD30AEC}" name="May _x000a_2018"/>
    <tableColumn id="103" xr3:uid="{7B03BBFD-982D-445E-BEC2-FDC1C82E7B03}" name="Jun _x000a_2018"/>
    <tableColumn id="104" xr3:uid="{D60B3A75-EF3F-4FE3-A203-0C14A59F73DE}" name="Jul _x000a_2018"/>
    <tableColumn id="105" xr3:uid="{1B244675-0410-4F84-B629-D6634028E2BD}" name="Aug _x000a_2018"/>
    <tableColumn id="106" xr3:uid="{ECD7B689-A6A2-4CB9-ADE0-114A42284209}" name="Sep _x000a_2018"/>
    <tableColumn id="107" xr3:uid="{51DB8E3C-9CAE-4B16-8173-F84A95101A58}" name="Oct _x000a_2018"/>
    <tableColumn id="108" xr3:uid="{4833F59A-DA52-4313-B0A3-FEBE0D1FAB21}" name="Nov _x000a_2018"/>
    <tableColumn id="109" xr3:uid="{DFB99B1F-CA70-4E0E-BB05-D19BBD2064E9}" name="Dec _x000a_2018"/>
    <tableColumn id="110" xr3:uid="{75A7CB5A-D412-4663-B3B0-AE34A66843BD}" name="Jan _x000a_2019" dataDxfId="276"/>
    <tableColumn id="111" xr3:uid="{458BE655-C9DB-4B56-BDA6-EB534DC4CE69}" name="Feb _x000a_2019"/>
    <tableColumn id="112" xr3:uid="{19D1BF70-0C66-488C-9CB7-D63877ED547E}" name="Mar _x000a_2019"/>
    <tableColumn id="113" xr3:uid="{D69AB214-5203-4EE2-9427-11878B618170}" name="Apr _x000a_2019"/>
    <tableColumn id="114" xr3:uid="{8EBC57FA-ABE2-4E15-84E2-94B67B577BD0}" name="May _x000a_2019"/>
    <tableColumn id="115" xr3:uid="{9DAD3301-B0B1-493E-88EF-A1134FBDC0F1}" name="Jun _x000a_2019"/>
    <tableColumn id="116" xr3:uid="{7578CE6F-C990-4015-BC96-208C12DF0D8D}" name="Jul _x000a_2019"/>
    <tableColumn id="117" xr3:uid="{C48CDA30-96F3-459F-B953-7FC637E3B69C}" name="Aug _x000a_2019"/>
    <tableColumn id="118" xr3:uid="{E1194EAD-8451-4A66-83A6-6645D4C3BC6A}" name="Sep _x000a_2019"/>
    <tableColumn id="119" xr3:uid="{98D07ED7-CB58-4AC8-A2D9-EC0B271FA13C}" name="Oct _x000a_2019"/>
    <tableColumn id="120" xr3:uid="{EAC3813E-1FB3-4785-ADBD-D4F5B1051BA7}" name="Nov _x000a_2019"/>
    <tableColumn id="121" xr3:uid="{E3579C86-21BC-4003-B82B-6D4CBB2F9996}" name="Dec _x000a_2019"/>
    <tableColumn id="122" xr3:uid="{EA03F338-86E6-4869-884B-08088C48EF06}" name="Jan _x000a_2020" dataDxfId="275"/>
    <tableColumn id="123" xr3:uid="{963B567A-611A-4441-B30C-F8975F3D4293}" name="Feb _x000a_2020"/>
    <tableColumn id="124" xr3:uid="{D430156D-3C79-4D15-9098-63D46FB8B465}" name="Mar _x000a_2020"/>
    <tableColumn id="125" xr3:uid="{4FACD5B2-B8C3-4001-9B06-13B95592F497}" name="Apr _x000a_2020"/>
    <tableColumn id="126" xr3:uid="{ADE84C36-EB07-448A-90AB-B8331F7D2AC6}" name="May _x000a_2020"/>
    <tableColumn id="127" xr3:uid="{E1A92240-1DDF-4973-AC1D-0B79AC36C718}" name="Jun _x000a_2020"/>
    <tableColumn id="128" xr3:uid="{D68ABB99-A55E-4A0A-B6D6-BB117CE3CFCA}" name="Jul _x000a_2020"/>
    <tableColumn id="129" xr3:uid="{75BDA2AD-50F1-4382-A5C4-77427EFD1BC7}" name="Aug _x000a_2020"/>
    <tableColumn id="130" xr3:uid="{872DC270-3AC8-4CF7-826A-28914891D57C}" name="Sep  _x000a_2020"/>
    <tableColumn id="131" xr3:uid="{70748CC9-1537-424D-B968-75DFF7FDC3FF}" name="Oct _x000a_2020"/>
    <tableColumn id="132" xr3:uid="{613A36B4-28C5-4A37-90BE-E0B6C2271BCE}" name="Nov _x000a_2020"/>
    <tableColumn id="133" xr3:uid="{3E2F7492-5483-48E8-85A6-1812F960C811}" name="Dec _x000a_2020"/>
    <tableColumn id="134" xr3:uid="{F73C3514-7168-4A1A-8D3C-D97EC9A1072E}" name="Jan _x000a_2021" dataDxfId="274"/>
    <tableColumn id="135" xr3:uid="{42A571B3-B3C8-4EE5-A00D-CD6D89B97884}" name="Feb _x000a_2021"/>
    <tableColumn id="136" xr3:uid="{4518879B-8D4D-4153-9D90-3A15BB7DA814}" name="Mar _x000a_2021"/>
    <tableColumn id="137" xr3:uid="{0FEEFD39-9F3F-4B4C-9272-916329274973}" name="Apr _x000a_2021"/>
    <tableColumn id="138" xr3:uid="{8F1A6734-97CE-47AC-82C0-FA64C19EDF35}" name="May _x000a_2021"/>
    <tableColumn id="139" xr3:uid="{C9AAF9ED-1FFF-4851-B79A-8670FFA2F87B}" name="Jun _x000a_2021"/>
    <tableColumn id="140" xr3:uid="{4BB407F5-C5B0-47C7-9587-76F7C981C067}" name="Jul_x000a_2021" dataDxfId="273" dataCellStyle="Comma"/>
    <tableColumn id="141" xr3:uid="{CF07BC5E-E08A-4B6D-86F5-E8CACD3F249D}" name="Aug _x000a_2021" dataDxfId="272" dataCellStyle="Comma"/>
    <tableColumn id="142" xr3:uid="{1D59C4A3-BEDC-43C7-B3EB-2E10B630C2D6}" name="Sep_x000a_2021" dataDxfId="271" dataCellStyle="Comma"/>
    <tableColumn id="143" xr3:uid="{7A24045F-7B55-417A-B4F4-9DAE305D2561}" name="Oct_x000a_2021" dataDxfId="270" dataCellStyle="Comma"/>
    <tableColumn id="144" xr3:uid="{A372E8CF-C173-46E7-A750-EA568F1412A3}" name="Nov_x000a_2021" dataDxfId="269" dataCellStyle="Comma"/>
    <tableColumn id="145" xr3:uid="{BD518FF0-BC72-4DCE-A3DE-BDC9161A469C}" name="Dec_x000a_2021" dataDxfId="268" dataCellStyle="Comma"/>
    <tableColumn id="146" xr3:uid="{348AAD24-F161-4931-BE8A-337D8F154388}" name="Jan_x000a_2022" dataDxfId="267" dataCellStyle="Comma"/>
    <tableColumn id="147" xr3:uid="{61C9F36C-9E0A-46D0-B4D9-6A89F032661E}" name="Feb_x000a_2022" dataDxfId="266" dataCellStyle="Comma"/>
    <tableColumn id="148" xr3:uid="{A15068DC-EBF9-4F26-9A69-25C33EB506E5}" name="Mar_x000a_2022" dataDxfId="265" dataCellStyle="Comma"/>
    <tableColumn id="149" xr3:uid="{CD224FA0-BEC7-4A38-8352-DA7A6E8B8A1B}" name="Apr_x000a_2022" dataDxfId="264" dataCellStyle="Comma"/>
    <tableColumn id="150" xr3:uid="{B25D0F66-3C39-4C2C-9656-A64D1615E45B}" name="May_x000a_2022" dataDxfId="263" dataCellStyle="Comma"/>
    <tableColumn id="151" xr3:uid="{F369E5FE-8380-4A4B-905F-839537717A6D}" name="Jun_x000a_2022" dataDxfId="262" dataCellStyle="Comma"/>
    <tableColumn id="152" xr3:uid="{3411C906-AC9C-4B99-AE68-78AC4038A9EC}" name="Jul_x000a_2022" dataDxfId="261" dataCellStyle="Comma"/>
    <tableColumn id="153" xr3:uid="{293033CC-10AC-43E0-82AB-B3A2B2B0586C}" name="Aug _x000a_2022" dataDxfId="260" dataCellStyle="Comma"/>
    <tableColumn id="154" xr3:uid="{F2FA590A-6E22-46DF-9838-8470A7533938}" name="Sep_x000a_2022" dataDxfId="259" dataCellStyle="Comma"/>
    <tableColumn id="157" xr3:uid="{807A19A1-C1FB-45D4-BEE1-C8E2921C0BA6}" name="Oct_x000a_2022" dataDxfId="258" dataCellStyle="Comma"/>
    <tableColumn id="155" xr3:uid="{30CDF8AF-D7CA-4270-8E46-0A3A1B9119D5}" name="Nov_x000a_2022" dataDxfId="257" dataCellStyle="Comma"/>
    <tableColumn id="156" xr3:uid="{7E4626FF-BFA9-4D7D-A31C-E9617CE9BA61}" name="Dec_x000a_2022" dataDxfId="256" dataCellStyle="Comma"/>
    <tableColumn id="158" xr3:uid="{4557C152-3BD6-4AF8-8327-47C94DAE2021}" name="Jan_x000a_2023" dataDxfId="255" dataCellStyle="Comma"/>
    <tableColumn id="159" xr3:uid="{87599314-6EB0-4E72-A79A-E9229B98271C}" name="Feb_x000a_2023" dataDxfId="254" dataCellStyle="Comma"/>
    <tableColumn id="160" xr3:uid="{D52B9D64-0CDB-4063-83BF-A670A9593ED3}" name="Mar_x000a_2023" dataDxfId="253" dataCellStyle="Comma"/>
    <tableColumn id="161" xr3:uid="{4FD5AA8D-69DE-437A-B38D-365429473ECC}" name="Apr_x000a_2023" dataDxfId="252" dataCellStyle="Comma"/>
    <tableColumn id="162" xr3:uid="{797CE1F3-4C49-4FB4-80E8-C8E1F07B8DF0}" name="May_x000a_2023" dataDxfId="251" dataCellStyle="Comma"/>
    <tableColumn id="163" xr3:uid="{083847A9-FB92-475D-9EAB-6C4824908880}" name="Jun_x000a_2023" dataDxfId="250" dataCellStyle="Comma"/>
    <tableColumn id="164" xr3:uid="{3D6CEFBF-0175-48CE-B42E-BE0C91D7E590}" name="Jul_x000a_2023" dataDxfId="249" dataCellStyle="Comma"/>
    <tableColumn id="165" xr3:uid="{D2FC74B1-5A73-4CC6-8711-67ADAFA4CF9C}" name="Aug_x000a_2023" dataDxfId="248" dataCellStyle="Comma"/>
    <tableColumn id="166" xr3:uid="{FE704642-A8D0-4EFD-BC17-D2835E33A6CE}" name="Sep_x000a_2023" dataDxfId="247" dataCellStyle="Comma"/>
    <tableColumn id="167" xr3:uid="{47C2384B-2A80-41E2-8BA9-656F3A322B9A}" name="Oct_x000a_2023" dataDxfId="246" dataCellStyle="Comma"/>
    <tableColumn id="168" xr3:uid="{178CD1F8-6413-4737-84B7-84EF547F4A75}" name="Nov_x000a_2023" dataDxfId="245" dataCellStyle="Comma"/>
    <tableColumn id="169" xr3:uid="{2F8CFC78-9F7D-4EB5-811B-7C7E54E595F9}" name="Dec_x000a_2023" dataDxfId="244" dataCellStyle="Comma"/>
    <tableColumn id="170" xr3:uid="{F391C10D-0E90-4543-9EED-255BE489FDDC}" name="Jan_x000a_2024" dataDxfId="243" dataCellStyle="Comma"/>
    <tableColumn id="171" xr3:uid="{F03CC58E-197A-43F3-865B-E8D7EF05C12A}" name="Feb_x000a_2024" dataDxfId="242" dataCellStyle="Comma"/>
    <tableColumn id="172" xr3:uid="{2DD9BE1D-D54E-44FC-8D6A-7C6C429B70B0}" name="Mar_x000a_2024" dataDxfId="241" dataCellStyle="Comma"/>
    <tableColumn id="174" xr3:uid="{24D1A827-7ECF-4303-9A1D-271C00B7DFB9}" name="Apr_x000a_2024" dataDxfId="240" dataCellStyle="Comma"/>
    <tableColumn id="175" xr3:uid="{258E52F6-BF9D-4B93-B786-18FBA4B6F514}" name="May_x000a_2024" dataDxfId="239" dataCellStyle="Comma"/>
    <tableColumn id="173" xr3:uid="{AAC09173-E5CB-47CB-AFDB-BCA16A026797}" name="Jun_x000a_2024" dataDxfId="238" dataCellStyle="Comma"/>
    <tableColumn id="176" xr3:uid="{A249A1E9-97D9-4775-B91A-066DB1F3EDD6}" name="Jul_x000a_2024" dataDxfId="237" dataCellStyle="Comma"/>
    <tableColumn id="177" xr3:uid="{7F343CDC-2F70-4448-9B5A-FA2162A1548D}" name="Aug_x000a_2024" dataDxfId="236" dataCellStyle="Comma"/>
    <tableColumn id="178" xr3:uid="{D434EAF6-0576-4CC2-A570-F70886973010}" name="Sep_x000a_2024" dataDxfId="235" dataCellStyle="Comma"/>
    <tableColumn id="179" xr3:uid="{34F9E526-8435-454C-88EB-7BC58F59CC43}" name="Oct_x000a_2024" dataDxfId="234" dataCellStyle="Comma"/>
    <tableColumn id="180" xr3:uid="{23742291-206D-4ED0-AC1C-341AAA67F85D}" name="Nov_x000a_2024" dataDxfId="233" dataCellStyle="Comma"/>
    <tableColumn id="181" xr3:uid="{CA094E57-8137-406C-B7F9-D934A3DDFC2B}" name="Dec_x000a_2024" dataDxfId="232" dataCellStyle="Comma"/>
    <tableColumn id="182" xr3:uid="{BE103ECD-9291-47BC-81D6-219733D9F87E}" name="Jan_x000a_2025" dataDxfId="231" dataCellStyle="Comma"/>
    <tableColumn id="183" xr3:uid="{53C1B73E-ECFD-44B2-A073-252924F5670C}" name="Feb_x000a_2025" dataDxfId="230" dataCellStyle="Comma"/>
    <tableColumn id="184" xr3:uid="{17598B60-C34C-40FC-9CD5-4D825CA2DE8E}" name="Mar_x000a_2025" dataDxfId="229" dataCellStyle="Comma"/>
    <tableColumn id="185" xr3:uid="{3CB71815-9138-42EE-9AB5-84904CAB8CD0}" name="Apr_x000a_2025" dataDxfId="228" dataCellStyle="Comma"/>
    <tableColumn id="186" xr3:uid="{D4857E1A-897F-4B32-BB92-50748C017557}" name="May_x000a_2025" dataDxfId="227" dataCellStyle="Comma"/>
    <tableColumn id="187" xr3:uid="{4D045F30-3E74-4496-838B-FCB6EA0A132D}" name="Jun_x000a_2025" dataDxfId="226" dataCellStyle="Comma"/>
    <tableColumn id="188" xr3:uid="{5713478F-97F2-437C-8629-3D096B6C344F}" name="Jul_x000a_2025" dataDxfId="225" dataCellStyle="Comma"/>
    <tableColumn id="189" xr3:uid="{82A5FE52-BBB6-44FE-949D-327FDAA5423A}" name="Aug_x000a_2025" dataDxfId="224" dataCellStyle="Comma"/>
    <tableColumn id="190" xr3:uid="{43C6C473-456A-44B1-992D-FF0FFD7DE5A1}" name="Sep_x000a_2025" dataDxfId="223" dataCellStyle="Comma"/>
    <tableColumn id="191" xr3:uid="{5EA85B6B-442C-4690-AD95-1A00C0369964}" name="Oct_x000a_2025" dataDxfId="222" dataCellStyle="Comma"/>
    <tableColumn id="192" xr3:uid="{019976D2-9484-45F3-B2A4-87076D91DC77}" name="Nov_x000a_2025" dataDxfId="221" dataCellStyle="Comma"/>
    <tableColumn id="193" xr3:uid="{423DAB87-D523-41CC-883E-BC9D60470526}" name="Dec_x000a_2025" dataDxfId="220" dataCellStyle="Comma"/>
    <tableColumn id="194" xr3:uid="{0F6CD3B4-C444-4506-8347-83092174A6A8}" name="Jan_x000a_2026" dataDxfId="219" dataCellStyle="Comma"/>
    <tableColumn id="195" xr3:uid="{50D38CED-A59D-4D6E-B712-147A48B409C2}" name="Feb_x000a_2026" dataDxfId="218" dataCellStyle="Comma"/>
    <tableColumn id="196" xr3:uid="{45A1A471-9770-4C76-B681-A3019FA0678C}" name="Mar_x000a_2026" dataDxfId="217" dataCellStyle="Comma"/>
    <tableColumn id="197" xr3:uid="{1DB00CB5-6DCE-47C9-9388-7E7174441969}" name="Apr_x000a_2026" dataDxfId="216" dataCellStyle="Comma"/>
    <tableColumn id="198" xr3:uid="{269B3664-0E6C-4029-A0AC-0E3986AF2970}" name="May_x000a_2026" dataDxfId="215" dataCellStyle="Comma"/>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534A48F-C79E-4CA1-8DD0-9A1FAD9ADDC6}" name="Cumulative_count_by_scheme22" displayName="Cumulative_count_by_scheme22" ref="A28:GP49" totalsRowShown="0" headerRowDxfId="214" dataDxfId="212" headerRowBorderDxfId="213" tableBorderDxfId="211" dataCellStyle="Comma">
  <tableColumns count="198">
    <tableColumn id="1" xr3:uid="{4DFA4164-8E38-489C-B70D-3EB497160EC4}" name="CUMULATIVE COUNT" dataDxfId="210"/>
    <tableColumn id="2" xr3:uid="{1FB0D5B6-449E-4EC2-9C11-5EC6A2CD79F5}" name="Jan _x000a_2010" dataDxfId="209" dataCellStyle="Comma"/>
    <tableColumn id="3" xr3:uid="{808348C8-18F7-474E-8428-29B17C483FEB}" name="Feb _x000a_2010" dataDxfId="208" dataCellStyle="Comma"/>
    <tableColumn id="4" xr3:uid="{5732ADD4-AA67-4426-863D-7A14045ED936}" name="Mar _x000a_2010" dataDxfId="207" dataCellStyle="Comma"/>
    <tableColumn id="5" xr3:uid="{A1BE46F8-ACB4-436C-B1B3-3DC7B35BA99F}" name="Apr _x000a_2010" dataDxfId="206" dataCellStyle="Comma"/>
    <tableColumn id="6" xr3:uid="{26609223-C057-4B18-9C49-8F99BBB999F7}" name="May _x000a_2010" dataDxfId="205" dataCellStyle="Comma"/>
    <tableColumn id="7" xr3:uid="{CC245900-8D20-4B34-BE9F-417ED8B07B7F}" name="Jun _x000a_2010" dataDxfId="204" dataCellStyle="Comma"/>
    <tableColumn id="8" xr3:uid="{0E0465F1-C11B-4C76-A46D-191E7AC2318E}" name="Jul _x000a_2010" dataDxfId="203" dataCellStyle="Comma"/>
    <tableColumn id="9" xr3:uid="{7F15ACEC-27F1-496F-AA8E-A3DBC03654DB}" name="Aug _x000a_2010" dataDxfId="202" dataCellStyle="Comma"/>
    <tableColumn id="10" xr3:uid="{442E58F1-AF0D-4349-AE73-3F6F9A731EFA}" name="Sep _x000a_2010" dataDxfId="201" dataCellStyle="Comma"/>
    <tableColumn id="11" xr3:uid="{1CA665E1-873F-4F6D-A71B-769DBA3A84D2}" name="Oct _x000a_2010" dataDxfId="200" dataCellStyle="Comma"/>
    <tableColumn id="12" xr3:uid="{1FB4E246-C611-48E1-BFFE-6AAFAFF51725}" name="Nov _x000a_2010" dataDxfId="199" dataCellStyle="Comma"/>
    <tableColumn id="13" xr3:uid="{9C79DAB8-8FEE-41FF-B7A6-1E61C84360E5}" name="Dec _x000a_2010" dataDxfId="198" dataCellStyle="Comma"/>
    <tableColumn id="14" xr3:uid="{5CCFF4FF-9C4E-486B-A64C-F88600EF1400}" name="Jan _x000a_2011" dataDxfId="197" dataCellStyle="Comma"/>
    <tableColumn id="15" xr3:uid="{6E7E3614-E211-4083-B17F-DA836ADF04C5}" name="Feb _x000a_2011" dataDxfId="196" dataCellStyle="Comma"/>
    <tableColumn id="16" xr3:uid="{0800668D-F66C-4F09-A2A0-4465789D7CBC}" name="Mar _x000a_2011" dataDxfId="195" dataCellStyle="Comma"/>
    <tableColumn id="17" xr3:uid="{46356434-3984-41DE-9B23-2F290F8A2385}" name="Apr _x000a_2011" dataDxfId="194" dataCellStyle="Comma"/>
    <tableColumn id="18" xr3:uid="{5B3B4CB4-FB10-4D66-AE5D-663DCC64B1C5}" name="May _x000a_2011" dataDxfId="193" dataCellStyle="Comma"/>
    <tableColumn id="19" xr3:uid="{6F934D5F-923B-4B84-B27B-E909E9661217}" name="Jun _x000a_2011" dataDxfId="192" dataCellStyle="Comma"/>
    <tableColumn id="20" xr3:uid="{8CF22520-5E0A-4855-8B78-624872B60241}" name="Jul _x000a_2011" dataDxfId="191" dataCellStyle="Comma"/>
    <tableColumn id="21" xr3:uid="{F51A2117-A7CD-430D-BBB7-EF34A3B942A4}" name="Aug _x000a_2011" dataDxfId="190" dataCellStyle="Comma"/>
    <tableColumn id="22" xr3:uid="{D3891AFD-BFFC-477C-A59E-2400DC17CF42}" name="Sep _x000a_2011" dataDxfId="189" dataCellStyle="Comma"/>
    <tableColumn id="23" xr3:uid="{0F253FC5-A42A-4C35-B07D-DFFDAFB4B7D3}" name="Oct _x000a_2011" dataDxfId="188" dataCellStyle="Comma"/>
    <tableColumn id="24" xr3:uid="{8B45F97D-820A-4207-86A5-A4CF2CB337D1}" name="Nov _x000a_2011" dataDxfId="187" dataCellStyle="Comma"/>
    <tableColumn id="25" xr3:uid="{9161FB46-777F-4B6B-8232-6AF3D46E2086}" name="Dec _x000a_2011" dataDxfId="186" dataCellStyle="Comma"/>
    <tableColumn id="26" xr3:uid="{DC44F33B-EB64-4F59-A86A-572D74DC5971}" name="Jan _x000a_2012" dataDxfId="185" dataCellStyle="Comma"/>
    <tableColumn id="27" xr3:uid="{50AEDB88-77D9-49CE-B59C-BA3A14D7AA6B}" name="Feb _x000a_2012" dataDxfId="184" dataCellStyle="Comma"/>
    <tableColumn id="28" xr3:uid="{8D81B8B8-355D-4789-922B-F537DAA95510}" name="Mar _x000a_2012" dataDxfId="183" dataCellStyle="Comma"/>
    <tableColumn id="29" xr3:uid="{A00A6FAD-CEE0-4176-8166-11E70BBCEC9A}" name="Apr _x000a_2012" dataDxfId="182" dataCellStyle="Comma"/>
    <tableColumn id="30" xr3:uid="{9A3664F5-E7AE-4B5E-A12E-53A4190C5A85}" name="May _x000a_2012" dataDxfId="181" dataCellStyle="Comma"/>
    <tableColumn id="31" xr3:uid="{D06A2280-D822-46C1-A419-D03F32276506}" name="Jun _x000a_2012" dataDxfId="180" dataCellStyle="Comma"/>
    <tableColumn id="32" xr3:uid="{5CC8EE3B-6AF1-499E-9467-5B63AC736D32}" name="Jul _x000a_2012" dataDxfId="179" dataCellStyle="Comma"/>
    <tableColumn id="33" xr3:uid="{6AADF830-D13B-4ADF-92C5-3F16ADBAA55E}" name="Aug _x000a_2012" dataDxfId="178" dataCellStyle="Comma"/>
    <tableColumn id="34" xr3:uid="{DB099F2A-5C7A-4BBD-A418-8EA6610D9F52}" name="Sep _x000a_2012" dataDxfId="177" dataCellStyle="Comma"/>
    <tableColumn id="35" xr3:uid="{0EBB4940-9237-4014-B91F-B122F3C16A55}" name="Oct _x000a_2012" dataDxfId="176" dataCellStyle="Comma"/>
    <tableColumn id="36" xr3:uid="{312B0636-91C3-46B0-B8BB-B8C8607BB936}" name="Nov _x000a_2012" dataDxfId="175" dataCellStyle="Comma"/>
    <tableColumn id="37" xr3:uid="{883107DF-4232-4AF1-93CC-80357686FA74}" name="Dec _x000a_2012" dataDxfId="174" dataCellStyle="Comma"/>
    <tableColumn id="38" xr3:uid="{8D9845C1-62CA-4657-85F0-47D5F75F8EDD}" name="Jan _x000a_2013" dataDxfId="173" dataCellStyle="Comma"/>
    <tableColumn id="39" xr3:uid="{4A93FA42-D502-4F0D-A0FC-4B5762C1DF4C}" name="Feb _x000a_2013" dataDxfId="172" dataCellStyle="Comma"/>
    <tableColumn id="40" xr3:uid="{D98918CB-85FD-400C-A55A-4191CA81879F}" name="Mar _x000a_2013" dataDxfId="171" dataCellStyle="Comma"/>
    <tableColumn id="41" xr3:uid="{EAF3F5AD-5CB4-403F-9D7E-66965EEC3D52}" name="Apr _x000a_2013" dataDxfId="170" dataCellStyle="Comma"/>
    <tableColumn id="42" xr3:uid="{B63AFCA6-DEB1-4549-8450-60D8F570326A}" name="May _x000a_2013" dataDxfId="169" dataCellStyle="Comma"/>
    <tableColumn id="43" xr3:uid="{AA449803-10E9-40B9-AC8D-2BDEB7CCE6EE}" name="Jun _x000a_2013" dataDxfId="168" dataCellStyle="Comma"/>
    <tableColumn id="44" xr3:uid="{21F842CC-4B2C-4CC3-9E12-3B8DD538F316}" name="Jul _x000a_2013" dataDxfId="167" dataCellStyle="Comma"/>
    <tableColumn id="45" xr3:uid="{6B927370-67D2-4338-936C-0F0445266158}" name="Aug _x000a_2013" dataDxfId="166" dataCellStyle="Comma"/>
    <tableColumn id="46" xr3:uid="{32F84AFC-23A5-4C5E-8EA3-CEB9B61C556D}" name="Sep _x000a_2013" dataDxfId="165" dataCellStyle="Comma"/>
    <tableColumn id="47" xr3:uid="{C5088291-9461-4B95-8CEA-D675C1605222}" name="Oct _x000a_2013" dataDxfId="164" dataCellStyle="Comma"/>
    <tableColumn id="48" xr3:uid="{334E9B1A-27DC-4632-8D47-21F2A90EFA9D}" name=" Nov _x000a_2013" dataDxfId="163" dataCellStyle="Comma"/>
    <tableColumn id="49" xr3:uid="{D086D931-3206-4856-9783-E3AB09BCDA19}" name="Dec _x000a_2013" dataDxfId="162" dataCellStyle="Comma"/>
    <tableColumn id="50" xr3:uid="{DA3900B3-FF17-45BF-84F9-A37B5566D692}" name="Jan _x000a_2014" dataDxfId="161" dataCellStyle="Comma"/>
    <tableColumn id="51" xr3:uid="{0E6A46DD-D721-40BA-B40D-B9FCC4226B9C}" name="Feb _x000a_2014" dataDxfId="160" dataCellStyle="Comma"/>
    <tableColumn id="52" xr3:uid="{94355B8C-3560-4789-8B04-949460634DEA}" name="Mar _x000a_2014" dataDxfId="159" dataCellStyle="Comma"/>
    <tableColumn id="53" xr3:uid="{C9C55A98-2766-481F-9B1D-9EF9314676D8}" name="Apr _x000a_2014" dataDxfId="158" dataCellStyle="Comma"/>
    <tableColumn id="54" xr3:uid="{B2922EBC-7449-4EF0-AD3C-8B752D4FEB73}" name="May _x000a_2014" dataDxfId="157" dataCellStyle="Comma"/>
    <tableColumn id="55" xr3:uid="{7D38498A-78FD-41B8-8730-F662029E0362}" name="Jun _x000a_2014" dataDxfId="156" dataCellStyle="Comma"/>
    <tableColumn id="56" xr3:uid="{B3D177F1-6C9F-4A5B-9BE8-C63358A11D37}" name="Jul _x000a_2014" dataDxfId="155" dataCellStyle="Comma"/>
    <tableColumn id="57" xr3:uid="{668A0712-EAD4-4225-B026-B39D172C1A58}" name="Aug _x000a_2014" dataDxfId="154" dataCellStyle="Comma"/>
    <tableColumn id="58" xr3:uid="{E86B9845-622B-4D8E-A704-82C0FD15DC47}" name="Sep _x000a_2014" dataDxfId="153" dataCellStyle="Comma"/>
    <tableColumn id="59" xr3:uid="{88BADFB7-88BA-4028-B4CF-D6CC8A3D76D4}" name="Oct _x000a_2014" dataDxfId="152" dataCellStyle="Comma"/>
    <tableColumn id="60" xr3:uid="{B0E01271-4DE2-482E-AA4E-7E9768BEF3E3}" name="Nov _x000a_2014" dataDxfId="151" dataCellStyle="Comma"/>
    <tableColumn id="61" xr3:uid="{41C2D5DB-BB34-4C2D-A883-72697D14087D}" name="Dec _x000a_2014" dataDxfId="150" dataCellStyle="Comma"/>
    <tableColumn id="62" xr3:uid="{33AB85AE-BB1B-45D6-B71E-8FC3D57CA3B7}" name="Jan _x000a_2015" dataDxfId="149" dataCellStyle="Comma"/>
    <tableColumn id="63" xr3:uid="{E254D5C2-C14A-4FD9-8446-A44C6F380214}" name="Feb _x000a_2015" dataDxfId="148" dataCellStyle="Comma"/>
    <tableColumn id="64" xr3:uid="{27580698-E28E-464F-A7C3-4574B8A74035}" name="Mar _x000a_2015" dataDxfId="147" dataCellStyle="Comma"/>
    <tableColumn id="65" xr3:uid="{D03D5F52-8D08-4BCF-A1A6-1910D4B78769}" name="Apr _x000a_2015" dataDxfId="146" dataCellStyle="Comma"/>
    <tableColumn id="66" xr3:uid="{E458C0CE-9FE7-421E-9C3B-65601AA75361}" name="May _x000a_2015" dataDxfId="145" dataCellStyle="Comma"/>
    <tableColumn id="67" xr3:uid="{F7E90554-DF54-47EE-A977-08FD3DC0D690}" name="Jun _x000a_2015" dataDxfId="144" dataCellStyle="Comma"/>
    <tableColumn id="68" xr3:uid="{BF157E68-1AE7-40F4-96EF-145C2D5F8BD0}" name="Jul _x000a_2015" dataDxfId="143" dataCellStyle="Comma"/>
    <tableColumn id="69" xr3:uid="{6F8F10D5-E1E9-4095-8C30-1FEDFB276388}" name="Aug _x000a_2015" dataDxfId="142" dataCellStyle="Comma"/>
    <tableColumn id="70" xr3:uid="{2F01E473-B1CD-4486-9E76-5FE7EF9F3DA9}" name="Sep _x000a_2015" dataDxfId="141" dataCellStyle="Comma"/>
    <tableColumn id="71" xr3:uid="{F8CDC0FD-B226-473E-9129-9769DE03B038}" name="Oct _x000a_2015" dataDxfId="140" dataCellStyle="Comma"/>
    <tableColumn id="72" xr3:uid="{CB6100AD-79DF-4BBE-8470-3C4619F9B508}" name="Nov _x000a_2015" dataDxfId="139" dataCellStyle="Comma"/>
    <tableColumn id="73" xr3:uid="{2B4EFDC4-22A6-4C6D-AAC0-D7DEFEFE272B}" name="Dec _x000a_2015" dataDxfId="138" dataCellStyle="Comma"/>
    <tableColumn id="74" xr3:uid="{25F99EC4-F25C-4239-A6C9-1C8649345370}" name="Jan _x000a_2016" dataDxfId="137" dataCellStyle="Comma"/>
    <tableColumn id="75" xr3:uid="{B4752234-E8E8-4C33-9DE5-525B6CDC4C1D}" name="Feb _x000a_2016" dataDxfId="136" dataCellStyle="Comma"/>
    <tableColumn id="76" xr3:uid="{313D4866-24AC-4F6D-988A-90FB7EB71D10}" name="Mar _x000a_2016" dataDxfId="135" dataCellStyle="Comma"/>
    <tableColumn id="77" xr3:uid="{D0147CA9-FE60-4CB1-B0B8-B9699BCE122C}" name="Apr _x000a_2016" dataDxfId="134" dataCellStyle="Comma"/>
    <tableColumn id="78" xr3:uid="{D3EF6BF7-1448-481A-B546-DD08BE7C494B}" name="May _x000a_2016" dataDxfId="133" dataCellStyle="Comma"/>
    <tableColumn id="79" xr3:uid="{E4001353-7C88-4D28-A9DC-15590393B053}" name="Jun _x000a_2016" dataDxfId="132" dataCellStyle="Comma"/>
    <tableColumn id="80" xr3:uid="{091FDE76-E39C-4F86-9688-063C9EA96EEF}" name="Jul _x000a_2016" dataDxfId="131" dataCellStyle="Comma"/>
    <tableColumn id="81" xr3:uid="{271B0D18-2E77-4B04-97A5-8C10F8A76C2D}" name="Aug _x000a_2016" dataDxfId="130" dataCellStyle="Comma"/>
    <tableColumn id="82" xr3:uid="{47F19217-941D-42D1-A885-9331C20FA837}" name="Sep _x000a_2016" dataDxfId="129" dataCellStyle="Comma"/>
    <tableColumn id="83" xr3:uid="{3A33570D-3394-4BCA-88DA-E687238B44DB}" name="Oct _x000a_2016" dataDxfId="128" dataCellStyle="Comma"/>
    <tableColumn id="84" xr3:uid="{D2B47076-6310-4B7F-BC10-77EFDD06D1F2}" name="Nov _x000a_2016" dataDxfId="127" dataCellStyle="Comma"/>
    <tableColumn id="85" xr3:uid="{A491EE56-68ED-4A2D-B875-D2782DCA27AB}" name="Dec _x000a_2016" dataDxfId="126" dataCellStyle="Comma"/>
    <tableColumn id="86" xr3:uid="{88AE3945-001B-42D6-93C0-D40F3AB1B23A}" name="Jan _x000a_2017" dataDxfId="125" dataCellStyle="Comma"/>
    <tableColumn id="87" xr3:uid="{E2C870E8-7142-404D-B9C9-E8C68C5F9D57}" name="Feb _x000a_2017" dataDxfId="124" dataCellStyle="Comma"/>
    <tableColumn id="88" xr3:uid="{AD79A2B7-C799-4F1B-B6CA-F832FBA47256}" name="Mar _x000a_2017" dataDxfId="123" dataCellStyle="Comma"/>
    <tableColumn id="89" xr3:uid="{5B326AC3-C080-4CC2-95C1-5B12643D98E8}" name="Apr _x000a_2017" dataDxfId="122" dataCellStyle="Comma"/>
    <tableColumn id="90" xr3:uid="{64F7FC65-EFE3-4BF8-86B5-726D94D9001C}" name="May _x000a_2017" dataDxfId="121" dataCellStyle="Comma"/>
    <tableColumn id="91" xr3:uid="{B6329396-99FE-4841-86CC-4CFC18625C4E}" name="Jun _x000a_2017" dataDxfId="120" dataCellStyle="Comma"/>
    <tableColumn id="92" xr3:uid="{23CC4DC8-23BA-4DC6-8356-34BA1CAEF064}" name="Jul _x000a_2017" dataDxfId="119" dataCellStyle="Comma"/>
    <tableColumn id="93" xr3:uid="{EBBDD4BC-A0FA-4895-ABDD-15E7759145C8}" name="Aug _x000a_2017" dataDxfId="118" dataCellStyle="Comma"/>
    <tableColumn id="94" xr3:uid="{C8D34302-C77A-4B68-9DB2-484CC55A5D73}" name="Sep _x000a_2017" dataDxfId="117" dataCellStyle="Comma"/>
    <tableColumn id="95" xr3:uid="{CFB97BDB-9A9E-4463-A732-9D75F37BBA49}" name="Oct _x000a_2017" dataDxfId="116" dataCellStyle="Comma"/>
    <tableColumn id="96" xr3:uid="{CBE928B6-ED3D-428A-A27D-194763E98B69}" name="Nov _x000a_2017" dataDxfId="115" dataCellStyle="Comma"/>
    <tableColumn id="97" xr3:uid="{81E9D0AE-6DBB-43BD-AEED-80B38FD3C457}" name="Dec _x000a_2017" dataDxfId="114" dataCellStyle="Comma"/>
    <tableColumn id="98" xr3:uid="{3C447348-D43D-4DFC-A709-89B4DE802830}" name="Jan _x000a_2018" dataDxfId="113" dataCellStyle="Comma"/>
    <tableColumn id="99" xr3:uid="{8B0965EC-D592-49F1-AABE-F636200A36B2}" name="Feb _x000a_2018" dataDxfId="112" dataCellStyle="Comma"/>
    <tableColumn id="100" xr3:uid="{D748E56F-3DC3-4EAB-ADDA-7B8308EAEAB4}" name="Mar _x000a_2018" dataDxfId="111" dataCellStyle="Comma"/>
    <tableColumn id="101" xr3:uid="{670A9660-087C-451A-BD6E-D776EC8B1C0E}" name="Apr _x000a_2018" dataDxfId="110" dataCellStyle="Comma"/>
    <tableColumn id="102" xr3:uid="{32F130E9-B838-4CB4-9697-56A4D88791D8}" name="May _x000a_2018" dataDxfId="109" dataCellStyle="Comma"/>
    <tableColumn id="103" xr3:uid="{33285F3D-8548-495B-AB93-DAC3F8539715}" name="Jun _x000a_2018" dataDxfId="108" dataCellStyle="Comma"/>
    <tableColumn id="104" xr3:uid="{6C761376-437E-4529-AAAE-2C5BED8A8A04}" name="Jul _x000a_2018" dataDxfId="107" dataCellStyle="Comma"/>
    <tableColumn id="105" xr3:uid="{1E354B4A-6B32-4FE2-945F-56B0F015CC8E}" name="Aug _x000a_2018" dataDxfId="106" dataCellStyle="Comma"/>
    <tableColumn id="106" xr3:uid="{961BE23F-0100-472D-9DAB-A670DBD0B01D}" name="Sep _x000a_2018" dataDxfId="105" dataCellStyle="Comma"/>
    <tableColumn id="107" xr3:uid="{B22F4070-D3CF-4519-86F4-716FB454A715}" name="Oct _x000a_2018" dataDxfId="104" dataCellStyle="Comma"/>
    <tableColumn id="108" xr3:uid="{4F5BEF29-A605-4310-844B-5C8566017113}" name="Nov _x000a_2018" dataDxfId="103" dataCellStyle="Comma"/>
    <tableColumn id="109" xr3:uid="{34FA3788-0F3F-473E-8E1E-6674FDABAC72}" name="Dec _x000a_2018" dataDxfId="102" dataCellStyle="Comma"/>
    <tableColumn id="110" xr3:uid="{05724588-DA8C-4C01-BFE6-5FE48F1BFA96}" name="Jan _x000a_2019" dataDxfId="101" dataCellStyle="Comma"/>
    <tableColumn id="111" xr3:uid="{8BDC108D-E331-4C2D-8881-883129261A02}" name="Feb _x000a_2019" dataDxfId="100" dataCellStyle="Comma"/>
    <tableColumn id="112" xr3:uid="{0422A69D-4C44-407D-A8D3-3A01BA4953E9}" name="Mar _x000a_2019" dataDxfId="99" dataCellStyle="Comma"/>
    <tableColumn id="113" xr3:uid="{F12537CE-CEFF-4D1A-A36E-D279583ABC04}" name="Apr _x000a_2019" dataDxfId="98" dataCellStyle="Comma"/>
    <tableColumn id="114" xr3:uid="{3B39E3D1-4E98-4B70-BEF7-93FCC692D4FE}" name="May _x000a_2019" dataDxfId="97" dataCellStyle="Comma"/>
    <tableColumn id="115" xr3:uid="{6784052E-A887-4473-8949-1769167B56D2}" name="Jun _x000a_2019" dataDxfId="96" dataCellStyle="Comma"/>
    <tableColumn id="116" xr3:uid="{965BB6DC-5877-4A23-93F6-CB88925BBBAF}" name="Jul _x000a_2019" dataDxfId="95" dataCellStyle="Comma"/>
    <tableColumn id="117" xr3:uid="{A4E7F85C-DE3F-4681-B44A-E731DA46BB84}" name="Aug _x000a_2019" dataDxfId="94" dataCellStyle="Comma"/>
    <tableColumn id="118" xr3:uid="{A94C49A2-498C-4FE3-80DD-3E0CB94C8503}" name="Sep _x000a_2019" dataDxfId="93" dataCellStyle="Comma"/>
    <tableColumn id="119" xr3:uid="{0484CF14-351E-4DF7-B8B4-048AE3015618}" name="Oct _x000a_2019" dataDxfId="92" dataCellStyle="Comma"/>
    <tableColumn id="120" xr3:uid="{45AD100D-BBD1-4C47-8C14-672BDD3330FD}" name="Nov _x000a_2019" dataDxfId="91" dataCellStyle="Comma"/>
    <tableColumn id="121" xr3:uid="{9E72D762-C9A8-4325-9ACE-00882B554F98}" name="Dec _x000a_2019" dataDxfId="90" dataCellStyle="Comma"/>
    <tableColumn id="122" xr3:uid="{0B140C5C-F562-460E-B86E-692A7EDFF820}" name="Jan _x000a_2020" dataDxfId="89" dataCellStyle="Comma"/>
    <tableColumn id="123" xr3:uid="{A05D7B9C-4429-4048-9BAE-65E37991AC1C}" name="Feb _x000a_2020" dataDxfId="88" dataCellStyle="Comma"/>
    <tableColumn id="124" xr3:uid="{C6DDA339-4EE2-4265-984D-8AFFFB134F3A}" name="Mar _x000a_2020" dataDxfId="87" dataCellStyle="Comma"/>
    <tableColumn id="125" xr3:uid="{3A8BBCC8-F3B8-4213-BF7F-FB25D1D705C7}" name="Apr _x000a_2020" dataDxfId="86" dataCellStyle="Comma"/>
    <tableColumn id="126" xr3:uid="{9E93B609-0DFF-4E8B-AFD6-B38E1B69BE4B}" name="May _x000a_2020" dataDxfId="85" dataCellStyle="Comma"/>
    <tableColumn id="127" xr3:uid="{D45C7923-F344-4ACE-829E-DFEEF338BCF8}" name="Jun _x000a_2020" dataDxfId="84" dataCellStyle="Comma"/>
    <tableColumn id="128" xr3:uid="{CF780370-0290-4BBD-A5E0-166F93F5C92B}" name="Jul _x000a_2020" dataDxfId="83" dataCellStyle="Comma"/>
    <tableColumn id="129" xr3:uid="{22DA8FCA-E3BC-40D6-B23D-6E855853356B}" name="Aug _x000a_2020" dataDxfId="82" dataCellStyle="Comma"/>
    <tableColumn id="130" xr3:uid="{4E075B5B-2E70-490B-A62E-BE007823119F}" name="Sep  _x000a_2020" dataDxfId="81" dataCellStyle="Comma"/>
    <tableColumn id="131" xr3:uid="{8071076F-9A34-4B23-B3D0-0A7DD4DE3064}" name="Oct _x000a_2020" dataDxfId="80" dataCellStyle="Comma"/>
    <tableColumn id="132" xr3:uid="{B92F86E1-C690-48CD-A8B9-EB65B472579C}" name="Nov _x000a_2020" dataDxfId="79" dataCellStyle="Comma"/>
    <tableColumn id="133" xr3:uid="{096DC5C5-3683-4A79-B234-604AA161E931}" name="Dec _x000a_2020" dataDxfId="78" dataCellStyle="Comma"/>
    <tableColumn id="134" xr3:uid="{21359127-6332-4F89-9443-E2F7E08FAA56}" name="Jan _x000a_2021" dataDxfId="77" dataCellStyle="Comma"/>
    <tableColumn id="135" xr3:uid="{D2AFF37F-6EF1-4551-B71F-386C20013761}" name="Feb _x000a_2021" dataDxfId="76" dataCellStyle="Comma"/>
    <tableColumn id="136" xr3:uid="{8AE8277C-F2E2-4F23-921D-3DDDEA95B910}" name="Mar _x000a_2021" dataDxfId="75" dataCellStyle="Comma"/>
    <tableColumn id="137" xr3:uid="{C9109327-A6CF-461D-8278-990A709BF2E0}" name="Apr _x000a_2021" dataDxfId="74" dataCellStyle="Comma"/>
    <tableColumn id="138" xr3:uid="{23C39E14-B789-44A2-986E-2B51DF75DE41}" name="May _x000a_2021" dataDxfId="73" dataCellStyle="Comma"/>
    <tableColumn id="139" xr3:uid="{A5BC7C3B-8997-4E5F-90F8-F97E1215E88D}" name="Jun _x000a_2021" dataDxfId="72" dataCellStyle="Comma"/>
    <tableColumn id="140" xr3:uid="{FCB5147F-56D7-4D88-8E99-28FF3BD8A165}" name="Jul_x000a_2021" dataDxfId="71" dataCellStyle="Comma"/>
    <tableColumn id="141" xr3:uid="{531EDAF3-2586-4697-A5AD-A155F43B841C}" name="Aug _x000a_2021" dataDxfId="70" dataCellStyle="Comma"/>
    <tableColumn id="142" xr3:uid="{A3EF3BF0-D13A-4CE6-867E-4EC1FDB6B3EC}" name="Sep_x000a_2021" dataDxfId="69" dataCellStyle="Comma"/>
    <tableColumn id="143" xr3:uid="{143D56C4-C6C6-49AC-B660-43C7A25975E4}" name="Oct_x000a_2021" dataDxfId="68" dataCellStyle="Comma"/>
    <tableColumn id="144" xr3:uid="{58B6EFE8-3143-4E21-B2F3-E81EFB42F9CA}" name="Nov_x000a_2021" dataDxfId="67" dataCellStyle="Comma"/>
    <tableColumn id="145" xr3:uid="{5DE73FD3-F626-45E9-A4FE-3ABBBFE39900}" name="Dec_x000a_2022" dataDxfId="66" dataCellStyle="Comma"/>
    <tableColumn id="146" xr3:uid="{D8452CF6-7D73-492B-B9FA-1996DB1191C0}" name="Jan_x000a_2022" dataDxfId="65" dataCellStyle="Comma"/>
    <tableColumn id="147" xr3:uid="{738D0E35-DE9E-4936-ADE3-ABBE944A2A06}" name="Feb_x000a_2022" dataDxfId="64" dataCellStyle="Comma"/>
    <tableColumn id="148" xr3:uid="{695C5D3B-7DB4-4432-AA45-015D21116632}" name="Mar_x000a_2022" dataDxfId="63" dataCellStyle="Comma"/>
    <tableColumn id="149" xr3:uid="{FD744A63-3508-473F-9DDC-AC1D4103240A}" name="Apr_x000a_2022" dataDxfId="62" dataCellStyle="Comma"/>
    <tableColumn id="150" xr3:uid="{D5F451FD-EAAD-4143-AD0B-8E7074D897E2}" name="May_x000a_2022" dataDxfId="61" dataCellStyle="Comma"/>
    <tableColumn id="151" xr3:uid="{89B1830F-D0FE-4389-A7B1-B2169319FF47}" name="Jun_x000a_2022" dataDxfId="60" dataCellStyle="Comma"/>
    <tableColumn id="152" xr3:uid="{063369A4-DA1A-4C3A-9241-981955015641}" name="Jul_x000a_2022" dataDxfId="59" dataCellStyle="Comma"/>
    <tableColumn id="153" xr3:uid="{55378066-B408-44F1-8DEE-1CD0189B4A90}" name="Aug _x000a_2022" dataDxfId="58" dataCellStyle="Comma"/>
    <tableColumn id="154" xr3:uid="{28717E58-110B-4067-9679-83638915B03A}" name="Sep_x000a_2022" dataDxfId="57" dataCellStyle="Comma"/>
    <tableColumn id="155" xr3:uid="{7B5D7BEF-F3BD-464D-AEA9-3C1FC819E31D}" name="Oct_x000a_2022" dataDxfId="56" dataCellStyle="Comma"/>
    <tableColumn id="156" xr3:uid="{1298D8A2-6DDB-47A3-B775-2AF9EA581CDE}" name="Nov_x000a_2022" dataDxfId="55" dataCellStyle="Comma"/>
    <tableColumn id="157" xr3:uid="{5EB4584F-1294-438B-BFC1-F5B94FCEDBEF}" name="Dec_x000a_2023" dataDxfId="54" dataCellStyle="Comma"/>
    <tableColumn id="158" xr3:uid="{6F20D11A-7D2B-4F03-8AE4-C55304E25A54}" name="Jan_x000a_2023" dataDxfId="53" dataCellStyle="Comma"/>
    <tableColumn id="159" xr3:uid="{D6B14D5A-6F25-4956-B144-5AB164C7ECF0}" name="Feb_x000a_2023" dataDxfId="52" dataCellStyle="Comma"/>
    <tableColumn id="160" xr3:uid="{2639B869-EBB5-430F-9ACA-F0FEACA3163F}" name="Mar_x000a_2023" dataDxfId="51" dataCellStyle="Comma"/>
    <tableColumn id="161" xr3:uid="{62A305A7-738D-446D-A4B6-17512846969B}" name="Apr_x000a_2023" dataDxfId="50" dataCellStyle="Comma"/>
    <tableColumn id="162" xr3:uid="{02262A2E-87EF-43F0-932A-C6D6879683C1}" name="May_x000a_2023" dataDxfId="49" dataCellStyle="Comma"/>
    <tableColumn id="163" xr3:uid="{2D9C4B9F-A0F1-4506-BC04-58F5D4D66BDD}" name="Jun_x000a_2023" dataDxfId="48" dataCellStyle="Comma"/>
    <tableColumn id="164" xr3:uid="{29DD07D0-7446-4456-9DE0-42851C73C5D0}" name="Jul_x000a_2023" dataDxfId="47" dataCellStyle="Comma"/>
    <tableColumn id="165" xr3:uid="{C709AB7F-2602-4E0C-9E78-39758DF1D8AA}" name="Aug_x000a_2023" dataDxfId="46" dataCellStyle="Comma"/>
    <tableColumn id="166" xr3:uid="{BDBB5FE0-65FF-4D57-9B41-FC607A0EAC92}" name="Sep_x000a_2023" dataDxfId="45" dataCellStyle="Comma"/>
    <tableColumn id="167" xr3:uid="{94E432C3-7C78-4CD7-8286-B113B8A4E5B0}" name="Oct_x000a_2023" dataDxfId="44" dataCellStyle="Comma"/>
    <tableColumn id="168" xr3:uid="{EA0F350E-0876-43C5-A0DA-8C5064477889}" name="Nov_x000a_2023" dataDxfId="43" dataCellStyle="Comma"/>
    <tableColumn id="169" xr3:uid="{F131387B-A563-4110-AF6A-4A5A18B5BA77}" name="Dec_x000a_20232" dataDxfId="42" dataCellStyle="Comma"/>
    <tableColumn id="170" xr3:uid="{0E87F760-8070-43ED-BE59-7762BA511474}" name="Jan_x000a_2024" dataDxfId="41" dataCellStyle="Comma"/>
    <tableColumn id="171" xr3:uid="{37B3BFD6-2690-45A2-A7EF-91F541FAB19E}" name="Feb_x000a_2024" dataDxfId="40" dataCellStyle="Comma"/>
    <tableColumn id="172" xr3:uid="{0C283722-1184-4157-A47C-7EFC69C6BBC4}" name="Mar_x000a_2024" dataDxfId="39" dataCellStyle="Comma"/>
    <tableColumn id="173" xr3:uid="{5CEF8D3A-4636-407F-957C-CF5AC17E6DFC}" name="Apr_x000a_2024" dataDxfId="38" dataCellStyle="Comma"/>
    <tableColumn id="174" xr3:uid="{D3D42D65-A888-4E63-8D60-A7B1B05358F0}" name="May_x000a_2024" dataDxfId="37" dataCellStyle="Comma"/>
    <tableColumn id="175" xr3:uid="{7BEC1F0C-11E8-4FC6-9076-497393A25BC4}" name="Jun_x000a_2024" dataDxfId="36" dataCellStyle="Comma"/>
    <tableColumn id="176" xr3:uid="{285F8EE9-5DF2-43A5-8E41-5164E599198F}" name="Jul_x000a_2024" dataDxfId="35" dataCellStyle="Comma"/>
    <tableColumn id="177" xr3:uid="{A435F1E9-AD2E-418E-93AB-C009EE81063C}" name="Aug_x000a_2024" dataDxfId="34" dataCellStyle="Comma"/>
    <tableColumn id="178" xr3:uid="{9A225B2E-7C09-415F-ADDF-3CAE8110261F}" name="Sep_x000a_2024" dataDxfId="33" dataCellStyle="Comma"/>
    <tableColumn id="179" xr3:uid="{F7179167-08F7-4B92-BAB5-0C8EBB5D5F93}" name="Oct_x000a_2024" dataDxfId="32" dataCellStyle="Comma"/>
    <tableColumn id="180" xr3:uid="{04AD1E11-8D99-44F2-BCF0-F43E9067272E}" name="Nov_x000a_2024" dataDxfId="31" dataCellStyle="Comma"/>
    <tableColumn id="181" xr3:uid="{CB4A6E0C-AE32-49A7-8332-E00811E6EA71}" name="Dec_x000a_2024" dataDxfId="30" dataCellStyle="Comma"/>
    <tableColumn id="182" xr3:uid="{C9879B60-9B92-4273-A09C-947E93BC63B1}" name="Jan_x000a_2025" dataDxfId="29" dataCellStyle="Comma"/>
    <tableColumn id="183" xr3:uid="{D10C47FD-7B7D-49E9-956E-22BF2BC995DF}" name="Feb_x000a_2025" dataDxfId="28" dataCellStyle="Comma"/>
    <tableColumn id="184" xr3:uid="{EEBF8234-27AB-44C6-BA13-3FA15EE2890B}" name="Mar_x000a_2025" dataDxfId="27" dataCellStyle="Comma"/>
    <tableColumn id="185" xr3:uid="{AF4355A8-2890-4360-B78E-B829416EBBDE}" name="Apr_x000a_2025" dataDxfId="26" dataCellStyle="Comma"/>
    <tableColumn id="186" xr3:uid="{C1D5DE46-6F67-4200-85B5-4B019AE53996}" name="May_x000a_2025" dataDxfId="25" dataCellStyle="Comma"/>
    <tableColumn id="187" xr3:uid="{AEBE1840-E7B1-4A55-BECF-2AA91A75BEFC}" name="Jun_x000a_2025" dataDxfId="24" dataCellStyle="Comma"/>
    <tableColumn id="188" xr3:uid="{051B61C6-145F-4597-9EFC-913F309E5B1B}" name="Jul_x000a_2025" dataDxfId="23" dataCellStyle="Comma"/>
    <tableColumn id="189" xr3:uid="{CAF523A6-7402-4EEE-B7D6-63A73778B969}" name="Aug_x000a_2025" dataDxfId="22" dataCellStyle="Comma"/>
    <tableColumn id="190" xr3:uid="{9C4723BE-8E46-4783-BC72-6DB5767B442D}" name="Sep_x000a_2025" dataDxfId="21" dataCellStyle="Comma"/>
    <tableColumn id="191" xr3:uid="{F3ECB84E-6FED-4E62-BAC8-D39EEC68CD19}" name="Oct_x000a_2025" dataDxfId="20" dataCellStyle="Comma"/>
    <tableColumn id="192" xr3:uid="{8AB1AADE-A897-4066-A28B-112148D4E72E}" name="Nov_x000a_2025" dataDxfId="19" dataCellStyle="Comma"/>
    <tableColumn id="193" xr3:uid="{71E9B80C-634C-4F56-8E73-2D0E907EE0E3}" name="Dec_x000a_2025" dataDxfId="18" dataCellStyle="Comma"/>
    <tableColumn id="194" xr3:uid="{11CF3BCD-6215-4DA8-86B2-E5A43DDBA05D}" name="Jan_x000a_2026" dataDxfId="17" dataCellStyle="Comma"/>
    <tableColumn id="195" xr3:uid="{0C8C9542-C478-433D-B74D-58CDDD967F43}" name="Feb_x000a_2026" dataDxfId="16" dataCellStyle="Comma"/>
    <tableColumn id="196" xr3:uid="{B1C152E0-CB02-431B-86CB-93C3AF346B3F}" name="Mar_x000a_2026" dataDxfId="15" dataCellStyle="Comma"/>
    <tableColumn id="197" xr3:uid="{D6F7EE28-D0B9-451B-AAAE-3283528042E3}" name="Apr_x000a_2026" dataDxfId="14" dataCellStyle="Comma"/>
    <tableColumn id="198" xr3:uid="{19093991-B0AF-400F-86DA-FA0E89489ED0}" name="May_x000a_2026" dataDxfId="13" dataCellStyle="Comma"/>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11383D4-49B1-4F40-BE27-A714493CD0BB}" name="Domestic_PV_by_PC17" displayName="Domestic_PV_by_PC17" ref="A4:E671" totalsRowCount="1" headerRowDxfId="12" dataDxfId="10" headerRowBorderDxfId="11">
  <autoFilter ref="A4:E670" xr:uid="{00000000-0009-0000-0100-000014000000}">
    <filterColumn colId="0" hiddenButton="1"/>
    <filterColumn colId="1" hiddenButton="1"/>
    <filterColumn colId="2" hiddenButton="1"/>
    <filterColumn colId="3" hiddenButton="1"/>
    <filterColumn colId="4" hiddenButton="1"/>
  </autoFilter>
  <tableColumns count="5">
    <tableColumn id="1" xr3:uid="{D1A5D0D8-BC85-4C8C-A646-EA363D7DA880}" name="Constituency Code" dataDxfId="9" totalsRowDxfId="8"/>
    <tableColumn id="2" xr3:uid="{09FAFDBF-5A42-4F6E-8B16-887C6DF3B8D1}" name="Country/Region" dataDxfId="7" totalsRowDxfId="6" dataCellStyle="Normal 12 2"/>
    <tableColumn id="4" xr3:uid="{436168EC-6235-4D42-94D5-D13DAC9A6CD0}" name="Constituency" dataDxfId="5" totalsRowDxfId="4"/>
    <tableColumn id="5" xr3:uid="{086D47B9-763D-4E30-B4B6-155801C419C1}" name="Installed capacity (MW)" dataDxfId="3" totalsRowDxfId="2" dataCellStyle="Comma"/>
    <tableColumn id="6" xr3:uid="{9FF648DE-362A-4DB8-BFE3-5B1621764F61}" name="Number of installations" dataDxfId="1" totalsRowDxfId="0" dataCellStyle="Comma"/>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energy.stats@energysecurity.gov.uk" TargetMode="External"/><Relationship Id="rId2" Type="http://schemas.openxmlformats.org/officeDocument/2006/relationships/hyperlink" Target="mailto:newsdesk@energysecurity.gov.uk" TargetMode="External"/><Relationship Id="rId1" Type="http://schemas.openxmlformats.org/officeDocument/2006/relationships/hyperlink" Target="mailto:fitstatistics@energysecurity.gov.uk" TargetMode="External"/><Relationship Id="rId6" Type="http://schemas.openxmlformats.org/officeDocument/2006/relationships/printerSettings" Target="../printerSettings/printerSettings1.bin"/><Relationship Id="rId5" Type="http://schemas.openxmlformats.org/officeDocument/2006/relationships/hyperlink" Target="https://www.gov.uk/government/publications/desnz-standards-for-official-statistics/statistical-revisions-policy" TargetMode="External"/><Relationship Id="rId4" Type="http://schemas.openxmlformats.org/officeDocument/2006/relationships/hyperlink" Target="https://www.gov.uk/government/statistics/digest-of-uk-energy-statistics-dukes-2025"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gov.uk/government/publications/renewable-energy-planning-database-monthly-extract" TargetMode="External"/><Relationship Id="rId7" Type="http://schemas.openxmlformats.org/officeDocument/2006/relationships/table" Target="../tables/table2.xml"/><Relationship Id="rId2" Type="http://schemas.openxmlformats.org/officeDocument/2006/relationships/hyperlink" Target="https://www.renewablesandchp.ofgem.gov.uk/" TargetMode="External"/><Relationship Id="rId1" Type="http://schemas.openxmlformats.org/officeDocument/2006/relationships/hyperlink" Target="https://www.gov.uk/government/statistics/monthly-small-scale-renewable-deployment" TargetMode="External"/><Relationship Id="rId6" Type="http://schemas.openxmlformats.org/officeDocument/2006/relationships/printerSettings" Target="../printerSettings/printerSettings4.bin"/><Relationship Id="rId5" Type="http://schemas.openxmlformats.org/officeDocument/2006/relationships/hyperlink" Target="https://lowcarboncontracts.uk/cfds" TargetMode="External"/><Relationship Id="rId4" Type="http://schemas.openxmlformats.org/officeDocument/2006/relationships/hyperlink" Target="https://www.ofgem.gov.uk/environmental-programmes/feed-tariff-fit-scheme/feed-tariff-reports-and-statistics/installation-reports"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showGridLines="0" topLeftCell="A7" zoomScaleNormal="100" workbookViewId="0"/>
  </sheetViews>
  <sheetFormatPr defaultColWidth="8.81640625" defaultRowHeight="12.5" x14ac:dyDescent="0.25"/>
  <cols>
    <col min="1" max="1" width="151.1796875" style="10" customWidth="1"/>
    <col min="2" max="2" width="8.81640625" style="10" customWidth="1"/>
    <col min="3" max="16384" width="8.81640625" style="10"/>
  </cols>
  <sheetData>
    <row r="1" spans="1:1" s="1" customFormat="1" ht="45" customHeight="1" x14ac:dyDescent="0.35">
      <c r="A1" s="91" t="s">
        <v>1653</v>
      </c>
    </row>
    <row r="2" spans="1:1" s="1" customFormat="1" ht="45.25" customHeight="1" x14ac:dyDescent="0.35">
      <c r="A2" s="92" t="s">
        <v>1668</v>
      </c>
    </row>
    <row r="3" spans="1:1" s="1" customFormat="1" ht="25.5" customHeight="1" x14ac:dyDescent="0.55000000000000004">
      <c r="A3" s="93" t="s">
        <v>0</v>
      </c>
    </row>
    <row r="4" spans="1:1" s="1" customFormat="1" ht="43.5" customHeight="1" x14ac:dyDescent="0.35">
      <c r="A4" s="2" t="s">
        <v>1654</v>
      </c>
    </row>
    <row r="5" spans="1:1" s="1" customFormat="1" ht="28.5" customHeight="1" x14ac:dyDescent="0.5">
      <c r="A5" s="94" t="s">
        <v>1</v>
      </c>
    </row>
    <row r="6" spans="1:1" s="1" customFormat="1" ht="31" x14ac:dyDescent="0.35">
      <c r="A6" s="2" t="s">
        <v>1655</v>
      </c>
    </row>
    <row r="7" spans="1:1" s="1" customFormat="1" ht="27" customHeight="1" x14ac:dyDescent="0.5">
      <c r="A7" s="94" t="s">
        <v>2</v>
      </c>
    </row>
    <row r="8" spans="1:1" s="1" customFormat="1" ht="140.5" customHeight="1" x14ac:dyDescent="0.35">
      <c r="A8" s="2" t="s">
        <v>1641</v>
      </c>
    </row>
    <row r="9" spans="1:1" s="1" customFormat="1" ht="200.5" customHeight="1" x14ac:dyDescent="0.35">
      <c r="A9" s="2" t="s">
        <v>1639</v>
      </c>
    </row>
    <row r="10" spans="1:1" s="1" customFormat="1" ht="72" customHeight="1" x14ac:dyDescent="0.35">
      <c r="A10" s="2" t="s">
        <v>1640</v>
      </c>
    </row>
    <row r="11" spans="1:1" s="1" customFormat="1" ht="22.5" customHeight="1" x14ac:dyDescent="0.5">
      <c r="A11" s="95" t="s">
        <v>3</v>
      </c>
    </row>
    <row r="12" spans="1:1" s="1" customFormat="1" ht="55.5" customHeight="1" x14ac:dyDescent="0.35">
      <c r="A12" s="92" t="s">
        <v>1637</v>
      </c>
    </row>
    <row r="13" spans="1:1" s="1" customFormat="1" ht="27.75" customHeight="1" x14ac:dyDescent="0.5">
      <c r="A13" s="95" t="s">
        <v>4</v>
      </c>
    </row>
    <row r="14" spans="1:1" s="1" customFormat="1" ht="33.75" customHeight="1" x14ac:dyDescent="0.35">
      <c r="A14" s="92" t="s">
        <v>5</v>
      </c>
    </row>
    <row r="15" spans="1:1" s="6" customFormat="1" ht="17.149999999999999" customHeight="1" x14ac:dyDescent="0.35">
      <c r="A15" s="5" t="s">
        <v>6</v>
      </c>
    </row>
    <row r="16" spans="1:1" s="1" customFormat="1" ht="45" customHeight="1" x14ac:dyDescent="0.35">
      <c r="A16" s="2" t="s">
        <v>7</v>
      </c>
    </row>
    <row r="17" spans="1:1" s="1" customFormat="1" ht="20.149999999999999" customHeight="1" x14ac:dyDescent="0.35">
      <c r="A17" s="2" t="s">
        <v>8</v>
      </c>
    </row>
    <row r="18" spans="1:1" s="1" customFormat="1" ht="20.149999999999999" customHeight="1" x14ac:dyDescent="0.35">
      <c r="A18" s="2" t="s">
        <v>9</v>
      </c>
    </row>
    <row r="19" spans="1:1" s="1" customFormat="1" ht="20.149999999999999" customHeight="1" x14ac:dyDescent="0.35">
      <c r="A19" s="212" t="s">
        <v>10</v>
      </c>
    </row>
    <row r="20" spans="1:1" s="1" customFormat="1" ht="20.149999999999999" customHeight="1" x14ac:dyDescent="0.35">
      <c r="A20" s="212" t="s">
        <v>1642</v>
      </c>
    </row>
    <row r="21" spans="1:1" s="1" customFormat="1" ht="30" customHeight="1" x14ac:dyDescent="0.5">
      <c r="A21" s="4" t="s">
        <v>11</v>
      </c>
    </row>
    <row r="22" spans="1:1" s="1" customFormat="1" ht="20.149999999999999" customHeight="1" x14ac:dyDescent="0.45">
      <c r="A22" s="7" t="s">
        <v>12</v>
      </c>
    </row>
    <row r="23" spans="1:1" s="1" customFormat="1" ht="20.149999999999999" customHeight="1" x14ac:dyDescent="0.35">
      <c r="A23" s="2" t="s">
        <v>13</v>
      </c>
    </row>
    <row r="24" spans="1:1" s="1" customFormat="1" ht="20.149999999999999" customHeight="1" x14ac:dyDescent="0.35">
      <c r="A24" s="5" t="s">
        <v>14</v>
      </c>
    </row>
    <row r="25" spans="1:1" s="1" customFormat="1" ht="20.149999999999999" customHeight="1" x14ac:dyDescent="0.35">
      <c r="A25" s="2" t="s">
        <v>15</v>
      </c>
    </row>
    <row r="26" spans="1:1" s="1" customFormat="1" ht="20.149999999999999" customHeight="1" x14ac:dyDescent="0.45">
      <c r="A26" s="7" t="s">
        <v>16</v>
      </c>
    </row>
    <row r="27" spans="1:1" s="1" customFormat="1" ht="20.149999999999999" customHeight="1" x14ac:dyDescent="0.35">
      <c r="A27" s="5" t="s">
        <v>17</v>
      </c>
    </row>
    <row r="28" spans="1:1" s="1" customFormat="1" ht="20.149999999999999" customHeight="1" x14ac:dyDescent="0.35">
      <c r="A28" s="8" t="s">
        <v>18</v>
      </c>
    </row>
    <row r="29" spans="1:1" s="1" customFormat="1" ht="20.149999999999999" customHeight="1" x14ac:dyDescent="0.35">
      <c r="A29" s="9"/>
    </row>
  </sheetData>
  <hyperlinks>
    <hyperlink ref="A24" r:id="rId1" xr:uid="{00000000-0004-0000-0000-000002000000}"/>
    <hyperlink ref="A27" r:id="rId2" xr:uid="{00000000-0004-0000-0000-000003000000}"/>
    <hyperlink ref="A15" r:id="rId3" xr:uid="{B3A48FE9-F65B-4499-8261-1674A7E6BBED}"/>
    <hyperlink ref="A20" r:id="rId4" xr:uid="{1548612C-375C-4B15-8731-7C629CE53556}"/>
    <hyperlink ref="A19" r:id="rId5" xr:uid="{DE9AC4A1-8EA6-448A-B42E-06416B752FE3}"/>
  </hyperlinks>
  <pageMargins left="0.70000000000000007" right="0.70000000000000007" top="0.75" bottom="0.75" header="0.30000000000000004" footer="0.30000000000000004"/>
  <pageSetup paperSize="9" fitToWidth="0" fitToHeight="0"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796875" defaultRowHeight="12.5" x14ac:dyDescent="0.25"/>
  <cols>
    <col min="1" max="1" width="56.54296875" style="12" customWidth="1"/>
    <col min="2" max="2" width="105.81640625" style="12" customWidth="1"/>
    <col min="3" max="3" width="9.1796875" style="12" customWidth="1"/>
    <col min="4" max="16384" width="9.1796875" style="12"/>
  </cols>
  <sheetData>
    <row r="1" spans="1:2" s="1" customFormat="1" ht="45" customHeight="1" x14ac:dyDescent="0.35">
      <c r="A1" s="11" t="s">
        <v>19</v>
      </c>
      <c r="B1" s="12"/>
    </row>
    <row r="2" spans="1:2" s="1" customFormat="1" ht="20.149999999999999" customHeight="1" x14ac:dyDescent="0.35">
      <c r="A2" s="13" t="s">
        <v>20</v>
      </c>
      <c r="B2" s="12"/>
    </row>
    <row r="3" spans="1:2" s="1" customFormat="1" ht="20.149999999999999" customHeight="1" x14ac:dyDescent="0.35">
      <c r="A3" s="13" t="s">
        <v>21</v>
      </c>
      <c r="B3" s="12"/>
    </row>
    <row r="4" spans="1:2" s="1" customFormat="1" ht="30" customHeight="1" x14ac:dyDescent="0.5">
      <c r="A4" s="14" t="s">
        <v>19</v>
      </c>
      <c r="B4" s="14" t="s">
        <v>22</v>
      </c>
    </row>
    <row r="5" spans="1:2" s="1" customFormat="1" ht="20.149999999999999" customHeight="1" x14ac:dyDescent="0.35">
      <c r="A5" s="75" t="s">
        <v>23</v>
      </c>
      <c r="B5" s="72" t="s">
        <v>24</v>
      </c>
    </row>
    <row r="6" spans="1:2" s="1" customFormat="1" ht="20.149999999999999" customHeight="1" x14ac:dyDescent="0.35">
      <c r="A6" s="73" t="s">
        <v>19</v>
      </c>
      <c r="B6" s="72" t="s">
        <v>25</v>
      </c>
    </row>
    <row r="7" spans="1:2" s="1" customFormat="1" ht="20.149999999999999" customHeight="1" x14ac:dyDescent="0.35">
      <c r="A7" s="73" t="s">
        <v>26</v>
      </c>
      <c r="B7" s="72" t="s">
        <v>27</v>
      </c>
    </row>
    <row r="8" spans="1:2" s="1" customFormat="1" ht="20.149999999999999" customHeight="1" x14ac:dyDescent="0.35">
      <c r="A8" s="76" t="s">
        <v>28</v>
      </c>
      <c r="B8" s="72" t="s">
        <v>29</v>
      </c>
    </row>
    <row r="9" spans="1:2" s="1" customFormat="1" ht="20.149999999999999" customHeight="1" x14ac:dyDescent="0.35">
      <c r="A9" s="176" t="s">
        <v>1644</v>
      </c>
      <c r="B9" s="74" t="s">
        <v>1643</v>
      </c>
    </row>
    <row r="10" spans="1:2" s="1" customFormat="1" ht="20.149999999999999" customHeight="1" x14ac:dyDescent="0.35">
      <c r="A10" s="75" t="s">
        <v>30</v>
      </c>
      <c r="B10" s="74" t="s">
        <v>31</v>
      </c>
    </row>
    <row r="11" spans="1:2" s="1" customFormat="1" ht="38.15" customHeight="1" x14ac:dyDescent="0.35">
      <c r="A11" s="105" t="s">
        <v>32</v>
      </c>
      <c r="B11" s="74" t="s">
        <v>33</v>
      </c>
    </row>
    <row r="12" spans="1:2" s="1" customFormat="1" ht="15.5" x14ac:dyDescent="0.35">
      <c r="A12" s="176" t="s">
        <v>1661</v>
      </c>
      <c r="B12" s="74" t="s">
        <v>1662</v>
      </c>
    </row>
    <row r="13" spans="1:2" s="1" customFormat="1" ht="15.5" x14ac:dyDescent="0.35">
      <c r="A13" s="176" t="s">
        <v>1651</v>
      </c>
      <c r="B13" s="74" t="s">
        <v>1650</v>
      </c>
    </row>
    <row r="14" spans="1:2" s="1" customFormat="1" ht="18" customHeight="1" x14ac:dyDescent="0.35">
      <c r="A14" s="176" t="s">
        <v>1647</v>
      </c>
      <c r="B14" s="74" t="s">
        <v>1646</v>
      </c>
    </row>
    <row r="15" spans="1:2" ht="15.5" x14ac:dyDescent="0.25">
      <c r="A15" s="176" t="s">
        <v>1658</v>
      </c>
      <c r="B15" s="74" t="s">
        <v>1659</v>
      </c>
    </row>
    <row r="16" spans="1:2" ht="15.5" x14ac:dyDescent="0.25">
      <c r="A16" s="176" t="s">
        <v>1657</v>
      </c>
      <c r="B16" s="74" t="s">
        <v>1660</v>
      </c>
    </row>
  </sheetData>
  <phoneticPr fontId="35" type="noConversion"/>
  <hyperlinks>
    <hyperlink ref="A5" location="Cover_sheet!A1" display="Cover Sheet" xr:uid="{00000000-0004-0000-0100-000000000000}"/>
    <hyperlink ref="A6" location="Contents!A1" display="Contents" xr:uid="{00000000-0004-0000-0100-000001000000}"/>
    <hyperlink ref="A7" location="Commentary!A1" display="Commentary" xr:uid="{00000000-0004-0000-0100-000002000000}"/>
    <hyperlink ref="A8" location="Notes!A1" display="Notes" xr:uid="{00000000-0004-0000-0100-000003000000}"/>
    <hyperlink ref="A10" location="Table_2_by_Accreditation!A1" display="Table 2 - by Accreditation" xr:uid="{00000000-0004-0000-0100-000005000000}"/>
    <hyperlink ref="A8:B8" location="Notes!A1" display="Notes" xr:uid="{F0DB0942-D4A7-4F55-AC78-0BF725C4F91A}"/>
    <hyperlink ref="A11" location="Table_3_dom_by_PC!A1" display="Table 3 - domestic installations by parliamentary constituency" xr:uid="{CF92095B-E160-42AA-9B9A-E12DB2EC5B9E}"/>
    <hyperlink ref="A15" location="Table_2_May!A1" display="Table 2 - May 26" xr:uid="{62473C2B-EBA0-4875-B348-178B6EDBF9B9}"/>
    <hyperlink ref="A16" location="Table_3_May!A1" display="Table 3 - May 26" xr:uid="{D5E57E5A-3CEA-4243-A66E-81A1F1707E51}"/>
    <hyperlink ref="A9" location="Table_1_by_Capacity_New!A1" display="Table 1 - by Capacity - New capacity breakdown" xr:uid="{203B0194-0BA5-4B00-A233-593D4634F27C}"/>
    <hyperlink ref="A14" location="Table_1_Mar!A1" display="Table 1 - Mar 26" xr:uid="{7B5183F7-0E70-4891-91D0-CFEC8A4FFE9D}"/>
    <hyperlink ref="A13" location="Table_1_Apr!A1" display="Table 1 - Apr 26" xr:uid="{0E61D342-013F-473E-9BC7-C0CE8F8A713F}"/>
    <hyperlink ref="A12" location="Table_1_May!A1" display="Table 1 - May 26" xr:uid="{6465F8E0-8EB8-4A39-9B40-A41AFFD73E7A}"/>
  </hyperlinks>
  <pageMargins left="0.70000000000000007" right="0.70000000000000007" top="0.75" bottom="0.75" header="0.30000000000000004" footer="0.30000000000000004"/>
  <pageSetup paperSize="9" fitToWidth="0"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
  <sheetViews>
    <sheetView showGridLines="0" zoomScaleNormal="100" workbookViewId="0"/>
  </sheetViews>
  <sheetFormatPr defaultColWidth="9.1796875" defaultRowHeight="15.5" x14ac:dyDescent="0.35"/>
  <cols>
    <col min="1" max="1" width="150.54296875" style="2" customWidth="1"/>
    <col min="2" max="2" width="9.1796875" style="2" customWidth="1"/>
    <col min="3" max="16384" width="9.1796875" style="2"/>
  </cols>
  <sheetData>
    <row r="1" spans="1:1" s="1" customFormat="1" ht="45" customHeight="1" x14ac:dyDescent="0.35">
      <c r="A1" s="96" t="s">
        <v>26</v>
      </c>
    </row>
    <row r="2" spans="1:1" s="1" customFormat="1" ht="26.15" customHeight="1" x14ac:dyDescent="0.35">
      <c r="A2" s="97">
        <v>46174</v>
      </c>
    </row>
    <row r="3" spans="1:1" s="8" customFormat="1" ht="120" customHeight="1" x14ac:dyDescent="0.35">
      <c r="A3" s="92" t="s">
        <v>1636</v>
      </c>
    </row>
    <row r="4" spans="1:1" s="1" customFormat="1" ht="18.5" x14ac:dyDescent="0.45">
      <c r="A4" s="98" t="s">
        <v>34</v>
      </c>
    </row>
    <row r="5" spans="1:1" s="1" customFormat="1" ht="51.5" customHeight="1" x14ac:dyDescent="0.35">
      <c r="A5" s="92" t="s">
        <v>1664</v>
      </c>
    </row>
    <row r="6" spans="1:1" s="1" customFormat="1" ht="31" x14ac:dyDescent="0.35">
      <c r="A6" s="162" t="s">
        <v>1665</v>
      </c>
    </row>
    <row r="7" spans="1:1" s="1" customFormat="1" ht="52.5" customHeight="1" x14ac:dyDescent="0.35">
      <c r="A7" s="162" t="s">
        <v>1631</v>
      </c>
    </row>
    <row r="8" spans="1:1" s="1" customFormat="1" ht="58" customHeight="1" x14ac:dyDescent="0.35">
      <c r="A8" s="162" t="s">
        <v>1666</v>
      </c>
    </row>
    <row r="9" spans="1:1" s="1" customFormat="1" ht="42" customHeight="1" x14ac:dyDescent="0.35">
      <c r="A9" s="99" t="s">
        <v>1652</v>
      </c>
    </row>
    <row r="10" spans="1:1" s="1" customFormat="1" ht="108.5" customHeight="1" x14ac:dyDescent="0.35">
      <c r="A10" s="92" t="s">
        <v>1667</v>
      </c>
    </row>
    <row r="11" spans="1:1" s="1" customFormat="1" ht="18.5" x14ac:dyDescent="0.45">
      <c r="A11" s="98" t="s">
        <v>35</v>
      </c>
    </row>
    <row r="12" spans="1:1" s="1" customFormat="1" ht="36.65" customHeight="1" x14ac:dyDescent="0.35">
      <c r="A12" s="99" t="s">
        <v>36</v>
      </c>
    </row>
    <row r="13" spans="1:1" s="1" customFormat="1" ht="38.15" customHeight="1" x14ac:dyDescent="0.35">
      <c r="A13" s="100" t="s">
        <v>37</v>
      </c>
    </row>
    <row r="14" spans="1:1" s="1" customFormat="1" ht="21" x14ac:dyDescent="0.5">
      <c r="A14" s="3"/>
    </row>
    <row r="15" spans="1:1" s="1" customFormat="1" x14ac:dyDescent="0.35">
      <c r="A15" s="2"/>
    </row>
    <row r="16" spans="1:1" s="1" customFormat="1" ht="21" x14ac:dyDescent="0.5">
      <c r="A16" s="3"/>
    </row>
    <row r="17" spans="1:1" s="1" customFormat="1" x14ac:dyDescent="0.35">
      <c r="A17" s="2"/>
    </row>
    <row r="18" spans="1:1" x14ac:dyDescent="0.35">
      <c r="A18" s="5"/>
    </row>
    <row r="19" spans="1:1" s="1" customFormat="1" ht="21" x14ac:dyDescent="0.5">
      <c r="A19" s="3"/>
    </row>
    <row r="21" spans="1:1" x14ac:dyDescent="0.35">
      <c r="A21" s="5"/>
    </row>
  </sheetData>
  <pageMargins left="0.70000000000000007" right="0.70000000000000007" top="0.75" bottom="0.75" header="0.30000000000000004" footer="0.30000000000000004"/>
  <pageSetup paperSize="9" fitToWidth="0" fitToHeight="0"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1"/>
  <sheetViews>
    <sheetView showGridLines="0" zoomScaleNormal="100" workbookViewId="0"/>
  </sheetViews>
  <sheetFormatPr defaultColWidth="9.1796875" defaultRowHeight="20.149999999999999" customHeight="1" x14ac:dyDescent="0.35"/>
  <cols>
    <col min="1" max="1" width="31.1796875" style="2" customWidth="1"/>
    <col min="2" max="2" width="150.81640625" style="2" customWidth="1"/>
    <col min="3" max="3" width="59.81640625" style="2" customWidth="1"/>
    <col min="4" max="4" width="9.1796875" style="2" customWidth="1"/>
    <col min="5" max="16384" width="9.1796875" style="2"/>
  </cols>
  <sheetData>
    <row r="1" spans="1:3" s="1" customFormat="1" ht="45" customHeight="1" x14ac:dyDescent="0.35">
      <c r="A1" s="101" t="s">
        <v>28</v>
      </c>
      <c r="B1" s="92"/>
      <c r="C1" s="2"/>
    </row>
    <row r="2" spans="1:3" s="8" customFormat="1" ht="20.149999999999999" customHeight="1" x14ac:dyDescent="0.35">
      <c r="A2" s="102" t="s">
        <v>38</v>
      </c>
      <c r="B2" s="102"/>
    </row>
    <row r="3" spans="1:3" s="8" customFormat="1" ht="20.149999999999999" customHeight="1" x14ac:dyDescent="0.35">
      <c r="A3" s="102" t="s">
        <v>39</v>
      </c>
      <c r="B3" s="102"/>
    </row>
    <row r="4" spans="1:3" s="8" customFormat="1" ht="20.149999999999999" customHeight="1" x14ac:dyDescent="0.5">
      <c r="A4" s="95" t="s">
        <v>40</v>
      </c>
      <c r="B4" s="95" t="s">
        <v>22</v>
      </c>
    </row>
    <row r="5" spans="1:3" s="9" customFormat="1" ht="31" x14ac:dyDescent="0.35">
      <c r="A5" s="102" t="s">
        <v>41</v>
      </c>
      <c r="B5" s="92" t="s">
        <v>42</v>
      </c>
    </row>
    <row r="6" spans="1:3" s="9" customFormat="1" ht="15.5" x14ac:dyDescent="0.35">
      <c r="A6" s="102" t="s">
        <v>43</v>
      </c>
      <c r="B6" s="205" t="s">
        <v>44</v>
      </c>
    </row>
    <row r="7" spans="1:3" s="9" customFormat="1" ht="31" x14ac:dyDescent="0.35">
      <c r="A7" s="102" t="s">
        <v>45</v>
      </c>
      <c r="B7" s="205" t="s">
        <v>46</v>
      </c>
    </row>
    <row r="8" spans="1:3" s="9" customFormat="1" ht="31" x14ac:dyDescent="0.35">
      <c r="A8" s="102" t="s">
        <v>47</v>
      </c>
      <c r="B8" s="92" t="s">
        <v>48</v>
      </c>
    </row>
    <row r="9" spans="1:3" s="9" customFormat="1" ht="49.5" customHeight="1" x14ac:dyDescent="0.35">
      <c r="A9" s="102" t="s">
        <v>49</v>
      </c>
      <c r="B9" s="92" t="s">
        <v>50</v>
      </c>
    </row>
    <row r="10" spans="1:3" s="9" customFormat="1" ht="63.65" customHeight="1" x14ac:dyDescent="0.35">
      <c r="A10" s="92" t="s">
        <v>51</v>
      </c>
      <c r="B10" s="204" t="s">
        <v>52</v>
      </c>
    </row>
    <row r="11" spans="1:3" s="9" customFormat="1" ht="35.5" customHeight="1" x14ac:dyDescent="0.35">
      <c r="A11" s="102" t="s">
        <v>53</v>
      </c>
      <c r="B11" s="204" t="s">
        <v>54</v>
      </c>
    </row>
    <row r="12" spans="1:3" s="9" customFormat="1" ht="62" x14ac:dyDescent="0.35">
      <c r="A12" s="102" t="s">
        <v>55</v>
      </c>
      <c r="B12" s="205" t="s">
        <v>1634</v>
      </c>
    </row>
    <row r="13" spans="1:3" s="9" customFormat="1" ht="15.5" x14ac:dyDescent="0.35">
      <c r="A13" s="102" t="s">
        <v>1632</v>
      </c>
      <c r="B13" s="205" t="s">
        <v>1633</v>
      </c>
    </row>
    <row r="14" spans="1:3" s="9" customFormat="1" ht="15.5" x14ac:dyDescent="0.35">
      <c r="A14" s="85"/>
      <c r="B14" s="85"/>
    </row>
    <row r="15" spans="1:3" s="9" customFormat="1" ht="21" x14ac:dyDescent="0.5">
      <c r="A15" s="95" t="s">
        <v>56</v>
      </c>
      <c r="B15" s="95" t="s">
        <v>22</v>
      </c>
      <c r="C15" s="4" t="s">
        <v>57</v>
      </c>
    </row>
    <row r="16" spans="1:3" s="9" customFormat="1" ht="31" x14ac:dyDescent="0.5">
      <c r="A16" s="102" t="s">
        <v>58</v>
      </c>
      <c r="B16" s="92" t="s">
        <v>59</v>
      </c>
      <c r="C16" s="4"/>
    </row>
    <row r="17" spans="1:3" s="9" customFormat="1" ht="139.5" x14ac:dyDescent="0.35">
      <c r="A17" s="102" t="s">
        <v>60</v>
      </c>
      <c r="B17" s="92" t="s">
        <v>61</v>
      </c>
      <c r="C17" s="15" t="s">
        <v>62</v>
      </c>
    </row>
    <row r="18" spans="1:3" s="9" customFormat="1" ht="108.5" x14ac:dyDescent="0.35">
      <c r="A18" s="102" t="s">
        <v>63</v>
      </c>
      <c r="B18" s="92" t="s">
        <v>64</v>
      </c>
      <c r="C18" s="15" t="s">
        <v>62</v>
      </c>
    </row>
    <row r="19" spans="1:3" s="9" customFormat="1" ht="40.4" customHeight="1" x14ac:dyDescent="0.35">
      <c r="A19" s="92" t="s">
        <v>65</v>
      </c>
      <c r="B19" s="103" t="s">
        <v>66</v>
      </c>
      <c r="C19" s="15" t="s">
        <v>62</v>
      </c>
    </row>
    <row r="20" spans="1:3" s="9" customFormat="1" ht="20.149999999999999" customHeight="1" x14ac:dyDescent="0.35">
      <c r="A20" s="92" t="s">
        <v>67</v>
      </c>
      <c r="B20" s="103" t="s">
        <v>68</v>
      </c>
      <c r="C20" s="16" t="s">
        <v>62</v>
      </c>
    </row>
    <row r="21" spans="1:3" s="9" customFormat="1" ht="15.5" x14ac:dyDescent="0.35">
      <c r="A21" s="92" t="s">
        <v>69</v>
      </c>
      <c r="B21" s="104" t="s">
        <v>70</v>
      </c>
      <c r="C21" s="16" t="s">
        <v>62</v>
      </c>
    </row>
  </sheetData>
  <phoneticPr fontId="35" type="noConversion"/>
  <hyperlinks>
    <hyperlink ref="C17" r:id="rId1" xr:uid="{00000000-0004-0000-0400-000000000000}"/>
    <hyperlink ref="C18" r:id="rId2" xr:uid="{00000000-0004-0000-0400-000001000000}"/>
    <hyperlink ref="C19" r:id="rId3" xr:uid="{00000000-0004-0000-0400-000002000000}"/>
    <hyperlink ref="C20" r:id="rId4" xr:uid="{00000000-0004-0000-0400-000003000000}"/>
    <hyperlink ref="C21" r:id="rId5" xr:uid="{00000000-0004-0000-0400-000004000000}"/>
  </hyperlinks>
  <pageMargins left="0.70000000000000007" right="0.70000000000000007" top="0.75" bottom="0.75" header="0.30000000000000004" footer="0.30000000000000004"/>
  <pageSetup paperSize="9" fitToWidth="0" fitToHeight="0" orientation="portrait" verticalDpi="0" r:id="rId6"/>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R80"/>
  <sheetViews>
    <sheetView showGridLines="0" tabSelected="1" zoomScaleNormal="100" workbookViewId="0">
      <pane xSplit="1" topLeftCell="I1" activePane="topRight" state="frozen"/>
      <selection activeCell="B17" sqref="B17"/>
      <selection pane="topRight" activeCell="GL7" sqref="GL7"/>
    </sheetView>
  </sheetViews>
  <sheetFormatPr defaultColWidth="8.81640625" defaultRowHeight="20.149999999999999" customHeight="1" x14ac:dyDescent="0.35"/>
  <cols>
    <col min="1" max="1" width="39.1796875" style="6" customWidth="1"/>
    <col min="2" max="158" width="12.81640625" style="6" customWidth="1"/>
    <col min="159" max="159" width="12.1796875" style="6" customWidth="1"/>
    <col min="160" max="160" width="11.81640625" style="6" customWidth="1"/>
    <col min="161" max="163" width="12" style="6" customWidth="1"/>
    <col min="164" max="165" width="12.1796875" style="6" customWidth="1"/>
    <col min="166" max="166" width="12.453125" style="6" customWidth="1"/>
    <col min="167" max="173" width="11.81640625" style="6" customWidth="1"/>
    <col min="174" max="174" width="13.453125" style="6" customWidth="1"/>
    <col min="175" max="175" width="12.453125" style="6" customWidth="1"/>
    <col min="176" max="176" width="12.1796875" style="6" customWidth="1"/>
    <col min="177" max="177" width="11.54296875" style="6" customWidth="1"/>
    <col min="178" max="178" width="11" style="6" customWidth="1"/>
    <col min="179" max="179" width="12.1796875" style="6" customWidth="1"/>
    <col min="180" max="180" width="11.54296875" style="6" customWidth="1"/>
    <col min="181" max="181" width="12.1796875" style="6" customWidth="1"/>
    <col min="182" max="183" width="11.26953125" style="6" bestFit="1" customWidth="1"/>
    <col min="184" max="188" width="12" style="6" customWidth="1"/>
    <col min="189" max="190" width="11" style="6" bestFit="1" customWidth="1"/>
    <col min="191" max="191" width="11.1796875" style="6" customWidth="1"/>
    <col min="192" max="192" width="12.453125" style="6" customWidth="1"/>
    <col min="193" max="193" width="12.54296875" style="6" customWidth="1"/>
    <col min="194" max="194" width="11.1796875" style="6" customWidth="1"/>
    <col min="195" max="199" width="10.7265625" style="6" bestFit="1" customWidth="1"/>
    <col min="200" max="16384" width="8.81640625" style="6"/>
  </cols>
  <sheetData>
    <row r="1" spans="1:199" s="18" customFormat="1" ht="45" customHeight="1" x14ac:dyDescent="0.6">
      <c r="A1" s="17" t="s">
        <v>71</v>
      </c>
    </row>
    <row r="2" spans="1:199" s="19" customFormat="1" ht="20.149999999999999" customHeight="1" x14ac:dyDescent="0.35">
      <c r="A2" s="19" t="s">
        <v>72</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row>
    <row r="3" spans="1:199" s="19" customFormat="1" ht="20.149999999999999" customHeight="1" x14ac:dyDescent="0.35">
      <c r="A3" s="19" t="s">
        <v>73</v>
      </c>
      <c r="FQ3" s="175"/>
    </row>
    <row r="4" spans="1:199" s="19" customFormat="1" ht="20.149999999999999" customHeight="1" x14ac:dyDescent="0.35">
      <c r="A4" s="19" t="s">
        <v>74</v>
      </c>
    </row>
    <row r="5" spans="1:199" s="25" customFormat="1" ht="30" customHeight="1" x14ac:dyDescent="0.35">
      <c r="A5" s="21" t="s">
        <v>75</v>
      </c>
      <c r="B5" s="22" t="s">
        <v>76</v>
      </c>
      <c r="C5" s="23" t="s">
        <v>77</v>
      </c>
      <c r="D5" s="23" t="s">
        <v>78</v>
      </c>
      <c r="E5" s="23" t="s">
        <v>79</v>
      </c>
      <c r="F5" s="23" t="s">
        <v>80</v>
      </c>
      <c r="G5" s="23" t="s">
        <v>81</v>
      </c>
      <c r="H5" s="23" t="s">
        <v>82</v>
      </c>
      <c r="I5" s="23" t="s">
        <v>83</v>
      </c>
      <c r="J5" s="23" t="s">
        <v>84</v>
      </c>
      <c r="K5" s="23" t="s">
        <v>85</v>
      </c>
      <c r="L5" s="23" t="s">
        <v>86</v>
      </c>
      <c r="M5" s="23" t="s">
        <v>87</v>
      </c>
      <c r="N5" s="22" t="s">
        <v>88</v>
      </c>
      <c r="O5" s="23" t="s">
        <v>89</v>
      </c>
      <c r="P5" s="23" t="s">
        <v>90</v>
      </c>
      <c r="Q5" s="23" t="s">
        <v>91</v>
      </c>
      <c r="R5" s="23" t="s">
        <v>92</v>
      </c>
      <c r="S5" s="23" t="s">
        <v>93</v>
      </c>
      <c r="T5" s="23" t="s">
        <v>94</v>
      </c>
      <c r="U5" s="23" t="s">
        <v>95</v>
      </c>
      <c r="V5" s="23" t="s">
        <v>96</v>
      </c>
      <c r="W5" s="23" t="s">
        <v>97</v>
      </c>
      <c r="X5" s="23" t="s">
        <v>98</v>
      </c>
      <c r="Y5" s="23" t="s">
        <v>99</v>
      </c>
      <c r="Z5" s="22" t="s">
        <v>100</v>
      </c>
      <c r="AA5" s="23" t="s">
        <v>101</v>
      </c>
      <c r="AB5" s="23" t="s">
        <v>102</v>
      </c>
      <c r="AC5" s="23" t="s">
        <v>103</v>
      </c>
      <c r="AD5" s="23" t="s">
        <v>104</v>
      </c>
      <c r="AE5" s="23" t="s">
        <v>105</v>
      </c>
      <c r="AF5" s="23" t="s">
        <v>106</v>
      </c>
      <c r="AG5" s="23" t="s">
        <v>107</v>
      </c>
      <c r="AH5" s="23" t="s">
        <v>108</v>
      </c>
      <c r="AI5" s="23" t="s">
        <v>109</v>
      </c>
      <c r="AJ5" s="23" t="s">
        <v>110</v>
      </c>
      <c r="AK5" s="23" t="s">
        <v>111</v>
      </c>
      <c r="AL5" s="22" t="s">
        <v>112</v>
      </c>
      <c r="AM5" s="23" t="s">
        <v>113</v>
      </c>
      <c r="AN5" s="23" t="s">
        <v>114</v>
      </c>
      <c r="AO5" s="23" t="s">
        <v>115</v>
      </c>
      <c r="AP5" s="23" t="s">
        <v>116</v>
      </c>
      <c r="AQ5" s="23" t="s">
        <v>117</v>
      </c>
      <c r="AR5" s="23" t="s">
        <v>118</v>
      </c>
      <c r="AS5" s="23" t="s">
        <v>119</v>
      </c>
      <c r="AT5" s="23" t="s">
        <v>120</v>
      </c>
      <c r="AU5" s="23" t="s">
        <v>121</v>
      </c>
      <c r="AV5" s="23" t="s">
        <v>122</v>
      </c>
      <c r="AW5" s="24" t="s">
        <v>123</v>
      </c>
      <c r="AX5" s="23" t="s">
        <v>124</v>
      </c>
      <c r="AY5" s="23" t="s">
        <v>125</v>
      </c>
      <c r="AZ5" s="23" t="s">
        <v>126</v>
      </c>
      <c r="BA5" s="23" t="s">
        <v>127</v>
      </c>
      <c r="BB5" s="23" t="s">
        <v>128</v>
      </c>
      <c r="BC5" s="23" t="s">
        <v>129</v>
      </c>
      <c r="BD5" s="23" t="s">
        <v>130</v>
      </c>
      <c r="BE5" s="23" t="s">
        <v>131</v>
      </c>
      <c r="BF5" s="23" t="s">
        <v>132</v>
      </c>
      <c r="BG5" s="23" t="s">
        <v>133</v>
      </c>
      <c r="BH5" s="23" t="s">
        <v>134</v>
      </c>
      <c r="BI5" s="24" t="s">
        <v>135</v>
      </c>
      <c r="BJ5" s="23" t="s">
        <v>136</v>
      </c>
      <c r="BK5" s="23" t="s">
        <v>137</v>
      </c>
      <c r="BL5" s="23" t="s">
        <v>138</v>
      </c>
      <c r="BM5" s="23" t="s">
        <v>139</v>
      </c>
      <c r="BN5" s="23" t="s">
        <v>140</v>
      </c>
      <c r="BO5" s="23" t="s">
        <v>141</v>
      </c>
      <c r="BP5" s="23" t="s">
        <v>142</v>
      </c>
      <c r="BQ5" s="23" t="s">
        <v>143</v>
      </c>
      <c r="BR5" s="23" t="s">
        <v>144</v>
      </c>
      <c r="BS5" s="23" t="s">
        <v>145</v>
      </c>
      <c r="BT5" s="23" t="s">
        <v>146</v>
      </c>
      <c r="BU5" s="24" t="s">
        <v>147</v>
      </c>
      <c r="BV5" s="23" t="s">
        <v>148</v>
      </c>
      <c r="BW5" s="23" t="s">
        <v>149</v>
      </c>
      <c r="BX5" s="23" t="s">
        <v>150</v>
      </c>
      <c r="BY5" s="23" t="s">
        <v>151</v>
      </c>
      <c r="BZ5" s="23" t="s">
        <v>152</v>
      </c>
      <c r="CA5" s="23" t="s">
        <v>153</v>
      </c>
      <c r="CB5" s="23" t="s">
        <v>154</v>
      </c>
      <c r="CC5" s="23" t="s">
        <v>155</v>
      </c>
      <c r="CD5" s="23" t="s">
        <v>156</v>
      </c>
      <c r="CE5" s="23" t="s">
        <v>157</v>
      </c>
      <c r="CF5" s="23" t="s">
        <v>158</v>
      </c>
      <c r="CG5" s="24" t="s">
        <v>159</v>
      </c>
      <c r="CH5" s="23" t="s">
        <v>160</v>
      </c>
      <c r="CI5" s="23" t="s">
        <v>161</v>
      </c>
      <c r="CJ5" s="23" t="s">
        <v>162</v>
      </c>
      <c r="CK5" s="23" t="s">
        <v>163</v>
      </c>
      <c r="CL5" s="23" t="s">
        <v>164</v>
      </c>
      <c r="CM5" s="23" t="s">
        <v>165</v>
      </c>
      <c r="CN5" s="23" t="s">
        <v>166</v>
      </c>
      <c r="CO5" s="23" t="s">
        <v>167</v>
      </c>
      <c r="CP5" s="23" t="s">
        <v>168</v>
      </c>
      <c r="CQ5" s="23" t="s">
        <v>169</v>
      </c>
      <c r="CR5" s="23" t="s">
        <v>170</v>
      </c>
      <c r="CS5" s="24" t="s">
        <v>171</v>
      </c>
      <c r="CT5" s="23" t="s">
        <v>172</v>
      </c>
      <c r="CU5" s="23" t="s">
        <v>173</v>
      </c>
      <c r="CV5" s="23" t="s">
        <v>174</v>
      </c>
      <c r="CW5" s="23" t="s">
        <v>175</v>
      </c>
      <c r="CX5" s="23" t="s">
        <v>176</v>
      </c>
      <c r="CY5" s="23" t="s">
        <v>177</v>
      </c>
      <c r="CZ5" s="23" t="s">
        <v>178</v>
      </c>
      <c r="DA5" s="23" t="s">
        <v>179</v>
      </c>
      <c r="DB5" s="23" t="s">
        <v>180</v>
      </c>
      <c r="DC5" s="23" t="s">
        <v>181</v>
      </c>
      <c r="DD5" s="23" t="s">
        <v>182</v>
      </c>
      <c r="DE5" s="24" t="s">
        <v>183</v>
      </c>
      <c r="DF5" s="23" t="s">
        <v>184</v>
      </c>
      <c r="DG5" s="23" t="s">
        <v>185</v>
      </c>
      <c r="DH5" s="23" t="s">
        <v>186</v>
      </c>
      <c r="DI5" s="23" t="s">
        <v>187</v>
      </c>
      <c r="DJ5" s="23" t="s">
        <v>188</v>
      </c>
      <c r="DK5" s="23" t="s">
        <v>189</v>
      </c>
      <c r="DL5" s="23" t="s">
        <v>190</v>
      </c>
      <c r="DM5" s="23" t="s">
        <v>191</v>
      </c>
      <c r="DN5" s="23" t="s">
        <v>192</v>
      </c>
      <c r="DO5" s="23" t="s">
        <v>193</v>
      </c>
      <c r="DP5" s="23" t="s">
        <v>194</v>
      </c>
      <c r="DQ5" s="24" t="s">
        <v>195</v>
      </c>
      <c r="DR5" s="23" t="s">
        <v>196</v>
      </c>
      <c r="DS5" s="23" t="s">
        <v>197</v>
      </c>
      <c r="DT5" s="23" t="s">
        <v>198</v>
      </c>
      <c r="DU5" s="23" t="s">
        <v>199</v>
      </c>
      <c r="DV5" s="23" t="s">
        <v>200</v>
      </c>
      <c r="DW5" s="23" t="s">
        <v>201</v>
      </c>
      <c r="DX5" s="23" t="s">
        <v>202</v>
      </c>
      <c r="DY5" s="23" t="s">
        <v>203</v>
      </c>
      <c r="DZ5" s="23" t="s">
        <v>204</v>
      </c>
      <c r="EA5" s="23" t="s">
        <v>205</v>
      </c>
      <c r="EB5" s="23" t="s">
        <v>206</v>
      </c>
      <c r="EC5" s="24" t="s">
        <v>207</v>
      </c>
      <c r="ED5" s="23" t="s">
        <v>208</v>
      </c>
      <c r="EE5" s="23" t="s">
        <v>209</v>
      </c>
      <c r="EF5" s="23" t="s">
        <v>210</v>
      </c>
      <c r="EG5" s="23" t="s">
        <v>211</v>
      </c>
      <c r="EH5" s="23" t="s">
        <v>212</v>
      </c>
      <c r="EI5" s="23" t="s">
        <v>213</v>
      </c>
      <c r="EJ5" s="23" t="s">
        <v>214</v>
      </c>
      <c r="EK5" s="23" t="s">
        <v>215</v>
      </c>
      <c r="EL5" s="23" t="s">
        <v>216</v>
      </c>
      <c r="EM5" s="23" t="s">
        <v>217</v>
      </c>
      <c r="EN5" s="43" t="s">
        <v>218</v>
      </c>
      <c r="EO5" s="80" t="s">
        <v>219</v>
      </c>
      <c r="EP5" s="23" t="s">
        <v>220</v>
      </c>
      <c r="EQ5" s="43" t="s">
        <v>221</v>
      </c>
      <c r="ER5" s="43" t="s">
        <v>222</v>
      </c>
      <c r="ES5" s="43" t="s">
        <v>223</v>
      </c>
      <c r="ET5" s="43" t="s">
        <v>224</v>
      </c>
      <c r="EU5" s="43" t="s">
        <v>225</v>
      </c>
      <c r="EV5" s="43" t="s">
        <v>226</v>
      </c>
      <c r="EW5" s="43" t="s">
        <v>227</v>
      </c>
      <c r="EX5" s="43" t="s">
        <v>228</v>
      </c>
      <c r="EY5" s="43" t="s">
        <v>229</v>
      </c>
      <c r="EZ5" s="43" t="s">
        <v>230</v>
      </c>
      <c r="FA5" s="80" t="s">
        <v>231</v>
      </c>
      <c r="FB5" s="43" t="s">
        <v>232</v>
      </c>
      <c r="FC5" s="43" t="s">
        <v>233</v>
      </c>
      <c r="FD5" s="43" t="s">
        <v>234</v>
      </c>
      <c r="FE5" s="43" t="s">
        <v>235</v>
      </c>
      <c r="FF5" s="43" t="s">
        <v>236</v>
      </c>
      <c r="FG5" s="43" t="s">
        <v>237</v>
      </c>
      <c r="FH5" s="43" t="s">
        <v>238</v>
      </c>
      <c r="FI5" s="43" t="s">
        <v>239</v>
      </c>
      <c r="FJ5" s="43" t="s">
        <v>240</v>
      </c>
      <c r="FK5" s="43" t="s">
        <v>241</v>
      </c>
      <c r="FL5" s="43" t="s">
        <v>242</v>
      </c>
      <c r="FM5" s="43" t="s">
        <v>243</v>
      </c>
      <c r="FN5" s="147" t="s">
        <v>244</v>
      </c>
      <c r="FO5" s="43" t="s">
        <v>245</v>
      </c>
      <c r="FP5" s="43" t="s">
        <v>246</v>
      </c>
      <c r="FQ5" s="43" t="s">
        <v>247</v>
      </c>
      <c r="FR5" s="43" t="s">
        <v>248</v>
      </c>
      <c r="FS5" s="43" t="s">
        <v>249</v>
      </c>
      <c r="FT5" s="43" t="s">
        <v>250</v>
      </c>
      <c r="FU5" s="43" t="s">
        <v>251</v>
      </c>
      <c r="FV5" s="43" t="s">
        <v>252</v>
      </c>
      <c r="FW5" s="43" t="s">
        <v>253</v>
      </c>
      <c r="FX5" s="43" t="s">
        <v>254</v>
      </c>
      <c r="FY5" s="141" t="s">
        <v>255</v>
      </c>
      <c r="FZ5" s="43" t="s">
        <v>256</v>
      </c>
      <c r="GA5" s="43" t="s">
        <v>257</v>
      </c>
      <c r="GB5" s="43" t="s">
        <v>258</v>
      </c>
      <c r="GC5" s="43" t="s">
        <v>259</v>
      </c>
      <c r="GD5" s="43" t="s">
        <v>260</v>
      </c>
      <c r="GE5" s="43" t="s">
        <v>261</v>
      </c>
      <c r="GF5" s="43" t="s">
        <v>262</v>
      </c>
      <c r="GG5" s="43" t="s">
        <v>263</v>
      </c>
      <c r="GH5" s="43" t="s">
        <v>264</v>
      </c>
      <c r="GI5" s="43" t="s">
        <v>265</v>
      </c>
      <c r="GJ5" s="43" t="s">
        <v>1622</v>
      </c>
      <c r="GK5" s="141" t="s">
        <v>1629</v>
      </c>
      <c r="GL5" s="43" t="s">
        <v>1630</v>
      </c>
      <c r="GM5" s="43" t="s">
        <v>1635</v>
      </c>
      <c r="GN5" s="43" t="s">
        <v>1638</v>
      </c>
      <c r="GO5" s="43" t="s">
        <v>1645</v>
      </c>
      <c r="GP5" s="43" t="s">
        <v>1649</v>
      </c>
      <c r="GQ5" s="43" t="s">
        <v>1663</v>
      </c>
    </row>
    <row r="6" spans="1:199" s="30" customFormat="1" ht="20.149999999999999" customHeight="1" x14ac:dyDescent="0.35">
      <c r="A6" s="26" t="s">
        <v>266</v>
      </c>
      <c r="B6" s="27"/>
      <c r="C6" s="27"/>
      <c r="D6" s="27"/>
      <c r="E6" s="27"/>
      <c r="F6" s="27"/>
      <c r="G6" s="27"/>
      <c r="H6" s="27"/>
      <c r="I6" s="27"/>
      <c r="J6" s="27"/>
      <c r="K6" s="27"/>
      <c r="L6" s="27"/>
      <c r="M6" s="28"/>
      <c r="N6" s="29"/>
      <c r="O6" s="27"/>
      <c r="P6" s="27"/>
      <c r="Q6" s="27"/>
      <c r="R6" s="27"/>
      <c r="S6" s="27"/>
      <c r="T6" s="27"/>
      <c r="U6" s="27"/>
      <c r="V6" s="27"/>
      <c r="W6" s="27"/>
      <c r="X6" s="27"/>
      <c r="Y6" s="28"/>
      <c r="Z6" s="29"/>
      <c r="AA6" s="27"/>
      <c r="AB6" s="27"/>
      <c r="AC6" s="27"/>
      <c r="AD6" s="27"/>
      <c r="AE6" s="27"/>
      <c r="AF6" s="27"/>
      <c r="AG6" s="27"/>
      <c r="AH6" s="27"/>
      <c r="AI6" s="27"/>
      <c r="AJ6" s="27"/>
      <c r="AK6" s="28"/>
      <c r="AL6" s="29"/>
      <c r="AM6" s="27"/>
      <c r="AN6" s="27"/>
      <c r="AO6" s="27"/>
      <c r="AP6" s="27"/>
      <c r="AQ6" s="27"/>
      <c r="AR6" s="27"/>
      <c r="AS6" s="27"/>
      <c r="AT6" s="27"/>
      <c r="AU6" s="27"/>
      <c r="AV6" s="27"/>
      <c r="AW6" s="28"/>
      <c r="AX6" s="27"/>
      <c r="AY6" s="27"/>
      <c r="AZ6" s="27"/>
      <c r="BA6" s="27"/>
      <c r="BB6" s="27"/>
      <c r="BC6" s="27"/>
      <c r="BD6" s="27"/>
      <c r="BE6" s="27"/>
      <c r="BF6" s="27"/>
      <c r="BG6" s="27"/>
      <c r="BH6" s="27"/>
      <c r="BI6" s="28"/>
      <c r="BJ6" s="27"/>
      <c r="BK6" s="27"/>
      <c r="BL6" s="27"/>
      <c r="BM6" s="27"/>
      <c r="BN6" s="27"/>
      <c r="BO6" s="27"/>
      <c r="BP6" s="27"/>
      <c r="BQ6" s="27"/>
      <c r="BR6" s="27"/>
      <c r="BS6" s="27"/>
      <c r="BT6" s="27"/>
      <c r="BU6" s="28"/>
      <c r="BV6" s="27"/>
      <c r="BW6" s="27"/>
      <c r="BX6" s="27"/>
      <c r="BY6" s="27"/>
      <c r="BZ6" s="27"/>
      <c r="CA6" s="27"/>
      <c r="CB6" s="27"/>
      <c r="CC6" s="27"/>
      <c r="CD6" s="27"/>
      <c r="CE6" s="27"/>
      <c r="CF6" s="27"/>
      <c r="CG6" s="28"/>
      <c r="CH6" s="27"/>
      <c r="CI6" s="27"/>
      <c r="CJ6" s="27"/>
      <c r="CK6" s="27"/>
      <c r="CL6" s="27"/>
      <c r="CM6" s="27"/>
      <c r="CN6" s="27"/>
      <c r="CO6" s="27"/>
      <c r="CP6" s="27"/>
      <c r="CQ6" s="27"/>
      <c r="CR6" s="27"/>
      <c r="CS6" s="28"/>
      <c r="CT6" s="27"/>
      <c r="CU6" s="27"/>
      <c r="CV6" s="27"/>
      <c r="CW6" s="27"/>
      <c r="CX6" s="27"/>
      <c r="CY6" s="27"/>
      <c r="CZ6" s="27"/>
      <c r="DA6" s="27"/>
      <c r="DB6" s="27"/>
      <c r="DC6" s="27"/>
      <c r="DD6" s="27"/>
      <c r="DE6" s="28"/>
      <c r="DF6" s="27"/>
      <c r="DG6" s="27"/>
      <c r="DH6" s="27"/>
      <c r="DI6" s="27"/>
      <c r="DJ6" s="27"/>
      <c r="DK6" s="27"/>
      <c r="DL6" s="27"/>
      <c r="DM6" s="27"/>
      <c r="DN6" s="27"/>
      <c r="DO6" s="27"/>
      <c r="DP6" s="27"/>
      <c r="DQ6" s="28"/>
      <c r="DR6" s="27"/>
      <c r="DS6" s="27"/>
      <c r="DT6" s="27"/>
      <c r="DU6" s="27"/>
      <c r="DV6" s="27"/>
      <c r="DW6" s="27"/>
      <c r="DX6" s="27"/>
      <c r="DY6" s="27"/>
      <c r="DZ6" s="27"/>
      <c r="EA6" s="27"/>
      <c r="EB6" s="27"/>
      <c r="EC6" s="28"/>
      <c r="ED6" s="27"/>
      <c r="EE6" s="27"/>
      <c r="EF6" s="27"/>
      <c r="EG6" s="27"/>
      <c r="EH6" s="27"/>
      <c r="EI6" s="27"/>
      <c r="EJ6" s="27"/>
      <c r="EK6" s="45"/>
      <c r="EO6" s="81"/>
      <c r="EP6" s="27"/>
      <c r="EV6" s="67"/>
      <c r="EW6" s="67"/>
      <c r="EX6" s="67"/>
      <c r="EY6" s="67"/>
      <c r="EZ6" s="67"/>
      <c r="FA6" s="81"/>
      <c r="FB6" s="67"/>
      <c r="FC6" s="67"/>
      <c r="FD6" s="67"/>
      <c r="FE6" s="67"/>
      <c r="FF6" s="67"/>
      <c r="FG6" s="67"/>
      <c r="FH6" s="67"/>
      <c r="FI6" s="67"/>
      <c r="FJ6" s="67"/>
      <c r="FK6" s="67"/>
      <c r="FL6" s="67"/>
      <c r="FM6" s="67"/>
      <c r="FN6" s="169"/>
      <c r="FO6" s="67"/>
      <c r="FP6" s="67"/>
      <c r="FQ6" s="67"/>
      <c r="FR6" s="67"/>
      <c r="FS6" s="67"/>
      <c r="FT6" s="67"/>
      <c r="FU6" s="177"/>
      <c r="FV6" s="177"/>
      <c r="FW6" s="177"/>
      <c r="FX6" s="177"/>
      <c r="FY6" s="190"/>
      <c r="FZ6" s="177"/>
      <c r="GA6" s="177"/>
      <c r="GB6" s="177"/>
      <c r="GC6" s="177"/>
      <c r="GD6" s="177"/>
      <c r="GE6" s="177"/>
      <c r="GF6" s="177"/>
      <c r="GG6" s="177"/>
      <c r="GH6" s="177"/>
      <c r="GI6" s="177"/>
      <c r="GJ6" s="177"/>
      <c r="GK6" s="190"/>
      <c r="GL6" s="177"/>
      <c r="GM6" s="177"/>
      <c r="GN6" s="177"/>
      <c r="GO6" s="177"/>
      <c r="GP6" s="177"/>
      <c r="GQ6" s="177"/>
    </row>
    <row r="7" spans="1:199" s="1" customFormat="1" ht="20.149999999999999" customHeight="1" x14ac:dyDescent="0.35">
      <c r="A7" s="31" t="s">
        <v>1623</v>
      </c>
      <c r="B7" s="45">
        <v>8.0210000000000008</v>
      </c>
      <c r="C7" s="45">
        <v>9.1530000000000005</v>
      </c>
      <c r="D7" s="45">
        <v>11.038</v>
      </c>
      <c r="E7" s="45">
        <v>13.255000000000001</v>
      </c>
      <c r="F7" s="45">
        <v>16.698</v>
      </c>
      <c r="G7" s="45">
        <v>20.916</v>
      </c>
      <c r="H7" s="45">
        <v>26.105</v>
      </c>
      <c r="I7" s="45">
        <v>31.254999999999999</v>
      </c>
      <c r="J7" s="45">
        <v>37.920999999999999</v>
      </c>
      <c r="K7" s="45">
        <v>45.965000000000003</v>
      </c>
      <c r="L7" s="45">
        <v>55.264000000000003</v>
      </c>
      <c r="M7" s="49">
        <v>62.441000000000003</v>
      </c>
      <c r="N7" s="50">
        <v>72.281999999999996</v>
      </c>
      <c r="O7" s="45">
        <v>83.525000000000006</v>
      </c>
      <c r="P7" s="45">
        <v>100.41500000000001</v>
      </c>
      <c r="Q7" s="45">
        <v>116.246</v>
      </c>
      <c r="R7" s="45">
        <v>135.05000000000001</v>
      </c>
      <c r="S7" s="45">
        <v>159.839</v>
      </c>
      <c r="T7" s="45">
        <v>188.624</v>
      </c>
      <c r="U7" s="45">
        <v>225.017</v>
      </c>
      <c r="V7" s="45">
        <v>269.74</v>
      </c>
      <c r="W7" s="45">
        <v>321.173</v>
      </c>
      <c r="X7" s="45">
        <v>465.851</v>
      </c>
      <c r="Y7" s="49">
        <v>578.45699999999999</v>
      </c>
      <c r="Z7" s="50">
        <v>599.39</v>
      </c>
      <c r="AA7" s="45">
        <v>705.98900000000003</v>
      </c>
      <c r="AB7" s="45">
        <v>771.01099999999997</v>
      </c>
      <c r="AC7" s="45">
        <v>783.86800000000005</v>
      </c>
      <c r="AD7" s="45">
        <v>807.89300000000003</v>
      </c>
      <c r="AE7" s="45">
        <v>837.66700000000003</v>
      </c>
      <c r="AF7" s="45">
        <v>893.29899999999998</v>
      </c>
      <c r="AG7" s="45">
        <v>902.399</v>
      </c>
      <c r="AH7" s="45">
        <v>913.875</v>
      </c>
      <c r="AI7" s="45">
        <v>935.70899999999995</v>
      </c>
      <c r="AJ7" s="45">
        <v>948.46699999999998</v>
      </c>
      <c r="AK7" s="49">
        <v>961.27599999999995</v>
      </c>
      <c r="AL7" s="50">
        <v>975.255</v>
      </c>
      <c r="AM7" s="45">
        <v>989.87699999999995</v>
      </c>
      <c r="AN7" s="45">
        <v>1006.06</v>
      </c>
      <c r="AO7" s="45">
        <v>1022.428</v>
      </c>
      <c r="AP7" s="45">
        <v>1038.3789999999999</v>
      </c>
      <c r="AQ7" s="45">
        <v>1060.6120000000001</v>
      </c>
      <c r="AR7" s="45">
        <v>1073.961</v>
      </c>
      <c r="AS7" s="45">
        <v>1089.2280000000001</v>
      </c>
      <c r="AT7" s="45">
        <v>1104.729</v>
      </c>
      <c r="AU7" s="45">
        <v>1121.47</v>
      </c>
      <c r="AV7" s="45">
        <v>1140.1079999999999</v>
      </c>
      <c r="AW7" s="49">
        <v>1155.393</v>
      </c>
      <c r="AX7" s="45">
        <v>1170.855</v>
      </c>
      <c r="AY7" s="45">
        <v>1187.434</v>
      </c>
      <c r="AZ7" s="45">
        <v>1212.9929999999999</v>
      </c>
      <c r="BA7" s="45">
        <v>1227.8979999999999</v>
      </c>
      <c r="BB7" s="45">
        <v>1243.7860000000001</v>
      </c>
      <c r="BC7" s="45">
        <v>1260.539</v>
      </c>
      <c r="BD7" s="45">
        <v>1280.277</v>
      </c>
      <c r="BE7" s="45">
        <v>1299.7170000000001</v>
      </c>
      <c r="BF7" s="45">
        <v>1323.018</v>
      </c>
      <c r="BG7" s="45">
        <v>1346.9190000000001</v>
      </c>
      <c r="BH7" s="45">
        <v>1369.2760000000001</v>
      </c>
      <c r="BI7" s="49">
        <v>1391.7670000000001</v>
      </c>
      <c r="BJ7" s="45">
        <v>1408.086</v>
      </c>
      <c r="BK7" s="45">
        <v>1427.8979999999999</v>
      </c>
      <c r="BL7" s="45">
        <v>1458.1610000000001</v>
      </c>
      <c r="BM7" s="45">
        <v>1478.8320000000001</v>
      </c>
      <c r="BN7" s="45">
        <v>1500.7280000000001</v>
      </c>
      <c r="BO7" s="45">
        <v>1532.336</v>
      </c>
      <c r="BP7" s="45">
        <v>1555.1969999999999</v>
      </c>
      <c r="BQ7" s="45">
        <v>1578.0550000000001</v>
      </c>
      <c r="BR7" s="45">
        <v>1615.6679999999999</v>
      </c>
      <c r="BS7" s="45">
        <v>1649.98</v>
      </c>
      <c r="BT7" s="45">
        <v>1695.6379999999999</v>
      </c>
      <c r="BU7" s="49">
        <v>1745.864</v>
      </c>
      <c r="BV7" s="45">
        <v>1776.472</v>
      </c>
      <c r="BW7" s="45">
        <v>1782.45</v>
      </c>
      <c r="BX7" s="45">
        <v>1789.7639999999999</v>
      </c>
      <c r="BY7" s="45">
        <v>1795.1220000000001</v>
      </c>
      <c r="BZ7" s="45">
        <v>1801.2080000000001</v>
      </c>
      <c r="CA7" s="45">
        <v>1807.9960000000001</v>
      </c>
      <c r="CB7" s="45">
        <v>1813.5239999999999</v>
      </c>
      <c r="CC7" s="45">
        <v>1818.6780000000001</v>
      </c>
      <c r="CD7" s="45">
        <v>1824.316</v>
      </c>
      <c r="CE7" s="45">
        <v>1828.953</v>
      </c>
      <c r="CF7" s="45">
        <v>1834.5250000000001</v>
      </c>
      <c r="CG7" s="49">
        <v>1838.692</v>
      </c>
      <c r="CH7" s="45">
        <v>1842.66</v>
      </c>
      <c r="CI7" s="45">
        <v>1847.2170000000001</v>
      </c>
      <c r="CJ7" s="45">
        <v>1853.1489999999999</v>
      </c>
      <c r="CK7" s="45">
        <v>1857.3810000000001</v>
      </c>
      <c r="CL7" s="45">
        <v>1862.2940000000001</v>
      </c>
      <c r="CM7" s="45">
        <v>1867.1569999999999</v>
      </c>
      <c r="CN7" s="45">
        <v>1871.6769999999999</v>
      </c>
      <c r="CO7" s="45">
        <v>1877.1510000000001</v>
      </c>
      <c r="CP7" s="45">
        <v>1882.3989999999999</v>
      </c>
      <c r="CQ7" s="45">
        <v>1887.28</v>
      </c>
      <c r="CR7" s="45">
        <v>1893.231</v>
      </c>
      <c r="CS7" s="49">
        <v>1897.232</v>
      </c>
      <c r="CT7" s="45">
        <v>1901.654</v>
      </c>
      <c r="CU7" s="45">
        <v>1905.71</v>
      </c>
      <c r="CV7" s="45">
        <v>1910.6320000000001</v>
      </c>
      <c r="CW7" s="45">
        <v>1915.3510000000001</v>
      </c>
      <c r="CX7" s="45">
        <v>1920.6780000000001</v>
      </c>
      <c r="CY7" s="45">
        <v>1926.0809999999999</v>
      </c>
      <c r="CZ7" s="45">
        <v>1931.31</v>
      </c>
      <c r="DA7" s="45">
        <v>1937.2670000000001</v>
      </c>
      <c r="DB7" s="45">
        <v>1943.3050000000001</v>
      </c>
      <c r="DC7" s="45">
        <v>1950.6020000000001</v>
      </c>
      <c r="DD7" s="45">
        <v>1958.3140000000001</v>
      </c>
      <c r="DE7" s="49">
        <v>1964.7170000000001</v>
      </c>
      <c r="DF7" s="45">
        <v>1974.037</v>
      </c>
      <c r="DG7" s="45">
        <v>1984.7629999999999</v>
      </c>
      <c r="DH7" s="45">
        <v>2009.3019999999999</v>
      </c>
      <c r="DI7" s="45">
        <v>2012.5920000000001</v>
      </c>
      <c r="DJ7" s="45">
        <v>2016.617</v>
      </c>
      <c r="DK7" s="45">
        <v>2020.943</v>
      </c>
      <c r="DL7" s="45">
        <v>2025.1</v>
      </c>
      <c r="DM7" s="45">
        <v>2029.4259999999999</v>
      </c>
      <c r="DN7" s="45">
        <v>2034.1469999999999</v>
      </c>
      <c r="DO7" s="45">
        <v>2038.88</v>
      </c>
      <c r="DP7" s="45">
        <v>2043.886</v>
      </c>
      <c r="DQ7" s="49">
        <v>2047.134</v>
      </c>
      <c r="DR7" s="45">
        <v>2051.366</v>
      </c>
      <c r="DS7" s="45">
        <v>2055.471</v>
      </c>
      <c r="DT7" s="45">
        <v>2059.652</v>
      </c>
      <c r="DU7" s="45">
        <v>2060.46</v>
      </c>
      <c r="DV7" s="45">
        <v>2061.7289999999998</v>
      </c>
      <c r="DW7" s="45">
        <v>2064.5549999999998</v>
      </c>
      <c r="DX7" s="45">
        <v>2068.5500000000002</v>
      </c>
      <c r="DY7" s="45">
        <v>2072.777</v>
      </c>
      <c r="DZ7" s="45">
        <v>2078.076</v>
      </c>
      <c r="EA7" s="45">
        <v>2083.2669999999998</v>
      </c>
      <c r="EB7" s="45">
        <v>2088.8020000000001</v>
      </c>
      <c r="EC7" s="49">
        <v>2092.962</v>
      </c>
      <c r="ED7" s="45">
        <v>2098.192</v>
      </c>
      <c r="EE7" s="45">
        <v>2102.8939999999998</v>
      </c>
      <c r="EF7" s="45">
        <v>2109.3240000000001</v>
      </c>
      <c r="EG7" s="45">
        <v>2116.1559999999999</v>
      </c>
      <c r="EH7" s="45">
        <v>2123.4160000000002</v>
      </c>
      <c r="EI7" s="45">
        <v>2130.7330000000002</v>
      </c>
      <c r="EJ7" s="45">
        <v>2137.4839999999999</v>
      </c>
      <c r="EK7" s="45">
        <v>2144.9</v>
      </c>
      <c r="EL7" s="45">
        <v>2153.1179999999999</v>
      </c>
      <c r="EM7" s="45">
        <v>2160.5700000000002</v>
      </c>
      <c r="EN7" s="45">
        <v>2170.1260000000002</v>
      </c>
      <c r="EO7" s="82">
        <v>2177.2939999999999</v>
      </c>
      <c r="EP7" s="45">
        <v>2185.8270000000002</v>
      </c>
      <c r="EQ7" s="45">
        <v>2196.7370000000001</v>
      </c>
      <c r="ER7" s="45">
        <v>2211.4940000000001</v>
      </c>
      <c r="ES7" s="45">
        <v>2225.5790000000002</v>
      </c>
      <c r="ET7" s="45">
        <v>2240.7159999999999</v>
      </c>
      <c r="EU7" s="45">
        <v>2256.5790000000002</v>
      </c>
      <c r="EV7" s="45">
        <v>2271.0990000000002</v>
      </c>
      <c r="EW7" s="45">
        <v>2287.1419999999998</v>
      </c>
      <c r="EX7" s="45">
        <v>2306.3560000000002</v>
      </c>
      <c r="EY7" s="45">
        <v>2323.6219999999998</v>
      </c>
      <c r="EZ7" s="45">
        <v>2342.3420000000001</v>
      </c>
      <c r="FA7" s="82">
        <v>2356.2530000000002</v>
      </c>
      <c r="FB7" s="45">
        <v>2375.0030000000002</v>
      </c>
      <c r="FC7" s="45">
        <v>2395.5079999999998</v>
      </c>
      <c r="FD7" s="45">
        <v>2418.4520000000002</v>
      </c>
      <c r="FE7" s="45">
        <v>2436.69</v>
      </c>
      <c r="FF7" s="45">
        <v>2456.41</v>
      </c>
      <c r="FG7" s="45">
        <v>2476.7800000000002</v>
      </c>
      <c r="FH7" s="45">
        <v>2494.627</v>
      </c>
      <c r="FI7" s="45">
        <v>2512.29</v>
      </c>
      <c r="FJ7" s="45">
        <v>2530.1970000000001</v>
      </c>
      <c r="FK7" s="155">
        <v>2547.5430000000001</v>
      </c>
      <c r="FL7" s="155">
        <v>2566.04</v>
      </c>
      <c r="FM7" s="155">
        <v>2577.8330000000001</v>
      </c>
      <c r="FN7" s="69">
        <v>2593.8020000000001</v>
      </c>
      <c r="FO7" s="155">
        <v>2610.8960000000002</v>
      </c>
      <c r="FP7" s="155">
        <v>2630.4119999999998</v>
      </c>
      <c r="FQ7" s="155">
        <v>2649.3409999999999</v>
      </c>
      <c r="FR7" s="155">
        <v>2669.2449999999999</v>
      </c>
      <c r="FS7" s="155">
        <v>2688.7379999999998</v>
      </c>
      <c r="FT7" s="155">
        <v>2708.9319999999998</v>
      </c>
      <c r="FU7" s="178">
        <v>2728.9929999999999</v>
      </c>
      <c r="FV7" s="178">
        <v>2751.471</v>
      </c>
      <c r="FW7" s="178">
        <v>2778.0149999999999</v>
      </c>
      <c r="FX7" s="178">
        <v>2806.2550000000001</v>
      </c>
      <c r="FY7" s="180">
        <v>2825.4169999999999</v>
      </c>
      <c r="FZ7" s="178">
        <v>2850.4290000000001</v>
      </c>
      <c r="GA7" s="178">
        <v>2879.2139999999999</v>
      </c>
      <c r="GB7" s="178">
        <v>2914.681</v>
      </c>
      <c r="GC7" s="178">
        <v>2940.9279999999999</v>
      </c>
      <c r="GD7" s="178">
        <v>2970.08</v>
      </c>
      <c r="GE7" s="178">
        <v>3000.2109999999998</v>
      </c>
      <c r="GF7" s="178">
        <v>3028.616</v>
      </c>
      <c r="GG7" s="178">
        <v>3053.4479999999999</v>
      </c>
      <c r="GH7" s="178">
        <v>3082.8629999999998</v>
      </c>
      <c r="GI7" s="178">
        <v>3115.915</v>
      </c>
      <c r="GJ7" s="178">
        <v>3146.38</v>
      </c>
      <c r="GK7" s="180">
        <v>3170.7489999999998</v>
      </c>
      <c r="GL7" s="178">
        <v>3197.7550000000001</v>
      </c>
      <c r="GM7" s="178">
        <v>3231.3910000000001</v>
      </c>
      <c r="GN7" s="178">
        <v>3274.1950000000002</v>
      </c>
      <c r="GO7" s="178">
        <v>3303.73</v>
      </c>
      <c r="GP7" s="178">
        <v>3326.0880000000002</v>
      </c>
      <c r="GQ7" s="178">
        <v>3357.3009999999999</v>
      </c>
    </row>
    <row r="8" spans="1:199" s="1" customFormat="1" ht="20.149999999999999" customHeight="1" x14ac:dyDescent="0.35">
      <c r="A8" s="31" t="s">
        <v>1626</v>
      </c>
      <c r="B8" s="45">
        <v>2.6389999999999998</v>
      </c>
      <c r="C8" s="45">
        <v>2.827</v>
      </c>
      <c r="D8" s="45">
        <v>3.1030000000000002</v>
      </c>
      <c r="E8" s="45">
        <v>3.286</v>
      </c>
      <c r="F8" s="45">
        <v>3.6179999999999999</v>
      </c>
      <c r="G8" s="45">
        <v>3.992</v>
      </c>
      <c r="H8" s="45">
        <v>4.3940000000000001</v>
      </c>
      <c r="I8" s="45">
        <v>4.782</v>
      </c>
      <c r="J8" s="45">
        <v>5.1890000000000001</v>
      </c>
      <c r="K8" s="45">
        <v>5.7629999999999999</v>
      </c>
      <c r="L8" s="45">
        <v>6.3620000000000001</v>
      </c>
      <c r="M8" s="49">
        <v>6.78</v>
      </c>
      <c r="N8" s="50">
        <v>7.5919999999999996</v>
      </c>
      <c r="O8" s="45">
        <v>8.4719999999999995</v>
      </c>
      <c r="P8" s="45">
        <v>9.84</v>
      </c>
      <c r="Q8" s="45">
        <v>11.526</v>
      </c>
      <c r="R8" s="45">
        <v>13.48</v>
      </c>
      <c r="S8" s="45">
        <v>15.819000000000001</v>
      </c>
      <c r="T8" s="45">
        <v>19.02</v>
      </c>
      <c r="U8" s="45">
        <v>24.344000000000001</v>
      </c>
      <c r="V8" s="45">
        <v>31.628</v>
      </c>
      <c r="W8" s="45">
        <v>40.993000000000002</v>
      </c>
      <c r="X8" s="45">
        <v>70.278999999999996</v>
      </c>
      <c r="Y8" s="49">
        <v>96.072000000000003</v>
      </c>
      <c r="Z8" s="50">
        <v>98.25</v>
      </c>
      <c r="AA8" s="45">
        <v>125.134</v>
      </c>
      <c r="AB8" s="45">
        <v>135.233</v>
      </c>
      <c r="AC8" s="45">
        <v>137.209</v>
      </c>
      <c r="AD8" s="45">
        <v>143.863</v>
      </c>
      <c r="AE8" s="45">
        <v>153.96199999999999</v>
      </c>
      <c r="AF8" s="45">
        <v>180.011</v>
      </c>
      <c r="AG8" s="45">
        <v>181.76400000000001</v>
      </c>
      <c r="AH8" s="45">
        <v>185.34</v>
      </c>
      <c r="AI8" s="45">
        <v>196.149</v>
      </c>
      <c r="AJ8" s="45">
        <v>200.12200000000001</v>
      </c>
      <c r="AK8" s="49">
        <v>204.93799999999999</v>
      </c>
      <c r="AL8" s="50">
        <v>210.17</v>
      </c>
      <c r="AM8" s="45">
        <v>216.55799999999999</v>
      </c>
      <c r="AN8" s="45">
        <v>224.73400000000001</v>
      </c>
      <c r="AO8" s="45">
        <v>234.10400000000001</v>
      </c>
      <c r="AP8" s="45">
        <v>244.52699999999999</v>
      </c>
      <c r="AQ8" s="45">
        <v>262.02600000000001</v>
      </c>
      <c r="AR8" s="45">
        <v>269.18700000000001</v>
      </c>
      <c r="AS8" s="45">
        <v>278.12099999999998</v>
      </c>
      <c r="AT8" s="45">
        <v>288.291</v>
      </c>
      <c r="AU8" s="45">
        <v>299.44299999999998</v>
      </c>
      <c r="AV8" s="45">
        <v>312.81200000000001</v>
      </c>
      <c r="AW8" s="49">
        <v>324.16000000000003</v>
      </c>
      <c r="AX8" s="45">
        <v>334.70100000000002</v>
      </c>
      <c r="AY8" s="45">
        <v>346.161</v>
      </c>
      <c r="AZ8" s="45">
        <v>369.63200000000001</v>
      </c>
      <c r="BA8" s="45">
        <v>380.04300000000001</v>
      </c>
      <c r="BB8" s="45">
        <v>392.16399999999999</v>
      </c>
      <c r="BC8" s="45">
        <v>406.01900000000001</v>
      </c>
      <c r="BD8" s="45">
        <v>420.738</v>
      </c>
      <c r="BE8" s="45">
        <v>434.67700000000002</v>
      </c>
      <c r="BF8" s="45">
        <v>450.55099999999999</v>
      </c>
      <c r="BG8" s="45">
        <v>467.44799999999998</v>
      </c>
      <c r="BH8" s="45">
        <v>484.44200000000001</v>
      </c>
      <c r="BI8" s="49">
        <v>503.32799999999997</v>
      </c>
      <c r="BJ8" s="45">
        <v>511.85599999999999</v>
      </c>
      <c r="BK8" s="45">
        <v>523.11099999999999</v>
      </c>
      <c r="BL8" s="45">
        <v>543.58900000000006</v>
      </c>
      <c r="BM8" s="45">
        <v>555.51199999999994</v>
      </c>
      <c r="BN8" s="45">
        <v>569.15800000000002</v>
      </c>
      <c r="BO8" s="45">
        <v>589.59500000000003</v>
      </c>
      <c r="BP8" s="45">
        <v>601.84400000000005</v>
      </c>
      <c r="BQ8" s="45">
        <v>614.45000000000005</v>
      </c>
      <c r="BR8" s="45">
        <v>636.89800000000002</v>
      </c>
      <c r="BS8" s="45">
        <v>653.22</v>
      </c>
      <c r="BT8" s="45">
        <v>673.59199999999998</v>
      </c>
      <c r="BU8" s="49">
        <v>699.96600000000001</v>
      </c>
      <c r="BV8" s="45">
        <v>712.97500000000002</v>
      </c>
      <c r="BW8" s="45">
        <v>714.95</v>
      </c>
      <c r="BX8" s="45">
        <v>718.16399999999999</v>
      </c>
      <c r="BY8" s="45">
        <v>720.85</v>
      </c>
      <c r="BZ8" s="45">
        <v>723.49699999999996</v>
      </c>
      <c r="CA8" s="45">
        <v>726.81700000000001</v>
      </c>
      <c r="CB8" s="45">
        <v>729.48199999999997</v>
      </c>
      <c r="CC8" s="45">
        <v>732.09</v>
      </c>
      <c r="CD8" s="45">
        <v>735.28899999999999</v>
      </c>
      <c r="CE8" s="45">
        <v>737.37900000000002</v>
      </c>
      <c r="CF8" s="45">
        <v>739.71</v>
      </c>
      <c r="CG8" s="49">
        <v>741.86099999999999</v>
      </c>
      <c r="CH8" s="45">
        <v>743.62099999999998</v>
      </c>
      <c r="CI8" s="45">
        <v>745.48</v>
      </c>
      <c r="CJ8" s="45">
        <v>748.197</v>
      </c>
      <c r="CK8" s="45">
        <v>750.07799999999997</v>
      </c>
      <c r="CL8" s="45">
        <v>752.62699999999995</v>
      </c>
      <c r="CM8" s="45">
        <v>755.54200000000003</v>
      </c>
      <c r="CN8" s="45">
        <v>758.12900000000002</v>
      </c>
      <c r="CO8" s="45">
        <v>760.58299999999997</v>
      </c>
      <c r="CP8" s="45">
        <v>763.58199999999999</v>
      </c>
      <c r="CQ8" s="45">
        <v>766.298</v>
      </c>
      <c r="CR8" s="45">
        <v>769.16700000000003</v>
      </c>
      <c r="CS8" s="49">
        <v>771.57100000000003</v>
      </c>
      <c r="CT8" s="45">
        <v>773.68</v>
      </c>
      <c r="CU8" s="45">
        <v>776.02300000000002</v>
      </c>
      <c r="CV8" s="45">
        <v>779.17200000000003</v>
      </c>
      <c r="CW8" s="45">
        <v>782.07</v>
      </c>
      <c r="CX8" s="45">
        <v>785.33</v>
      </c>
      <c r="CY8" s="45">
        <v>789.06700000000001</v>
      </c>
      <c r="CZ8" s="45">
        <v>792.21400000000006</v>
      </c>
      <c r="DA8" s="45">
        <v>795.62199999999996</v>
      </c>
      <c r="DB8" s="45">
        <v>799.91</v>
      </c>
      <c r="DC8" s="45">
        <v>803.923</v>
      </c>
      <c r="DD8" s="45">
        <v>809.28200000000004</v>
      </c>
      <c r="DE8" s="49">
        <v>814.28099999999995</v>
      </c>
      <c r="DF8" s="45">
        <v>819.48199999999997</v>
      </c>
      <c r="DG8" s="45">
        <v>827.31899999999996</v>
      </c>
      <c r="DH8" s="45">
        <v>847.41099999999994</v>
      </c>
      <c r="DI8" s="45">
        <v>848.17899999999997</v>
      </c>
      <c r="DJ8" s="45">
        <v>849.47199999999998</v>
      </c>
      <c r="DK8" s="45">
        <v>851.13900000000001</v>
      </c>
      <c r="DL8" s="45">
        <v>853.51</v>
      </c>
      <c r="DM8" s="45">
        <v>855.94100000000003</v>
      </c>
      <c r="DN8" s="45">
        <v>859.24300000000005</v>
      </c>
      <c r="DO8" s="45">
        <v>863.26300000000003</v>
      </c>
      <c r="DP8" s="45">
        <v>866.70399999999995</v>
      </c>
      <c r="DQ8" s="49">
        <v>869.46299999999997</v>
      </c>
      <c r="DR8" s="45">
        <v>872.91</v>
      </c>
      <c r="DS8" s="45">
        <v>876.46799999999996</v>
      </c>
      <c r="DT8" s="45">
        <v>880.39599999999996</v>
      </c>
      <c r="DU8" s="45">
        <v>881.91</v>
      </c>
      <c r="DV8" s="45">
        <v>884.46400000000006</v>
      </c>
      <c r="DW8" s="45">
        <v>889.15099999999995</v>
      </c>
      <c r="DX8" s="45">
        <v>894.21</v>
      </c>
      <c r="DY8" s="45">
        <v>898.798</v>
      </c>
      <c r="DZ8" s="45">
        <v>904.66800000000001</v>
      </c>
      <c r="EA8" s="45">
        <v>910.66300000000001</v>
      </c>
      <c r="EB8" s="45">
        <v>916.94100000000003</v>
      </c>
      <c r="EC8" s="49">
        <v>921.59900000000005</v>
      </c>
      <c r="ED8" s="45">
        <v>926.57500000000005</v>
      </c>
      <c r="EE8" s="45">
        <v>931.98400000000004</v>
      </c>
      <c r="EF8" s="45">
        <v>939.95600000000002</v>
      </c>
      <c r="EG8" s="45">
        <v>947.49599999999998</v>
      </c>
      <c r="EH8" s="45">
        <v>954.93299999999999</v>
      </c>
      <c r="EI8" s="45">
        <v>963.33799999999997</v>
      </c>
      <c r="EJ8" s="45">
        <v>971.476</v>
      </c>
      <c r="EK8" s="45">
        <v>978.77300000000002</v>
      </c>
      <c r="EL8" s="45">
        <v>988.678</v>
      </c>
      <c r="EM8" s="45">
        <v>998.48699999999997</v>
      </c>
      <c r="EN8" s="45">
        <v>1010.715</v>
      </c>
      <c r="EO8" s="82">
        <v>1019.739</v>
      </c>
      <c r="EP8" s="45">
        <v>1031.2080000000001</v>
      </c>
      <c r="EQ8" s="45">
        <v>1044.6300000000001</v>
      </c>
      <c r="ER8" s="45">
        <v>1063.2190000000001</v>
      </c>
      <c r="ES8" s="45">
        <v>1083.171</v>
      </c>
      <c r="ET8" s="45">
        <v>1107.3409999999999</v>
      </c>
      <c r="EU8" s="45">
        <v>1131.7719999999999</v>
      </c>
      <c r="EV8" s="45">
        <v>1158.8610000000001</v>
      </c>
      <c r="EW8" s="45">
        <v>1188.7809999999999</v>
      </c>
      <c r="EX8" s="45">
        <v>1224.2650000000001</v>
      </c>
      <c r="EY8" s="45">
        <v>1262.711</v>
      </c>
      <c r="EZ8" s="45">
        <v>1307.4929999999999</v>
      </c>
      <c r="FA8" s="82">
        <v>1342.39</v>
      </c>
      <c r="FB8" s="45">
        <v>1391.1379999999999</v>
      </c>
      <c r="FC8" s="45">
        <v>1442.18</v>
      </c>
      <c r="FD8" s="45">
        <v>1500.0940000000001</v>
      </c>
      <c r="FE8" s="45">
        <v>1547.1469999999999</v>
      </c>
      <c r="FF8" s="45">
        <v>1600.33</v>
      </c>
      <c r="FG8" s="45">
        <v>1653.066</v>
      </c>
      <c r="FH8" s="45">
        <v>1697.75</v>
      </c>
      <c r="FI8" s="45">
        <v>1743.5650000000001</v>
      </c>
      <c r="FJ8" s="45">
        <v>1787.155</v>
      </c>
      <c r="FK8" s="155">
        <v>1830.8009999999999</v>
      </c>
      <c r="FL8" s="155">
        <v>1873.5650000000001</v>
      </c>
      <c r="FM8" s="155">
        <v>1901.8630000000001</v>
      </c>
      <c r="FN8" s="69">
        <v>1936.5060000000001</v>
      </c>
      <c r="FO8" s="155">
        <v>1972.771</v>
      </c>
      <c r="FP8" s="155">
        <v>2009.498</v>
      </c>
      <c r="FQ8" s="155">
        <v>2049.1120000000001</v>
      </c>
      <c r="FR8" s="155">
        <v>2088.9259999999999</v>
      </c>
      <c r="FS8" s="155">
        <v>2124.7449999999999</v>
      </c>
      <c r="FT8" s="155">
        <v>2163.6680000000001</v>
      </c>
      <c r="FU8" s="178">
        <v>2197.9229999999998</v>
      </c>
      <c r="FV8" s="178">
        <v>2234.4639999999999</v>
      </c>
      <c r="FW8" s="178">
        <v>2275.6759999999999</v>
      </c>
      <c r="FX8" s="178">
        <v>2314.5340000000001</v>
      </c>
      <c r="FY8" s="180">
        <v>2342.683</v>
      </c>
      <c r="FZ8" s="178">
        <v>2378.2530000000002</v>
      </c>
      <c r="GA8" s="178">
        <v>2418.5419999999999</v>
      </c>
      <c r="GB8" s="178">
        <v>2466.3609999999999</v>
      </c>
      <c r="GC8" s="178">
        <v>2511.4540000000002</v>
      </c>
      <c r="GD8" s="178">
        <v>2560.8139999999999</v>
      </c>
      <c r="GE8" s="178">
        <v>2610.3119999999999</v>
      </c>
      <c r="GF8" s="178">
        <v>2663.4009999999998</v>
      </c>
      <c r="GG8" s="178">
        <v>2710.7260000000001</v>
      </c>
      <c r="GH8" s="178">
        <v>2764.252</v>
      </c>
      <c r="GI8" s="178">
        <v>2820.16</v>
      </c>
      <c r="GJ8" s="178">
        <v>2869.056</v>
      </c>
      <c r="GK8" s="180">
        <v>2904.6260000000002</v>
      </c>
      <c r="GL8" s="178">
        <v>2944.0859999999998</v>
      </c>
      <c r="GM8" s="178">
        <v>2986.65</v>
      </c>
      <c r="GN8" s="178">
        <v>3036.2959999999998</v>
      </c>
      <c r="GO8" s="178">
        <v>3088.5610000000001</v>
      </c>
      <c r="GP8" s="178">
        <v>3131.53</v>
      </c>
      <c r="GQ8" s="178">
        <v>3197.5590000000002</v>
      </c>
    </row>
    <row r="9" spans="1:199" s="1" customFormat="1" ht="20.149999999999999" customHeight="1" x14ac:dyDescent="0.35">
      <c r="A9" s="31" t="s">
        <v>1625</v>
      </c>
      <c r="B9" s="45">
        <v>2.4329999999999998</v>
      </c>
      <c r="C9" s="45">
        <v>2.5289999999999999</v>
      </c>
      <c r="D9" s="45">
        <v>2.8620000000000001</v>
      </c>
      <c r="E9" s="45">
        <v>3.1070000000000002</v>
      </c>
      <c r="F9" s="45">
        <v>3.4620000000000002</v>
      </c>
      <c r="G9" s="45">
        <v>3.6829999999999998</v>
      </c>
      <c r="H9" s="45">
        <v>3.8180000000000001</v>
      </c>
      <c r="I9" s="45">
        <v>4.101</v>
      </c>
      <c r="J9" s="45">
        <v>4.55</v>
      </c>
      <c r="K9" s="45">
        <v>4.92</v>
      </c>
      <c r="L9" s="45">
        <v>5.4130000000000003</v>
      </c>
      <c r="M9" s="49">
        <v>5.6619999999999999</v>
      </c>
      <c r="N9" s="50">
        <v>6.2169999999999996</v>
      </c>
      <c r="O9" s="45">
        <v>7.0419999999999998</v>
      </c>
      <c r="P9" s="45">
        <v>7.8730000000000002</v>
      </c>
      <c r="Q9" s="45">
        <v>8.8810000000000002</v>
      </c>
      <c r="R9" s="45">
        <v>10.105</v>
      </c>
      <c r="S9" s="45">
        <v>11.478</v>
      </c>
      <c r="T9" s="45">
        <v>14.74</v>
      </c>
      <c r="U9" s="45">
        <v>18.001999999999999</v>
      </c>
      <c r="V9" s="45">
        <v>22.283000000000001</v>
      </c>
      <c r="W9" s="45">
        <v>26.594999999999999</v>
      </c>
      <c r="X9" s="45">
        <v>49.494999999999997</v>
      </c>
      <c r="Y9" s="49">
        <v>96.29</v>
      </c>
      <c r="Z9" s="50">
        <v>97.43</v>
      </c>
      <c r="AA9" s="45">
        <v>134.60499999999999</v>
      </c>
      <c r="AB9" s="45">
        <v>160.904</v>
      </c>
      <c r="AC9" s="45">
        <v>162.559</v>
      </c>
      <c r="AD9" s="45">
        <v>166.95</v>
      </c>
      <c r="AE9" s="45">
        <v>176.238</v>
      </c>
      <c r="AF9" s="45">
        <v>213.36699999999999</v>
      </c>
      <c r="AG9" s="45">
        <v>214.72200000000001</v>
      </c>
      <c r="AH9" s="45">
        <v>216.928</v>
      </c>
      <c r="AI9" s="45">
        <v>224.791</v>
      </c>
      <c r="AJ9" s="45">
        <v>227.315</v>
      </c>
      <c r="AK9" s="49">
        <v>230.095</v>
      </c>
      <c r="AL9" s="50">
        <v>233.60599999999999</v>
      </c>
      <c r="AM9" s="45">
        <v>239.37299999999999</v>
      </c>
      <c r="AN9" s="45">
        <v>247.19</v>
      </c>
      <c r="AO9" s="45">
        <v>256.12900000000002</v>
      </c>
      <c r="AP9" s="45">
        <v>263.983</v>
      </c>
      <c r="AQ9" s="45">
        <v>284.38600000000002</v>
      </c>
      <c r="AR9" s="45">
        <v>288.46600000000001</v>
      </c>
      <c r="AS9" s="45">
        <v>294.779</v>
      </c>
      <c r="AT9" s="45">
        <v>301.60599999999999</v>
      </c>
      <c r="AU9" s="45">
        <v>307.464</v>
      </c>
      <c r="AV9" s="45">
        <v>313.87799999999999</v>
      </c>
      <c r="AW9" s="49">
        <v>320.63799999999998</v>
      </c>
      <c r="AX9" s="45">
        <v>325.86399999999998</v>
      </c>
      <c r="AY9" s="45">
        <v>331.56599999999997</v>
      </c>
      <c r="AZ9" s="45">
        <v>352.976</v>
      </c>
      <c r="BA9" s="45">
        <v>356.59399999999999</v>
      </c>
      <c r="BB9" s="45">
        <v>361.69400000000002</v>
      </c>
      <c r="BC9" s="45">
        <v>368.93099999999998</v>
      </c>
      <c r="BD9" s="45">
        <v>375.78800000000001</v>
      </c>
      <c r="BE9" s="45">
        <v>382.35399999999998</v>
      </c>
      <c r="BF9" s="45">
        <v>390.33699999999999</v>
      </c>
      <c r="BG9" s="45">
        <v>398.041</v>
      </c>
      <c r="BH9" s="45">
        <v>405.80399999999997</v>
      </c>
      <c r="BI9" s="49">
        <v>422.32</v>
      </c>
      <c r="BJ9" s="45">
        <v>425.346</v>
      </c>
      <c r="BK9" s="45">
        <v>431.61500000000001</v>
      </c>
      <c r="BL9" s="45">
        <v>442.61200000000002</v>
      </c>
      <c r="BM9" s="45">
        <v>449.03100000000001</v>
      </c>
      <c r="BN9" s="45">
        <v>455.54399999999998</v>
      </c>
      <c r="BO9" s="45">
        <v>465.73500000000001</v>
      </c>
      <c r="BP9" s="45">
        <v>474.55200000000002</v>
      </c>
      <c r="BQ9" s="45">
        <v>484.46</v>
      </c>
      <c r="BR9" s="45">
        <v>506.053</v>
      </c>
      <c r="BS9" s="45">
        <v>517.08600000000001</v>
      </c>
      <c r="BT9" s="45">
        <v>534.798</v>
      </c>
      <c r="BU9" s="49">
        <v>584.30700000000002</v>
      </c>
      <c r="BV9" s="45">
        <v>607.99</v>
      </c>
      <c r="BW9" s="45">
        <v>610.12099999999998</v>
      </c>
      <c r="BX9" s="45">
        <v>614.52800000000002</v>
      </c>
      <c r="BY9" s="45">
        <v>617.19200000000001</v>
      </c>
      <c r="BZ9" s="45">
        <v>619.82100000000003</v>
      </c>
      <c r="CA9" s="45">
        <v>623.82600000000002</v>
      </c>
      <c r="CB9" s="45">
        <v>627.495</v>
      </c>
      <c r="CC9" s="45">
        <v>632.65899999999999</v>
      </c>
      <c r="CD9" s="45">
        <v>640.36900000000003</v>
      </c>
      <c r="CE9" s="45">
        <v>643.10299999999995</v>
      </c>
      <c r="CF9" s="45">
        <v>646.04300000000001</v>
      </c>
      <c r="CG9" s="49">
        <v>650.53599999999994</v>
      </c>
      <c r="CH9" s="45">
        <v>652.19200000000001</v>
      </c>
      <c r="CI9" s="45">
        <v>654.55799999999999</v>
      </c>
      <c r="CJ9" s="45">
        <v>659.14700000000005</v>
      </c>
      <c r="CK9" s="45">
        <v>662.05799999999999</v>
      </c>
      <c r="CL9" s="45">
        <v>665.65300000000002</v>
      </c>
      <c r="CM9" s="45">
        <v>669.58799999999997</v>
      </c>
      <c r="CN9" s="45">
        <v>673.34100000000001</v>
      </c>
      <c r="CO9" s="45">
        <v>677.29</v>
      </c>
      <c r="CP9" s="45">
        <v>682.173</v>
      </c>
      <c r="CQ9" s="45">
        <v>686.04300000000001</v>
      </c>
      <c r="CR9" s="45">
        <v>691.00099999999998</v>
      </c>
      <c r="CS9" s="49">
        <v>694.87300000000005</v>
      </c>
      <c r="CT9" s="45">
        <v>698.96600000000001</v>
      </c>
      <c r="CU9" s="45">
        <v>702.697</v>
      </c>
      <c r="CV9" s="45">
        <v>708.01199999999994</v>
      </c>
      <c r="CW9" s="45">
        <v>711.38199999999995</v>
      </c>
      <c r="CX9" s="45">
        <v>714.82600000000002</v>
      </c>
      <c r="CY9" s="45">
        <v>719.59699999999998</v>
      </c>
      <c r="CZ9" s="45">
        <v>723.92100000000005</v>
      </c>
      <c r="DA9" s="45">
        <v>729.03200000000004</v>
      </c>
      <c r="DB9" s="45">
        <v>733.53300000000002</v>
      </c>
      <c r="DC9" s="45">
        <v>738.57899999999995</v>
      </c>
      <c r="DD9" s="45">
        <v>743.55200000000002</v>
      </c>
      <c r="DE9" s="49">
        <v>749.18799999999999</v>
      </c>
      <c r="DF9" s="45">
        <v>755.51499999999999</v>
      </c>
      <c r="DG9" s="45">
        <v>765.51300000000003</v>
      </c>
      <c r="DH9" s="45">
        <v>804.25199999999995</v>
      </c>
      <c r="DI9" s="45">
        <v>805.803</v>
      </c>
      <c r="DJ9" s="45">
        <v>807.40599999999995</v>
      </c>
      <c r="DK9" s="45">
        <v>809.38699999999994</v>
      </c>
      <c r="DL9" s="45">
        <v>811.70299999999997</v>
      </c>
      <c r="DM9" s="45">
        <v>814.99099999999999</v>
      </c>
      <c r="DN9" s="45">
        <v>818.31299999999999</v>
      </c>
      <c r="DO9" s="45">
        <v>821.54100000000005</v>
      </c>
      <c r="DP9" s="45">
        <v>825.15200000000004</v>
      </c>
      <c r="DQ9" s="49">
        <v>827.50400000000002</v>
      </c>
      <c r="DR9" s="45">
        <v>831.03899999999999</v>
      </c>
      <c r="DS9" s="45">
        <v>834.73400000000004</v>
      </c>
      <c r="DT9" s="45">
        <v>840.33199999999999</v>
      </c>
      <c r="DU9" s="45">
        <v>841.57399999999996</v>
      </c>
      <c r="DV9" s="45">
        <v>842.59400000000005</v>
      </c>
      <c r="DW9" s="45">
        <v>845.25300000000004</v>
      </c>
      <c r="DX9" s="45">
        <v>848.39</v>
      </c>
      <c r="DY9" s="45">
        <v>850.97199999999998</v>
      </c>
      <c r="DZ9" s="45">
        <v>855.10500000000002</v>
      </c>
      <c r="EA9" s="45">
        <v>858.86900000000003</v>
      </c>
      <c r="EB9" s="45">
        <v>863.12400000000002</v>
      </c>
      <c r="EC9" s="49">
        <v>866.07399999999996</v>
      </c>
      <c r="ED9" s="45">
        <v>869.06100000000004</v>
      </c>
      <c r="EE9" s="45">
        <v>872.53300000000002</v>
      </c>
      <c r="EF9" s="45">
        <v>877.31399999999996</v>
      </c>
      <c r="EG9" s="45">
        <v>881.05100000000004</v>
      </c>
      <c r="EH9" s="45">
        <v>884.82</v>
      </c>
      <c r="EI9" s="45">
        <v>888.18799999999999</v>
      </c>
      <c r="EJ9" s="45">
        <v>892.92600000000004</v>
      </c>
      <c r="EK9" s="45">
        <v>898.13900000000001</v>
      </c>
      <c r="EL9" s="45">
        <v>903.44799999999998</v>
      </c>
      <c r="EM9" s="45">
        <v>908.44</v>
      </c>
      <c r="EN9" s="45">
        <v>914.93700000000001</v>
      </c>
      <c r="EO9" s="82">
        <v>918.32100000000003</v>
      </c>
      <c r="EP9" s="45">
        <v>923.01099999999997</v>
      </c>
      <c r="EQ9" s="45">
        <v>928.149</v>
      </c>
      <c r="ER9" s="45">
        <v>936.05100000000004</v>
      </c>
      <c r="ES9" s="45">
        <v>941.91099999999994</v>
      </c>
      <c r="ET9" s="45">
        <v>950.053</v>
      </c>
      <c r="EU9" s="45">
        <v>957.00699999999995</v>
      </c>
      <c r="EV9" s="45">
        <v>964.40499999999997</v>
      </c>
      <c r="EW9" s="45">
        <v>972.61099999999999</v>
      </c>
      <c r="EX9" s="45">
        <v>980.93899999999996</v>
      </c>
      <c r="EY9" s="45">
        <v>989.67399999999998</v>
      </c>
      <c r="EZ9" s="45">
        <v>1000.307</v>
      </c>
      <c r="FA9" s="82">
        <v>1008.295</v>
      </c>
      <c r="FB9" s="45">
        <v>1018.742</v>
      </c>
      <c r="FC9" s="45">
        <v>1031.8150000000001</v>
      </c>
      <c r="FD9" s="45">
        <v>1047.5719999999999</v>
      </c>
      <c r="FE9" s="45">
        <v>1061.3030000000001</v>
      </c>
      <c r="FF9" s="45">
        <v>1078.827</v>
      </c>
      <c r="FG9" s="45">
        <v>1099.085</v>
      </c>
      <c r="FH9" s="45">
        <v>1116.087</v>
      </c>
      <c r="FI9" s="45">
        <v>1133.172</v>
      </c>
      <c r="FJ9" s="45">
        <v>1152.1559999999999</v>
      </c>
      <c r="FK9" s="155">
        <v>1168.4169999999999</v>
      </c>
      <c r="FL9" s="155">
        <v>1185.3050000000001</v>
      </c>
      <c r="FM9" s="155">
        <v>1195.7370000000001</v>
      </c>
      <c r="FN9" s="69">
        <v>1210.56</v>
      </c>
      <c r="FO9" s="155">
        <v>1223.893</v>
      </c>
      <c r="FP9" s="155">
        <v>1239.627</v>
      </c>
      <c r="FQ9" s="155">
        <v>1255.375</v>
      </c>
      <c r="FR9" s="155">
        <v>1273.682</v>
      </c>
      <c r="FS9" s="155">
        <v>1290.806</v>
      </c>
      <c r="FT9" s="155">
        <v>1309.549</v>
      </c>
      <c r="FU9" s="178">
        <v>1327.3240000000001</v>
      </c>
      <c r="FV9" s="178">
        <v>1344.59</v>
      </c>
      <c r="FW9" s="178">
        <v>1362.2380000000001</v>
      </c>
      <c r="FX9" s="178">
        <v>1380.4690000000001</v>
      </c>
      <c r="FY9" s="180">
        <v>1392.876</v>
      </c>
      <c r="FZ9" s="178">
        <v>1410.009</v>
      </c>
      <c r="GA9" s="178">
        <v>1430.3330000000001</v>
      </c>
      <c r="GB9" s="178">
        <v>1452.3810000000001</v>
      </c>
      <c r="GC9" s="178">
        <v>1473.327</v>
      </c>
      <c r="GD9" s="178">
        <v>1496.414</v>
      </c>
      <c r="GE9" s="178">
        <v>1518.2070000000001</v>
      </c>
      <c r="GF9" s="178">
        <v>1541.8440000000001</v>
      </c>
      <c r="GG9" s="178">
        <v>1563.259</v>
      </c>
      <c r="GH9" s="178">
        <v>1587.7090000000001</v>
      </c>
      <c r="GI9" s="178">
        <v>1611.6790000000001</v>
      </c>
      <c r="GJ9" s="178">
        <v>1632.5640000000001</v>
      </c>
      <c r="GK9" s="180">
        <v>1650.59</v>
      </c>
      <c r="GL9" s="178">
        <v>1671.289</v>
      </c>
      <c r="GM9" s="178">
        <v>1695.4670000000001</v>
      </c>
      <c r="GN9" s="178">
        <v>1726.075</v>
      </c>
      <c r="GO9" s="178">
        <v>1753.2090000000001</v>
      </c>
      <c r="GP9" s="178">
        <v>1774.279</v>
      </c>
      <c r="GQ9" s="178">
        <v>1804.4190000000001</v>
      </c>
    </row>
    <row r="10" spans="1:199" s="1" customFormat="1" ht="20.149999999999999" customHeight="1" x14ac:dyDescent="0.35">
      <c r="A10" s="31" t="s">
        <v>1627</v>
      </c>
      <c r="B10" s="45">
        <v>1.133</v>
      </c>
      <c r="C10" s="45">
        <v>1.133</v>
      </c>
      <c r="D10" s="45">
        <v>1.133</v>
      </c>
      <c r="E10" s="45">
        <v>1.133</v>
      </c>
      <c r="F10" s="45">
        <v>1.3009999999999999</v>
      </c>
      <c r="G10" s="45">
        <v>2.101</v>
      </c>
      <c r="H10" s="45">
        <v>2.2509999999999999</v>
      </c>
      <c r="I10" s="45">
        <v>2.2509999999999999</v>
      </c>
      <c r="J10" s="45">
        <v>2.2509999999999999</v>
      </c>
      <c r="K10" s="45">
        <v>2.6989999999999998</v>
      </c>
      <c r="L10" s="45">
        <v>2.75</v>
      </c>
      <c r="M10" s="49">
        <v>2.8969999999999998</v>
      </c>
      <c r="N10" s="50">
        <v>2.8969999999999998</v>
      </c>
      <c r="O10" s="45">
        <v>3.4209999999999998</v>
      </c>
      <c r="P10" s="45">
        <v>4.2380000000000004</v>
      </c>
      <c r="Q10" s="45">
        <v>10.138999999999999</v>
      </c>
      <c r="R10" s="45">
        <v>11.798</v>
      </c>
      <c r="S10" s="45">
        <v>17.247</v>
      </c>
      <c r="T10" s="45">
        <v>139.82599999999999</v>
      </c>
      <c r="U10" s="45">
        <v>140.78100000000001</v>
      </c>
      <c r="V10" s="45">
        <v>156.404</v>
      </c>
      <c r="W10" s="45">
        <v>212.83099999999999</v>
      </c>
      <c r="X10" s="45">
        <v>214.464</v>
      </c>
      <c r="Y10" s="49">
        <v>222.828</v>
      </c>
      <c r="Z10" s="50">
        <v>222.98699999999999</v>
      </c>
      <c r="AA10" s="45">
        <v>226.87100000000001</v>
      </c>
      <c r="AB10" s="45">
        <v>237.54900000000001</v>
      </c>
      <c r="AC10" s="45">
        <v>238.36199999999999</v>
      </c>
      <c r="AD10" s="45">
        <v>239.48400000000001</v>
      </c>
      <c r="AE10" s="45">
        <v>255.54900000000001</v>
      </c>
      <c r="AF10" s="45">
        <v>332.488</v>
      </c>
      <c r="AG10" s="45">
        <v>335.31599999999997</v>
      </c>
      <c r="AH10" s="45">
        <v>336.98399999999998</v>
      </c>
      <c r="AI10" s="45">
        <v>340.86500000000001</v>
      </c>
      <c r="AJ10" s="45">
        <v>349.964</v>
      </c>
      <c r="AK10" s="49">
        <v>352.09300000000002</v>
      </c>
      <c r="AL10" s="50">
        <v>357.94299999999998</v>
      </c>
      <c r="AM10" s="45">
        <v>362.40699999999998</v>
      </c>
      <c r="AN10" s="45">
        <v>465.38900000000001</v>
      </c>
      <c r="AO10" s="45">
        <v>491.91699999999997</v>
      </c>
      <c r="AP10" s="45">
        <v>503.65499999999997</v>
      </c>
      <c r="AQ10" s="45">
        <v>518.17399999999998</v>
      </c>
      <c r="AR10" s="45">
        <v>532.851</v>
      </c>
      <c r="AS10" s="45">
        <v>549.86599999999999</v>
      </c>
      <c r="AT10" s="45">
        <v>560.64099999999996</v>
      </c>
      <c r="AU10" s="45">
        <v>573.18100000000004</v>
      </c>
      <c r="AV10" s="45">
        <v>581.32299999999998</v>
      </c>
      <c r="AW10" s="49">
        <v>597.08299999999997</v>
      </c>
      <c r="AX10" s="45">
        <v>611.36500000000001</v>
      </c>
      <c r="AY10" s="45">
        <v>630.97900000000004</v>
      </c>
      <c r="AZ10" s="45">
        <v>722.92</v>
      </c>
      <c r="BA10" s="45">
        <v>738.09199999999998</v>
      </c>
      <c r="BB10" s="45">
        <v>756.10299999999995</v>
      </c>
      <c r="BC10" s="45">
        <v>797.31200000000001</v>
      </c>
      <c r="BD10" s="45">
        <v>816.40899999999999</v>
      </c>
      <c r="BE10" s="45">
        <v>832.19200000000001</v>
      </c>
      <c r="BF10" s="45">
        <v>848.96100000000001</v>
      </c>
      <c r="BG10" s="45">
        <v>865.47900000000004</v>
      </c>
      <c r="BH10" s="45">
        <v>883.91</v>
      </c>
      <c r="BI10" s="49">
        <v>924.32600000000002</v>
      </c>
      <c r="BJ10" s="45">
        <v>934.88900000000001</v>
      </c>
      <c r="BK10" s="45">
        <v>953.92499999999995</v>
      </c>
      <c r="BL10" s="45">
        <v>1074.6379999999999</v>
      </c>
      <c r="BM10" s="45">
        <v>1085.0329999999999</v>
      </c>
      <c r="BN10" s="45">
        <v>1107.5619999999999</v>
      </c>
      <c r="BO10" s="45">
        <v>1172.73</v>
      </c>
      <c r="BP10" s="45">
        <v>1202.5719999999999</v>
      </c>
      <c r="BQ10" s="45">
        <v>1239.7239999999999</v>
      </c>
      <c r="BR10" s="45">
        <v>1285.2750000000001</v>
      </c>
      <c r="BS10" s="45">
        <v>1362.4469999999999</v>
      </c>
      <c r="BT10" s="45">
        <v>1446.28</v>
      </c>
      <c r="BU10" s="49">
        <v>1946.8679999999999</v>
      </c>
      <c r="BV10" s="45">
        <v>2016.425</v>
      </c>
      <c r="BW10" s="45">
        <v>2077.5039999999999</v>
      </c>
      <c r="BX10" s="45">
        <v>2595.66</v>
      </c>
      <c r="BY10" s="45">
        <v>2640.4490000000001</v>
      </c>
      <c r="BZ10" s="45">
        <v>2672.375</v>
      </c>
      <c r="CA10" s="45">
        <v>2830.4490000000001</v>
      </c>
      <c r="CB10" s="45">
        <v>2844.674</v>
      </c>
      <c r="CC10" s="45">
        <v>2873.1280000000002</v>
      </c>
      <c r="CD10" s="45">
        <v>2900.346</v>
      </c>
      <c r="CE10" s="45">
        <v>2926.3290000000002</v>
      </c>
      <c r="CF10" s="45">
        <v>2957.3649999999998</v>
      </c>
      <c r="CG10" s="49">
        <v>2997.886</v>
      </c>
      <c r="CH10" s="45">
        <v>3006.4760000000001</v>
      </c>
      <c r="CI10" s="45">
        <v>3058.5680000000002</v>
      </c>
      <c r="CJ10" s="45">
        <v>3423.1260000000002</v>
      </c>
      <c r="CK10" s="45">
        <v>3433.0520000000001</v>
      </c>
      <c r="CL10" s="45">
        <v>3439.7370000000001</v>
      </c>
      <c r="CM10" s="45">
        <v>3444.9639999999999</v>
      </c>
      <c r="CN10" s="45">
        <v>3454.2460000000001</v>
      </c>
      <c r="CO10" s="45">
        <v>3459.7049999999999</v>
      </c>
      <c r="CP10" s="45">
        <v>3463.279</v>
      </c>
      <c r="CQ10" s="45">
        <v>3465.72</v>
      </c>
      <c r="CR10" s="45">
        <v>3467.64</v>
      </c>
      <c r="CS10" s="49">
        <v>3468.7750000000001</v>
      </c>
      <c r="CT10" s="45">
        <v>3470.4189999999999</v>
      </c>
      <c r="CU10" s="45">
        <v>3471.1750000000002</v>
      </c>
      <c r="CV10" s="45">
        <v>3474.3020000000001</v>
      </c>
      <c r="CW10" s="45">
        <v>3477.0859999999998</v>
      </c>
      <c r="CX10" s="45">
        <v>3481.3119999999999</v>
      </c>
      <c r="CY10" s="45">
        <v>3487.819</v>
      </c>
      <c r="CZ10" s="45">
        <v>3490.5410000000002</v>
      </c>
      <c r="DA10" s="45">
        <v>3493.0430000000001</v>
      </c>
      <c r="DB10" s="45">
        <v>3495.4580000000001</v>
      </c>
      <c r="DC10" s="45">
        <v>3497.5549999999998</v>
      </c>
      <c r="DD10" s="45">
        <v>3506.5369999999998</v>
      </c>
      <c r="DE10" s="49">
        <v>3513.8409999999999</v>
      </c>
      <c r="DF10" s="45">
        <v>3516.81</v>
      </c>
      <c r="DG10" s="45">
        <v>3520.3980000000001</v>
      </c>
      <c r="DH10" s="45">
        <v>3524.49</v>
      </c>
      <c r="DI10" s="45">
        <v>3537.145</v>
      </c>
      <c r="DJ10" s="45">
        <v>3537.8530000000001</v>
      </c>
      <c r="DK10" s="45">
        <v>3540.0970000000002</v>
      </c>
      <c r="DL10" s="45">
        <v>3542.6889999999999</v>
      </c>
      <c r="DM10" s="45">
        <v>3549.45</v>
      </c>
      <c r="DN10" s="45">
        <v>3564.328</v>
      </c>
      <c r="DO10" s="45">
        <v>3565.462</v>
      </c>
      <c r="DP10" s="45">
        <v>3566.2220000000002</v>
      </c>
      <c r="DQ10" s="49">
        <v>3567.848</v>
      </c>
      <c r="DR10" s="45">
        <v>3576.598</v>
      </c>
      <c r="DS10" s="45">
        <v>3577.1979999999999</v>
      </c>
      <c r="DT10" s="45">
        <v>3579.5859999999998</v>
      </c>
      <c r="DU10" s="45">
        <v>3581.0369999999998</v>
      </c>
      <c r="DV10" s="45">
        <v>3581.2910000000002</v>
      </c>
      <c r="DW10" s="45">
        <v>3581.4409999999998</v>
      </c>
      <c r="DX10" s="45">
        <v>3588.2910000000002</v>
      </c>
      <c r="DY10" s="45">
        <v>3589.0410000000002</v>
      </c>
      <c r="DZ10" s="45">
        <v>3589.5410000000002</v>
      </c>
      <c r="EA10" s="45">
        <v>3593.491</v>
      </c>
      <c r="EB10" s="45">
        <v>3595.4409999999998</v>
      </c>
      <c r="EC10" s="49">
        <v>3598.7910000000002</v>
      </c>
      <c r="ED10" s="45">
        <v>3599.366</v>
      </c>
      <c r="EE10" s="45">
        <v>3601.1660000000002</v>
      </c>
      <c r="EF10" s="45">
        <v>3601.7159999999999</v>
      </c>
      <c r="EG10" s="45">
        <v>3602.0659999999998</v>
      </c>
      <c r="EH10" s="45">
        <v>3603.2159999999999</v>
      </c>
      <c r="EI10" s="45">
        <v>3604.616</v>
      </c>
      <c r="EJ10" s="45">
        <v>3610.7359999999999</v>
      </c>
      <c r="EK10" s="45">
        <v>3612.3150000000001</v>
      </c>
      <c r="EL10" s="45">
        <v>3619.51</v>
      </c>
      <c r="EM10" s="45">
        <v>3623.375</v>
      </c>
      <c r="EN10" s="45">
        <v>3625.875</v>
      </c>
      <c r="EO10" s="82">
        <v>3630.0590000000002</v>
      </c>
      <c r="EP10" s="45">
        <v>3650.2130000000002</v>
      </c>
      <c r="EQ10" s="45">
        <v>3653.6880000000001</v>
      </c>
      <c r="ER10" s="45">
        <v>3665.21</v>
      </c>
      <c r="ES10" s="45">
        <v>3672.5720000000001</v>
      </c>
      <c r="ET10" s="45">
        <v>3679.9009999999998</v>
      </c>
      <c r="EU10" s="45">
        <v>3683.5250000000001</v>
      </c>
      <c r="EV10" s="45">
        <v>3690.3629999999998</v>
      </c>
      <c r="EW10" s="45">
        <v>3691.7240000000002</v>
      </c>
      <c r="EX10" s="45">
        <v>3695.1469999999999</v>
      </c>
      <c r="EY10" s="45">
        <v>3701.0590000000002</v>
      </c>
      <c r="EZ10" s="45">
        <v>3706.1869999999999</v>
      </c>
      <c r="FA10" s="82">
        <v>3713.924</v>
      </c>
      <c r="FB10" s="45">
        <v>3716.8690000000001</v>
      </c>
      <c r="FC10" s="45">
        <v>3724.625</v>
      </c>
      <c r="FD10" s="45">
        <v>3738.7060000000001</v>
      </c>
      <c r="FE10" s="45">
        <v>3743.165</v>
      </c>
      <c r="FF10" s="45">
        <v>3748.1880000000001</v>
      </c>
      <c r="FG10" s="45">
        <v>3757.99</v>
      </c>
      <c r="FH10" s="45">
        <v>3765.6889999999999</v>
      </c>
      <c r="FI10" s="45">
        <v>3771.672</v>
      </c>
      <c r="FJ10" s="45">
        <v>3779.9929999999999</v>
      </c>
      <c r="FK10" s="155">
        <v>3791.3389999999999</v>
      </c>
      <c r="FL10" s="155">
        <v>3797.3649999999998</v>
      </c>
      <c r="FM10" s="155">
        <v>3800.9969999999998</v>
      </c>
      <c r="FN10" s="69">
        <v>3813.7829999999999</v>
      </c>
      <c r="FO10" s="155">
        <v>3819.0030000000002</v>
      </c>
      <c r="FP10" s="155">
        <v>3830.027</v>
      </c>
      <c r="FQ10" s="155">
        <v>3833.0070000000001</v>
      </c>
      <c r="FR10" s="155">
        <v>3841.105</v>
      </c>
      <c r="FS10" s="155">
        <v>3848.3049999999998</v>
      </c>
      <c r="FT10" s="155">
        <v>3857.248</v>
      </c>
      <c r="FU10" s="178">
        <v>3861.0169999999998</v>
      </c>
      <c r="FV10" s="178">
        <v>3864.7089999999998</v>
      </c>
      <c r="FW10" s="178">
        <v>3869.9760000000001</v>
      </c>
      <c r="FX10" s="178">
        <v>3875.116</v>
      </c>
      <c r="FY10" s="180">
        <v>3876.116</v>
      </c>
      <c r="FZ10" s="178">
        <v>3878.1419999999998</v>
      </c>
      <c r="GA10" s="178">
        <v>3880.98</v>
      </c>
      <c r="GB10" s="178">
        <v>3884.6120000000001</v>
      </c>
      <c r="GC10" s="178">
        <v>3887.627</v>
      </c>
      <c r="GD10" s="178">
        <v>3894.7779999999998</v>
      </c>
      <c r="GE10" s="178">
        <v>3899.7139999999999</v>
      </c>
      <c r="GF10" s="178">
        <v>3912.97</v>
      </c>
      <c r="GG10" s="178">
        <v>3917.5970000000002</v>
      </c>
      <c r="GH10" s="178">
        <v>3921.9070000000002</v>
      </c>
      <c r="GI10" s="178">
        <v>3929.5169999999998</v>
      </c>
      <c r="GJ10" s="178">
        <v>3936.7220000000002</v>
      </c>
      <c r="GK10" s="180">
        <v>3950.8220000000001</v>
      </c>
      <c r="GL10" s="178">
        <v>3953.5709999999999</v>
      </c>
      <c r="GM10" s="178">
        <v>3955.7</v>
      </c>
      <c r="GN10" s="178">
        <v>3957.8</v>
      </c>
      <c r="GO10" s="178">
        <v>3959.25</v>
      </c>
      <c r="GP10" s="178">
        <v>3960</v>
      </c>
      <c r="GQ10" s="178">
        <v>3961.45</v>
      </c>
    </row>
    <row r="11" spans="1:199" s="1" customFormat="1" ht="20.149999999999999" customHeight="1" x14ac:dyDescent="0.35">
      <c r="A11" s="31" t="s">
        <v>1624</v>
      </c>
      <c r="B11" s="45">
        <v>0</v>
      </c>
      <c r="C11" s="45">
        <v>0</v>
      </c>
      <c r="D11" s="45">
        <v>0</v>
      </c>
      <c r="E11" s="45">
        <v>0</v>
      </c>
      <c r="F11" s="45">
        <v>0</v>
      </c>
      <c r="G11" s="45">
        <v>0</v>
      </c>
      <c r="H11" s="45">
        <v>0</v>
      </c>
      <c r="I11" s="45">
        <v>0</v>
      </c>
      <c r="J11" s="45">
        <v>0</v>
      </c>
      <c r="K11" s="45">
        <v>0</v>
      </c>
      <c r="L11" s="45">
        <v>0</v>
      </c>
      <c r="M11" s="49">
        <v>0</v>
      </c>
      <c r="N11" s="50">
        <v>0</v>
      </c>
      <c r="O11" s="45">
        <v>0</v>
      </c>
      <c r="P11" s="45">
        <v>0</v>
      </c>
      <c r="Q11" s="45">
        <v>0</v>
      </c>
      <c r="R11" s="45">
        <v>0</v>
      </c>
      <c r="S11" s="45">
        <v>0</v>
      </c>
      <c r="T11" s="45">
        <v>0</v>
      </c>
      <c r="U11" s="45">
        <v>0</v>
      </c>
      <c r="V11" s="45">
        <v>0</v>
      </c>
      <c r="W11" s="45">
        <v>0</v>
      </c>
      <c r="X11" s="45">
        <v>0</v>
      </c>
      <c r="Y11" s="49">
        <v>0</v>
      </c>
      <c r="Z11" s="50">
        <v>6</v>
      </c>
      <c r="AA11" s="45">
        <v>6</v>
      </c>
      <c r="AB11" s="45">
        <v>6</v>
      </c>
      <c r="AC11" s="45">
        <v>6</v>
      </c>
      <c r="AD11" s="45">
        <v>6</v>
      </c>
      <c r="AE11" s="45">
        <v>6</v>
      </c>
      <c r="AF11" s="45">
        <v>6</v>
      </c>
      <c r="AG11" s="45">
        <v>6</v>
      </c>
      <c r="AH11" s="45">
        <v>6</v>
      </c>
      <c r="AI11" s="45">
        <v>6</v>
      </c>
      <c r="AJ11" s="45">
        <v>6</v>
      </c>
      <c r="AK11" s="49">
        <v>6</v>
      </c>
      <c r="AL11" s="50">
        <v>6</v>
      </c>
      <c r="AM11" s="45">
        <v>45.012</v>
      </c>
      <c r="AN11" s="45">
        <v>272.49900000000002</v>
      </c>
      <c r="AO11" s="45">
        <v>272.49900000000002</v>
      </c>
      <c r="AP11" s="45">
        <v>296.28300000000002</v>
      </c>
      <c r="AQ11" s="45">
        <v>349.51299999999998</v>
      </c>
      <c r="AR11" s="45">
        <v>349.51299999999998</v>
      </c>
      <c r="AS11" s="45">
        <v>368.68799999999999</v>
      </c>
      <c r="AT11" s="45">
        <v>368.68799999999999</v>
      </c>
      <c r="AU11" s="45">
        <v>368.68799999999999</v>
      </c>
      <c r="AV11" s="45">
        <v>423.68799999999999</v>
      </c>
      <c r="AW11" s="49">
        <v>445.23200000000003</v>
      </c>
      <c r="AX11" s="45">
        <v>522.36</v>
      </c>
      <c r="AY11" s="45">
        <v>554.51599999999996</v>
      </c>
      <c r="AZ11" s="45">
        <v>1400.913</v>
      </c>
      <c r="BA11" s="45">
        <v>1409.904</v>
      </c>
      <c r="BB11" s="45">
        <v>1460.3620000000001</v>
      </c>
      <c r="BC11" s="45">
        <v>1515.2339999999999</v>
      </c>
      <c r="BD11" s="45">
        <v>1588.1410000000001</v>
      </c>
      <c r="BE11" s="45">
        <v>1594.2139999999999</v>
      </c>
      <c r="BF11" s="45">
        <v>1661.1849999999999</v>
      </c>
      <c r="BG11" s="45">
        <v>1701.164</v>
      </c>
      <c r="BH11" s="45">
        <v>1774.3140000000001</v>
      </c>
      <c r="BI11" s="49">
        <v>1893.9839999999999</v>
      </c>
      <c r="BJ11" s="45">
        <v>1953.204</v>
      </c>
      <c r="BK11" s="45">
        <v>2058.9949999999999</v>
      </c>
      <c r="BL11" s="45">
        <v>3596.6210000000001</v>
      </c>
      <c r="BM11" s="45">
        <v>3596.6210000000001</v>
      </c>
      <c r="BN11" s="45">
        <v>3596.6210000000001</v>
      </c>
      <c r="BO11" s="45">
        <v>3602.241</v>
      </c>
      <c r="BP11" s="45">
        <v>3613.2919999999999</v>
      </c>
      <c r="BQ11" s="45">
        <v>3647.6060000000002</v>
      </c>
      <c r="BR11" s="45">
        <v>3647.6060000000002</v>
      </c>
      <c r="BS11" s="45">
        <v>3678.098</v>
      </c>
      <c r="BT11" s="45">
        <v>3720.444</v>
      </c>
      <c r="BU11" s="49">
        <v>3775.3470000000002</v>
      </c>
      <c r="BV11" s="45">
        <v>3802.4180000000001</v>
      </c>
      <c r="BW11" s="45">
        <v>3835.288</v>
      </c>
      <c r="BX11" s="45">
        <v>4065.373</v>
      </c>
      <c r="BY11" s="45">
        <v>4075.9929999999999</v>
      </c>
      <c r="BZ11" s="45">
        <v>4075.9929999999999</v>
      </c>
      <c r="CA11" s="45">
        <v>4121.8329999999996</v>
      </c>
      <c r="CB11" s="45">
        <v>4136.433</v>
      </c>
      <c r="CC11" s="45">
        <v>4155.8329999999996</v>
      </c>
      <c r="CD11" s="45">
        <v>4155.8329999999996</v>
      </c>
      <c r="CE11" s="45">
        <v>4160.8329999999996</v>
      </c>
      <c r="CF11" s="45">
        <v>4160.8329999999996</v>
      </c>
      <c r="CG11" s="49">
        <v>4185.8329999999996</v>
      </c>
      <c r="CH11" s="45">
        <v>4207.8329999999996</v>
      </c>
      <c r="CI11" s="45">
        <v>4212.8329999999996</v>
      </c>
      <c r="CJ11" s="45">
        <v>4312.473</v>
      </c>
      <c r="CK11" s="45">
        <v>4312.473</v>
      </c>
      <c r="CL11" s="45">
        <v>4312.473</v>
      </c>
      <c r="CM11" s="45">
        <v>4312.473</v>
      </c>
      <c r="CN11" s="45">
        <v>4321.0129999999999</v>
      </c>
      <c r="CO11" s="45">
        <v>4321.0129999999999</v>
      </c>
      <c r="CP11" s="45">
        <v>4321.0129999999999</v>
      </c>
      <c r="CQ11" s="45">
        <v>4331.7129999999997</v>
      </c>
      <c r="CR11" s="45">
        <v>4331.7129999999997</v>
      </c>
      <c r="CS11" s="49">
        <v>4331.7129999999997</v>
      </c>
      <c r="CT11" s="45">
        <v>4331.7129999999997</v>
      </c>
      <c r="CU11" s="45">
        <v>4331.7129999999997</v>
      </c>
      <c r="CV11" s="45">
        <v>4331.7129999999997</v>
      </c>
      <c r="CW11" s="45">
        <v>4331.7129999999997</v>
      </c>
      <c r="CX11" s="45">
        <v>4331.7129999999997</v>
      </c>
      <c r="CY11" s="45">
        <v>4331.7129999999997</v>
      </c>
      <c r="CZ11" s="45">
        <v>4331.7129999999997</v>
      </c>
      <c r="DA11" s="45">
        <v>4331.7129999999997</v>
      </c>
      <c r="DB11" s="45">
        <v>4331.7129999999997</v>
      </c>
      <c r="DC11" s="45">
        <v>4339.2129999999997</v>
      </c>
      <c r="DD11" s="45">
        <v>4339.2129999999997</v>
      </c>
      <c r="DE11" s="49">
        <v>4344.2129999999997</v>
      </c>
      <c r="DF11" s="45">
        <v>4344.2129999999997</v>
      </c>
      <c r="DG11" s="45">
        <v>4344.2129999999997</v>
      </c>
      <c r="DH11" s="45">
        <v>4344.2129999999997</v>
      </c>
      <c r="DI11" s="45">
        <v>4344.2129999999997</v>
      </c>
      <c r="DJ11" s="45">
        <v>4344.2129999999997</v>
      </c>
      <c r="DK11" s="45">
        <v>4344.2129999999997</v>
      </c>
      <c r="DL11" s="45">
        <v>4351.4129999999996</v>
      </c>
      <c r="DM11" s="45">
        <v>4351.4129999999996</v>
      </c>
      <c r="DN11" s="45">
        <v>4351.4129999999996</v>
      </c>
      <c r="DO11" s="45">
        <v>4351.4129999999996</v>
      </c>
      <c r="DP11" s="45">
        <v>4351.4129999999996</v>
      </c>
      <c r="DQ11" s="49">
        <v>4351.4129999999996</v>
      </c>
      <c r="DR11" s="45">
        <v>4370.7209999999995</v>
      </c>
      <c r="DS11" s="45">
        <v>4375.7209999999995</v>
      </c>
      <c r="DT11" s="45">
        <v>4375.7209999999995</v>
      </c>
      <c r="DU11" s="45">
        <v>4375.7209999999995</v>
      </c>
      <c r="DV11" s="45">
        <v>4384.6210000000001</v>
      </c>
      <c r="DW11" s="45">
        <v>4384.6210000000001</v>
      </c>
      <c r="DX11" s="45">
        <v>4384.6210000000001</v>
      </c>
      <c r="DY11" s="45">
        <v>4389.6210000000001</v>
      </c>
      <c r="DZ11" s="45">
        <v>4389.6210000000001</v>
      </c>
      <c r="EA11" s="45">
        <v>4389.6210000000001</v>
      </c>
      <c r="EB11" s="45">
        <v>4389.6210000000001</v>
      </c>
      <c r="EC11" s="49">
        <v>4401.6459999999997</v>
      </c>
      <c r="ED11" s="45">
        <v>4409.6459999999997</v>
      </c>
      <c r="EE11" s="45">
        <v>4409.6459999999997</v>
      </c>
      <c r="EF11" s="45">
        <v>4417.6459999999997</v>
      </c>
      <c r="EG11" s="45">
        <v>4417.6459999999997</v>
      </c>
      <c r="EH11" s="45">
        <v>4424.6459999999997</v>
      </c>
      <c r="EI11" s="45">
        <v>4438.6459999999997</v>
      </c>
      <c r="EJ11" s="45">
        <v>4438.6459999999997</v>
      </c>
      <c r="EK11" s="45">
        <v>4438.6459999999997</v>
      </c>
      <c r="EL11" s="45">
        <v>4438.6459999999997</v>
      </c>
      <c r="EM11" s="45">
        <v>4438.6459999999997</v>
      </c>
      <c r="EN11" s="45">
        <v>4438.6459999999997</v>
      </c>
      <c r="EO11" s="82">
        <v>4438.6459999999997</v>
      </c>
      <c r="EP11" s="45">
        <v>4481.2730000000001</v>
      </c>
      <c r="EQ11" s="45">
        <v>4481.2730000000001</v>
      </c>
      <c r="ER11" s="45">
        <v>4481.2730000000001</v>
      </c>
      <c r="ES11" s="45">
        <v>4481.2730000000001</v>
      </c>
      <c r="ET11" s="45">
        <v>4486.2730000000001</v>
      </c>
      <c r="EU11" s="45">
        <v>4486.2730000000001</v>
      </c>
      <c r="EV11" s="45">
        <v>4501.4430000000002</v>
      </c>
      <c r="EW11" s="45">
        <v>4501.4430000000002</v>
      </c>
      <c r="EX11" s="45">
        <v>4519.4430000000002</v>
      </c>
      <c r="EY11" s="45">
        <v>4562.4430000000002</v>
      </c>
      <c r="EZ11" s="45">
        <v>4562.4430000000002</v>
      </c>
      <c r="FA11" s="82">
        <v>4580.6729999999998</v>
      </c>
      <c r="FB11" s="45">
        <v>4652.0230000000001</v>
      </c>
      <c r="FC11" s="45">
        <v>4702.7290000000003</v>
      </c>
      <c r="FD11" s="45">
        <v>4740.3789999999999</v>
      </c>
      <c r="FE11" s="45">
        <v>4745.3789999999999</v>
      </c>
      <c r="FF11" s="45">
        <v>4767.2290000000003</v>
      </c>
      <c r="FG11" s="45">
        <v>4787.2290000000003</v>
      </c>
      <c r="FH11" s="45">
        <v>4787.2290000000003</v>
      </c>
      <c r="FI11" s="45">
        <v>4787.2290000000003</v>
      </c>
      <c r="FJ11" s="45">
        <v>4796.9189999999999</v>
      </c>
      <c r="FK11" s="155">
        <v>4834.0690000000004</v>
      </c>
      <c r="FL11" s="155">
        <v>4872.9690000000001</v>
      </c>
      <c r="FM11" s="155">
        <v>4872.9690000000001</v>
      </c>
      <c r="FN11" s="69">
        <v>4909.7439999999997</v>
      </c>
      <c r="FO11" s="155">
        <v>4909.7439999999997</v>
      </c>
      <c r="FP11" s="155">
        <v>4962.4780000000001</v>
      </c>
      <c r="FQ11" s="155">
        <v>4962.4780000000001</v>
      </c>
      <c r="FR11" s="67">
        <v>4962.4780000000001</v>
      </c>
      <c r="FS11" s="67">
        <v>5005.8680000000004</v>
      </c>
      <c r="FT11" s="67">
        <v>5005.8680000000004</v>
      </c>
      <c r="FU11" s="178">
        <v>5005.8680000000004</v>
      </c>
      <c r="FV11" s="178">
        <v>5005.8680000000004</v>
      </c>
      <c r="FW11" s="178">
        <v>5029.1000000000004</v>
      </c>
      <c r="FX11" s="178">
        <v>5029.1000000000004</v>
      </c>
      <c r="FY11" s="180">
        <v>5039.1000000000004</v>
      </c>
      <c r="FZ11" s="178">
        <v>5067.37</v>
      </c>
      <c r="GA11" s="178">
        <v>5077.37</v>
      </c>
      <c r="GB11" s="178">
        <v>5077.37</v>
      </c>
      <c r="GC11" s="178">
        <v>5077.37</v>
      </c>
      <c r="GD11" s="178">
        <v>5108.32</v>
      </c>
      <c r="GE11" s="178">
        <v>5127.32</v>
      </c>
      <c r="GF11" s="178">
        <v>5127.32</v>
      </c>
      <c r="GG11" s="178">
        <v>5145.32</v>
      </c>
      <c r="GH11" s="178">
        <v>5145.32</v>
      </c>
      <c r="GI11" s="178">
        <v>5152.2700000000004</v>
      </c>
      <c r="GJ11" s="178">
        <v>5152.2700000000004</v>
      </c>
      <c r="GK11" s="180">
        <v>5152.2700000000004</v>
      </c>
      <c r="GL11" s="178">
        <v>5152.2700000000004</v>
      </c>
      <c r="GM11" s="178">
        <v>5152.2700000000004</v>
      </c>
      <c r="GN11" s="178">
        <v>5152.2700000000004</v>
      </c>
      <c r="GO11" s="178">
        <v>5152.2700000000004</v>
      </c>
      <c r="GP11" s="178">
        <v>5152.2700000000004</v>
      </c>
      <c r="GQ11" s="178">
        <v>5152.2700000000004</v>
      </c>
    </row>
    <row r="12" spans="1:199" s="1" customFormat="1" ht="20.149999999999999" customHeight="1" x14ac:dyDescent="0.4">
      <c r="A12" s="31" t="s">
        <v>1628</v>
      </c>
      <c r="B12" s="46">
        <v>0</v>
      </c>
      <c r="C12" s="46">
        <v>0</v>
      </c>
      <c r="D12" s="46">
        <v>0</v>
      </c>
      <c r="E12" s="46">
        <v>0</v>
      </c>
      <c r="F12" s="46">
        <v>0</v>
      </c>
      <c r="G12" s="46">
        <v>0</v>
      </c>
      <c r="H12" s="46">
        <v>0</v>
      </c>
      <c r="I12" s="46">
        <v>0</v>
      </c>
      <c r="J12" s="46">
        <v>0</v>
      </c>
      <c r="K12" s="46">
        <v>0</v>
      </c>
      <c r="L12" s="46">
        <v>0</v>
      </c>
      <c r="M12" s="48">
        <v>0</v>
      </c>
      <c r="N12" s="47">
        <v>0</v>
      </c>
      <c r="O12" s="46">
        <v>0</v>
      </c>
      <c r="P12" s="46">
        <v>0</v>
      </c>
      <c r="Q12" s="46">
        <v>0</v>
      </c>
      <c r="R12" s="46">
        <v>0</v>
      </c>
      <c r="S12" s="46">
        <v>0</v>
      </c>
      <c r="T12" s="46">
        <v>0</v>
      </c>
      <c r="U12" s="46">
        <v>0</v>
      </c>
      <c r="V12" s="46">
        <v>0</v>
      </c>
      <c r="W12" s="46">
        <v>0</v>
      </c>
      <c r="X12" s="46">
        <v>0</v>
      </c>
      <c r="Y12" s="48">
        <v>0</v>
      </c>
      <c r="Z12" s="47">
        <v>0</v>
      </c>
      <c r="AA12" s="46">
        <v>0</v>
      </c>
      <c r="AB12" s="46">
        <v>0</v>
      </c>
      <c r="AC12" s="46">
        <v>0</v>
      </c>
      <c r="AD12" s="46">
        <v>0</v>
      </c>
      <c r="AE12" s="46">
        <v>0</v>
      </c>
      <c r="AF12" s="46">
        <v>0</v>
      </c>
      <c r="AG12" s="46">
        <v>0</v>
      </c>
      <c r="AH12" s="46">
        <v>0</v>
      </c>
      <c r="AI12" s="46">
        <v>0</v>
      </c>
      <c r="AJ12" s="46">
        <v>0</v>
      </c>
      <c r="AK12" s="48">
        <v>0</v>
      </c>
      <c r="AL12" s="47">
        <v>0</v>
      </c>
      <c r="AM12" s="46">
        <v>0</v>
      </c>
      <c r="AN12" s="46">
        <v>34.47</v>
      </c>
      <c r="AO12" s="46">
        <v>34.47</v>
      </c>
      <c r="AP12" s="46">
        <v>34.47</v>
      </c>
      <c r="AQ12" s="46">
        <v>34.47</v>
      </c>
      <c r="AR12" s="46">
        <v>34.47</v>
      </c>
      <c r="AS12" s="46">
        <v>34.47</v>
      </c>
      <c r="AT12" s="46">
        <v>34.47</v>
      </c>
      <c r="AU12" s="46">
        <v>34.47</v>
      </c>
      <c r="AV12" s="46">
        <v>34.47</v>
      </c>
      <c r="AW12" s="48">
        <v>34.47</v>
      </c>
      <c r="AX12" s="46">
        <v>34.47</v>
      </c>
      <c r="AY12" s="46">
        <v>66.171000000000006</v>
      </c>
      <c r="AZ12" s="46">
        <v>97.760999999999996</v>
      </c>
      <c r="BA12" s="46">
        <v>129.77099999999999</v>
      </c>
      <c r="BB12" s="46">
        <v>129.77099999999999</v>
      </c>
      <c r="BC12" s="46">
        <v>129.77099999999999</v>
      </c>
      <c r="BD12" s="46">
        <v>162.221</v>
      </c>
      <c r="BE12" s="46">
        <v>162.221</v>
      </c>
      <c r="BF12" s="46">
        <v>236.06399999999999</v>
      </c>
      <c r="BG12" s="46">
        <v>296.745</v>
      </c>
      <c r="BH12" s="46">
        <v>296.745</v>
      </c>
      <c r="BI12" s="48">
        <v>383.32100000000003</v>
      </c>
      <c r="BJ12" s="46">
        <v>383.32100000000003</v>
      </c>
      <c r="BK12" s="46">
        <v>383.32100000000003</v>
      </c>
      <c r="BL12" s="46">
        <v>1030.6369999999999</v>
      </c>
      <c r="BM12" s="46">
        <v>1030.6369999999999</v>
      </c>
      <c r="BN12" s="46">
        <v>1030.6369999999999</v>
      </c>
      <c r="BO12" s="46">
        <v>1030.6369999999999</v>
      </c>
      <c r="BP12" s="46">
        <v>1030.6369999999999</v>
      </c>
      <c r="BQ12" s="46">
        <v>1030.6369999999999</v>
      </c>
      <c r="BR12" s="46">
        <v>1030.6369999999999</v>
      </c>
      <c r="BS12" s="46">
        <v>1030.6369999999999</v>
      </c>
      <c r="BT12" s="46">
        <v>1030.6369999999999</v>
      </c>
      <c r="BU12" s="48">
        <v>1030.6369999999999</v>
      </c>
      <c r="BV12" s="46">
        <v>1030.6369999999999</v>
      </c>
      <c r="BW12" s="46">
        <v>1030.6369999999999</v>
      </c>
      <c r="BX12" s="46">
        <v>1435.4369999999999</v>
      </c>
      <c r="BY12" s="46">
        <v>1435.4369999999999</v>
      </c>
      <c r="BZ12" s="46">
        <v>1435.4369999999999</v>
      </c>
      <c r="CA12" s="46">
        <v>1435.4369999999999</v>
      </c>
      <c r="CB12" s="46">
        <v>1435.4369999999999</v>
      </c>
      <c r="CC12" s="46">
        <v>1435.4369999999999</v>
      </c>
      <c r="CD12" s="46">
        <v>1435.4369999999999</v>
      </c>
      <c r="CE12" s="46">
        <v>1435.4369999999999</v>
      </c>
      <c r="CF12" s="46">
        <v>1435.4369999999999</v>
      </c>
      <c r="CG12" s="48">
        <v>1435.4369999999999</v>
      </c>
      <c r="CH12" s="45">
        <v>1435.4369999999999</v>
      </c>
      <c r="CI12" s="45">
        <v>1435.4369999999999</v>
      </c>
      <c r="CJ12" s="45">
        <v>1435.4369999999999</v>
      </c>
      <c r="CK12" s="45">
        <v>1435.4369999999999</v>
      </c>
      <c r="CL12" s="45">
        <v>1435.4369999999999</v>
      </c>
      <c r="CM12" s="45">
        <v>1435.4369999999999</v>
      </c>
      <c r="CN12" s="45">
        <v>1435.4369999999999</v>
      </c>
      <c r="CO12" s="45">
        <v>1435.4369999999999</v>
      </c>
      <c r="CP12" s="45">
        <v>1435.4369999999999</v>
      </c>
      <c r="CQ12" s="45">
        <v>1435.4369999999999</v>
      </c>
      <c r="CR12" s="45">
        <v>1435.4369999999999</v>
      </c>
      <c r="CS12" s="49">
        <v>1435.4369999999999</v>
      </c>
      <c r="CT12" s="45">
        <v>1435.4369999999999</v>
      </c>
      <c r="CU12" s="45">
        <v>1435.4369999999999</v>
      </c>
      <c r="CV12" s="45">
        <v>1435.4369999999999</v>
      </c>
      <c r="CW12" s="45">
        <v>1435.4369999999999</v>
      </c>
      <c r="CX12" s="45">
        <v>1435.4369999999999</v>
      </c>
      <c r="CY12" s="45">
        <v>1435.4369999999999</v>
      </c>
      <c r="CZ12" s="45">
        <v>1435.4369999999999</v>
      </c>
      <c r="DA12" s="45">
        <v>1435.4369999999999</v>
      </c>
      <c r="DB12" s="45">
        <v>1435.4369999999999</v>
      </c>
      <c r="DC12" s="45">
        <v>1435.4369999999999</v>
      </c>
      <c r="DD12" s="46">
        <v>1435.4369999999999</v>
      </c>
      <c r="DE12" s="48">
        <v>1435.4369999999999</v>
      </c>
      <c r="DF12" s="45">
        <v>1435.4369999999999</v>
      </c>
      <c r="DG12" s="45">
        <v>1435.4369999999999</v>
      </c>
      <c r="DH12" s="46">
        <v>1435.4369999999999</v>
      </c>
      <c r="DI12" s="45">
        <v>1435.4369999999999</v>
      </c>
      <c r="DJ12" s="45">
        <v>1435.4369999999999</v>
      </c>
      <c r="DK12" s="45">
        <v>1435.4369999999999</v>
      </c>
      <c r="DL12" s="46">
        <v>1435.4369999999999</v>
      </c>
      <c r="DM12" s="45">
        <v>1435.4369999999999</v>
      </c>
      <c r="DN12" s="45">
        <v>1435.4369999999999</v>
      </c>
      <c r="DO12" s="45">
        <v>1435.4369999999999</v>
      </c>
      <c r="DP12" s="45">
        <v>1435.4369999999999</v>
      </c>
      <c r="DQ12" s="48">
        <v>1470.1369999999999</v>
      </c>
      <c r="DR12" s="45">
        <v>1513.357</v>
      </c>
      <c r="DS12" s="45">
        <v>1513.357</v>
      </c>
      <c r="DT12" s="45">
        <v>1513.357</v>
      </c>
      <c r="DU12" s="45">
        <v>1513.357</v>
      </c>
      <c r="DV12" s="45">
        <v>1513.357</v>
      </c>
      <c r="DW12" s="45">
        <v>1513.357</v>
      </c>
      <c r="DX12" s="45">
        <v>1513.357</v>
      </c>
      <c r="DY12" s="45">
        <v>1513.357</v>
      </c>
      <c r="DZ12" s="45">
        <v>1513.357</v>
      </c>
      <c r="EA12" s="45">
        <v>1513.357</v>
      </c>
      <c r="EB12" s="45">
        <v>1513.357</v>
      </c>
      <c r="EC12" s="49">
        <v>1563.357</v>
      </c>
      <c r="ED12" s="45">
        <v>1563.357</v>
      </c>
      <c r="EE12" s="45">
        <v>1563.357</v>
      </c>
      <c r="EF12" s="45">
        <v>1670.357</v>
      </c>
      <c r="EG12" s="45">
        <v>1720.2570000000001</v>
      </c>
      <c r="EH12" s="45">
        <v>1720.2570000000001</v>
      </c>
      <c r="EI12" s="45">
        <v>1720.2570000000001</v>
      </c>
      <c r="EJ12" s="45">
        <v>1720.2570000000001</v>
      </c>
      <c r="EK12" s="45">
        <v>1720.2570000000001</v>
      </c>
      <c r="EL12" s="45">
        <v>1720.2570000000001</v>
      </c>
      <c r="EM12" s="45">
        <v>1720.2570000000001</v>
      </c>
      <c r="EN12" s="45">
        <v>1720.2570000000001</v>
      </c>
      <c r="EO12" s="82">
        <v>1720.2570000000001</v>
      </c>
      <c r="EP12" s="45">
        <v>1720.2570000000001</v>
      </c>
      <c r="EQ12" s="45">
        <v>1720.2570000000001</v>
      </c>
      <c r="ER12" s="45">
        <v>1720.2570000000001</v>
      </c>
      <c r="ES12" s="45">
        <v>1720.2570000000001</v>
      </c>
      <c r="ET12" s="45">
        <v>1720.2570000000001</v>
      </c>
      <c r="EU12" s="45">
        <v>1720.2570000000001</v>
      </c>
      <c r="EV12" s="45">
        <v>1720.2570000000001</v>
      </c>
      <c r="EW12" s="45">
        <v>1720.2570000000001</v>
      </c>
      <c r="EX12" s="45">
        <v>1720.2570000000001</v>
      </c>
      <c r="EY12" s="45">
        <v>1720.2570000000001</v>
      </c>
      <c r="EZ12" s="45">
        <v>1720.2570000000001</v>
      </c>
      <c r="FA12" s="82">
        <v>1760.2570000000001</v>
      </c>
      <c r="FB12" s="45">
        <v>2033.057</v>
      </c>
      <c r="FC12" s="45">
        <v>2254.1640000000002</v>
      </c>
      <c r="FD12" s="45">
        <v>2644.4540000000002</v>
      </c>
      <c r="FE12" s="45">
        <v>2644.4540000000002</v>
      </c>
      <c r="FF12" s="45">
        <v>2694.3539999999998</v>
      </c>
      <c r="FG12" s="45">
        <v>2722.8539999999998</v>
      </c>
      <c r="FH12" s="45">
        <v>2722.8539999999998</v>
      </c>
      <c r="FI12" s="45">
        <v>2722.8539999999998</v>
      </c>
      <c r="FJ12" s="45">
        <v>2810.7539999999999</v>
      </c>
      <c r="FK12" s="155">
        <v>2810.7539999999999</v>
      </c>
      <c r="FL12" s="155">
        <v>2810.7539999999999</v>
      </c>
      <c r="FM12" s="155">
        <v>2810.7539999999999</v>
      </c>
      <c r="FN12" s="69">
        <v>2850.7539999999999</v>
      </c>
      <c r="FO12" s="155">
        <v>2876.7539999999999</v>
      </c>
      <c r="FP12" s="155">
        <v>2978.5540000000001</v>
      </c>
      <c r="FQ12" s="155">
        <v>3028.4540000000002</v>
      </c>
      <c r="FR12" s="155">
        <v>3078.3539999999998</v>
      </c>
      <c r="FS12" s="155">
        <v>3123.3539999999998</v>
      </c>
      <c r="FT12" s="155">
        <v>3179.8040000000001</v>
      </c>
      <c r="FU12" s="178">
        <v>3212.8040000000001</v>
      </c>
      <c r="FV12" s="178">
        <v>3212.8040000000001</v>
      </c>
      <c r="FW12" s="178">
        <v>3464.7040000000002</v>
      </c>
      <c r="FX12" s="178">
        <v>3514.6039999999998</v>
      </c>
      <c r="FY12" s="180">
        <v>3549.6039999999998</v>
      </c>
      <c r="FZ12" s="178">
        <v>3635.5940000000001</v>
      </c>
      <c r="GA12" s="178">
        <v>3635.5940000000001</v>
      </c>
      <c r="GB12" s="178">
        <v>3880.194</v>
      </c>
      <c r="GC12" s="178">
        <v>3930.194</v>
      </c>
      <c r="GD12" s="178">
        <v>3930.194</v>
      </c>
      <c r="GE12" s="178">
        <v>3978.194</v>
      </c>
      <c r="GF12" s="178">
        <v>4436.0940000000001</v>
      </c>
      <c r="GG12" s="178">
        <v>4513.9939999999997</v>
      </c>
      <c r="GH12" s="178">
        <v>4555.9939999999997</v>
      </c>
      <c r="GI12" s="178">
        <v>4703.7340000000004</v>
      </c>
      <c r="GJ12" s="178">
        <v>4769.7340000000004</v>
      </c>
      <c r="GK12" s="180">
        <v>4819.634</v>
      </c>
      <c r="GL12" s="178">
        <v>4819.634</v>
      </c>
      <c r="GM12" s="178">
        <v>4819.634</v>
      </c>
      <c r="GN12" s="178">
        <v>4869.5339999999997</v>
      </c>
      <c r="GO12" s="178">
        <v>4869.5339999999997</v>
      </c>
      <c r="GP12" s="178">
        <v>4869.5339999999997</v>
      </c>
      <c r="GQ12" s="178">
        <v>4869.5339999999997</v>
      </c>
    </row>
    <row r="13" spans="1:199" s="25" customFormat="1" ht="20.149999999999999" customHeight="1" thickBot="1" x14ac:dyDescent="0.4">
      <c r="A13" s="32" t="s">
        <v>267</v>
      </c>
      <c r="B13" s="51">
        <f>SUM(B7:B12)</f>
        <v>14.225999999999999</v>
      </c>
      <c r="C13" s="52">
        <f t="shared" ref="C13:BN13" si="0">SUM(C7:C12)</f>
        <v>15.641999999999999</v>
      </c>
      <c r="D13" s="52">
        <f t="shared" si="0"/>
        <v>18.135999999999999</v>
      </c>
      <c r="E13" s="52">
        <f t="shared" si="0"/>
        <v>20.780999999999999</v>
      </c>
      <c r="F13" s="52">
        <f t="shared" si="0"/>
        <v>25.078999999999997</v>
      </c>
      <c r="G13" s="52">
        <f t="shared" si="0"/>
        <v>30.692</v>
      </c>
      <c r="H13" s="52">
        <f t="shared" si="0"/>
        <v>36.567999999999998</v>
      </c>
      <c r="I13" s="52">
        <f t="shared" si="0"/>
        <v>42.388999999999996</v>
      </c>
      <c r="J13" s="52">
        <f t="shared" si="0"/>
        <v>49.910999999999994</v>
      </c>
      <c r="K13" s="52">
        <f t="shared" si="0"/>
        <v>59.347000000000001</v>
      </c>
      <c r="L13" s="52">
        <f t="shared" si="0"/>
        <v>69.789000000000001</v>
      </c>
      <c r="M13" s="52">
        <f t="shared" si="0"/>
        <v>77.780000000000015</v>
      </c>
      <c r="N13" s="51">
        <f t="shared" si="0"/>
        <v>88.988</v>
      </c>
      <c r="O13" s="52">
        <f t="shared" si="0"/>
        <v>102.46000000000001</v>
      </c>
      <c r="P13" s="52">
        <f t="shared" si="0"/>
        <v>122.36600000000001</v>
      </c>
      <c r="Q13" s="52">
        <f t="shared" si="0"/>
        <v>146.792</v>
      </c>
      <c r="R13" s="52">
        <f t="shared" si="0"/>
        <v>170.43299999999999</v>
      </c>
      <c r="S13" s="52">
        <f t="shared" si="0"/>
        <v>204.38299999999998</v>
      </c>
      <c r="T13" s="52">
        <f t="shared" si="0"/>
        <v>362.21000000000004</v>
      </c>
      <c r="U13" s="52">
        <f t="shared" si="0"/>
        <v>408.14400000000001</v>
      </c>
      <c r="V13" s="52">
        <f t="shared" si="0"/>
        <v>480.05500000000001</v>
      </c>
      <c r="W13" s="52">
        <f t="shared" si="0"/>
        <v>601.59199999999998</v>
      </c>
      <c r="X13" s="52">
        <f t="shared" si="0"/>
        <v>800.08899999999994</v>
      </c>
      <c r="Y13" s="52">
        <f t="shared" si="0"/>
        <v>993.64699999999993</v>
      </c>
      <c r="Z13" s="51">
        <f t="shared" si="0"/>
        <v>1024.0569999999998</v>
      </c>
      <c r="AA13" s="52">
        <f t="shared" si="0"/>
        <v>1198.5990000000002</v>
      </c>
      <c r="AB13" s="52">
        <f t="shared" si="0"/>
        <v>1310.6969999999999</v>
      </c>
      <c r="AC13" s="52">
        <f t="shared" si="0"/>
        <v>1327.998</v>
      </c>
      <c r="AD13" s="52">
        <f t="shared" si="0"/>
        <v>1364.19</v>
      </c>
      <c r="AE13" s="52">
        <f t="shared" si="0"/>
        <v>1429.4159999999999</v>
      </c>
      <c r="AF13" s="52">
        <f t="shared" si="0"/>
        <v>1625.165</v>
      </c>
      <c r="AG13" s="52">
        <f t="shared" si="0"/>
        <v>1640.201</v>
      </c>
      <c r="AH13" s="52">
        <f t="shared" si="0"/>
        <v>1659.127</v>
      </c>
      <c r="AI13" s="52">
        <f t="shared" si="0"/>
        <v>1703.5139999999999</v>
      </c>
      <c r="AJ13" s="52">
        <f t="shared" si="0"/>
        <v>1731.8679999999999</v>
      </c>
      <c r="AK13" s="53">
        <f t="shared" si="0"/>
        <v>1754.402</v>
      </c>
      <c r="AL13" s="52">
        <f t="shared" si="0"/>
        <v>1782.9739999999999</v>
      </c>
      <c r="AM13" s="52">
        <f t="shared" si="0"/>
        <v>1853.2269999999999</v>
      </c>
      <c r="AN13" s="52">
        <f t="shared" si="0"/>
        <v>2250.3420000000001</v>
      </c>
      <c r="AO13" s="52">
        <f t="shared" si="0"/>
        <v>2311.547</v>
      </c>
      <c r="AP13" s="52">
        <f t="shared" si="0"/>
        <v>2381.2969999999996</v>
      </c>
      <c r="AQ13" s="52">
        <f t="shared" si="0"/>
        <v>2509.181</v>
      </c>
      <c r="AR13" s="52">
        <f t="shared" si="0"/>
        <v>2548.4479999999999</v>
      </c>
      <c r="AS13" s="52">
        <f t="shared" si="0"/>
        <v>2615.152</v>
      </c>
      <c r="AT13" s="52">
        <f t="shared" si="0"/>
        <v>2658.4249999999997</v>
      </c>
      <c r="AU13" s="52">
        <f t="shared" si="0"/>
        <v>2704.7159999999999</v>
      </c>
      <c r="AV13" s="52">
        <f t="shared" si="0"/>
        <v>2806.279</v>
      </c>
      <c r="AW13" s="54">
        <f t="shared" si="0"/>
        <v>2876.9759999999997</v>
      </c>
      <c r="AX13" s="52">
        <f t="shared" si="0"/>
        <v>2999.6149999999998</v>
      </c>
      <c r="AY13" s="52">
        <f t="shared" si="0"/>
        <v>3116.8270000000002</v>
      </c>
      <c r="AZ13" s="52">
        <f t="shared" si="0"/>
        <v>4157.1950000000006</v>
      </c>
      <c r="BA13" s="52">
        <f t="shared" si="0"/>
        <v>4242.3019999999997</v>
      </c>
      <c r="BB13" s="52">
        <f t="shared" si="0"/>
        <v>4343.88</v>
      </c>
      <c r="BC13" s="52">
        <f t="shared" si="0"/>
        <v>4477.8059999999996</v>
      </c>
      <c r="BD13" s="52">
        <f t="shared" si="0"/>
        <v>4643.5740000000005</v>
      </c>
      <c r="BE13" s="52">
        <f t="shared" si="0"/>
        <v>4705.375</v>
      </c>
      <c r="BF13" s="52">
        <f t="shared" si="0"/>
        <v>4910.116</v>
      </c>
      <c r="BG13" s="52">
        <f t="shared" si="0"/>
        <v>5075.7960000000003</v>
      </c>
      <c r="BH13" s="52">
        <f t="shared" si="0"/>
        <v>5214.491</v>
      </c>
      <c r="BI13" s="54">
        <f t="shared" si="0"/>
        <v>5519.0460000000003</v>
      </c>
      <c r="BJ13" s="52">
        <f t="shared" si="0"/>
        <v>5616.7020000000002</v>
      </c>
      <c r="BK13" s="52">
        <f t="shared" si="0"/>
        <v>5778.8649999999998</v>
      </c>
      <c r="BL13" s="52">
        <f t="shared" si="0"/>
        <v>8146.2579999999998</v>
      </c>
      <c r="BM13" s="52">
        <f t="shared" si="0"/>
        <v>8195.6660000000011</v>
      </c>
      <c r="BN13" s="52">
        <f t="shared" si="0"/>
        <v>8260.25</v>
      </c>
      <c r="BO13" s="52">
        <f t="shared" ref="BO13:DZ13" si="1">SUM(BO7:BO12)</f>
        <v>8393.2740000000013</v>
      </c>
      <c r="BP13" s="52">
        <f t="shared" si="1"/>
        <v>8478.094000000001</v>
      </c>
      <c r="BQ13" s="52">
        <f t="shared" si="1"/>
        <v>8594.9320000000007</v>
      </c>
      <c r="BR13" s="52">
        <f t="shared" si="1"/>
        <v>8722.1370000000006</v>
      </c>
      <c r="BS13" s="52">
        <f t="shared" si="1"/>
        <v>8891.4680000000008</v>
      </c>
      <c r="BT13" s="52">
        <f t="shared" si="1"/>
        <v>9101.389000000001</v>
      </c>
      <c r="BU13" s="54">
        <f t="shared" si="1"/>
        <v>9782.9889999999996</v>
      </c>
      <c r="BV13" s="52">
        <f t="shared" si="1"/>
        <v>9946.9170000000013</v>
      </c>
      <c r="BW13" s="52">
        <f t="shared" si="1"/>
        <v>10050.950000000001</v>
      </c>
      <c r="BX13" s="52">
        <f t="shared" si="1"/>
        <v>11218.925999999999</v>
      </c>
      <c r="BY13" s="52">
        <f t="shared" si="1"/>
        <v>11285.043</v>
      </c>
      <c r="BZ13" s="52">
        <f t="shared" si="1"/>
        <v>11328.331</v>
      </c>
      <c r="CA13" s="52">
        <f t="shared" si="1"/>
        <v>11546.357999999998</v>
      </c>
      <c r="CB13" s="52">
        <f t="shared" si="1"/>
        <v>11587.045</v>
      </c>
      <c r="CC13" s="52">
        <f t="shared" si="1"/>
        <v>11647.824999999999</v>
      </c>
      <c r="CD13" s="52">
        <f t="shared" si="1"/>
        <v>11691.589999999998</v>
      </c>
      <c r="CE13" s="52">
        <f t="shared" si="1"/>
        <v>11732.034</v>
      </c>
      <c r="CF13" s="52">
        <f t="shared" si="1"/>
        <v>11773.912999999999</v>
      </c>
      <c r="CG13" s="54">
        <f t="shared" si="1"/>
        <v>11850.245000000001</v>
      </c>
      <c r="CH13" s="52">
        <f t="shared" si="1"/>
        <v>11888.218999999999</v>
      </c>
      <c r="CI13" s="52">
        <f t="shared" si="1"/>
        <v>11954.092999999999</v>
      </c>
      <c r="CJ13" s="52">
        <f t="shared" si="1"/>
        <v>12431.529</v>
      </c>
      <c r="CK13" s="52">
        <f t="shared" si="1"/>
        <v>12450.478999999999</v>
      </c>
      <c r="CL13" s="52">
        <f t="shared" si="1"/>
        <v>12468.221</v>
      </c>
      <c r="CM13" s="52">
        <f t="shared" si="1"/>
        <v>12485.161</v>
      </c>
      <c r="CN13" s="52">
        <f t="shared" si="1"/>
        <v>12513.842999999999</v>
      </c>
      <c r="CO13" s="52">
        <f t="shared" si="1"/>
        <v>12531.178999999998</v>
      </c>
      <c r="CP13" s="52">
        <f t="shared" si="1"/>
        <v>12547.883</v>
      </c>
      <c r="CQ13" s="52">
        <f t="shared" si="1"/>
        <v>12572.491</v>
      </c>
      <c r="CR13" s="52">
        <f t="shared" si="1"/>
        <v>12588.189</v>
      </c>
      <c r="CS13" s="54">
        <f t="shared" si="1"/>
        <v>12599.601000000001</v>
      </c>
      <c r="CT13" s="52">
        <f t="shared" si="1"/>
        <v>12611.868999999999</v>
      </c>
      <c r="CU13" s="52">
        <f t="shared" si="1"/>
        <v>12622.754999999999</v>
      </c>
      <c r="CV13" s="52">
        <f t="shared" si="1"/>
        <v>12639.268</v>
      </c>
      <c r="CW13" s="52">
        <f t="shared" si="1"/>
        <v>12653.038999999999</v>
      </c>
      <c r="CX13" s="52">
        <f t="shared" si="1"/>
        <v>12669.296</v>
      </c>
      <c r="CY13" s="52">
        <f t="shared" si="1"/>
        <v>12689.714</v>
      </c>
      <c r="CZ13" s="52">
        <f t="shared" si="1"/>
        <v>12705.136</v>
      </c>
      <c r="DA13" s="52">
        <f t="shared" si="1"/>
        <v>12722.114</v>
      </c>
      <c r="DB13" s="52">
        <f t="shared" si="1"/>
        <v>12739.356</v>
      </c>
      <c r="DC13" s="52">
        <f t="shared" si="1"/>
        <v>12765.308999999999</v>
      </c>
      <c r="DD13" s="52">
        <f t="shared" si="1"/>
        <v>12792.334999999999</v>
      </c>
      <c r="DE13" s="54">
        <f t="shared" si="1"/>
        <v>12821.677</v>
      </c>
      <c r="DF13" s="52">
        <f t="shared" si="1"/>
        <v>12845.494000000001</v>
      </c>
      <c r="DG13" s="52">
        <f t="shared" si="1"/>
        <v>12877.643</v>
      </c>
      <c r="DH13" s="52">
        <f t="shared" si="1"/>
        <v>12965.105</v>
      </c>
      <c r="DI13" s="52">
        <f t="shared" si="1"/>
        <v>12983.369000000001</v>
      </c>
      <c r="DJ13" s="52">
        <f t="shared" si="1"/>
        <v>12990.998</v>
      </c>
      <c r="DK13" s="52">
        <f t="shared" si="1"/>
        <v>13001.216</v>
      </c>
      <c r="DL13" s="52">
        <f t="shared" si="1"/>
        <v>13019.851999999999</v>
      </c>
      <c r="DM13" s="52">
        <f t="shared" si="1"/>
        <v>13036.657999999999</v>
      </c>
      <c r="DN13" s="52">
        <f t="shared" si="1"/>
        <v>13062.880999999999</v>
      </c>
      <c r="DO13" s="52">
        <f t="shared" si="1"/>
        <v>13075.996000000001</v>
      </c>
      <c r="DP13" s="52">
        <f t="shared" si="1"/>
        <v>13088.814</v>
      </c>
      <c r="DQ13" s="54">
        <f t="shared" si="1"/>
        <v>13133.499</v>
      </c>
      <c r="DR13" s="52">
        <f t="shared" si="1"/>
        <v>13215.990999999998</v>
      </c>
      <c r="DS13" s="52">
        <f t="shared" si="1"/>
        <v>13232.948999999999</v>
      </c>
      <c r="DT13" s="52">
        <f t="shared" si="1"/>
        <v>13249.043999999998</v>
      </c>
      <c r="DU13" s="52">
        <f t="shared" si="1"/>
        <v>13254.058999999999</v>
      </c>
      <c r="DV13" s="52">
        <f t="shared" si="1"/>
        <v>13268.056</v>
      </c>
      <c r="DW13" s="52">
        <f t="shared" si="1"/>
        <v>13278.378000000001</v>
      </c>
      <c r="DX13" s="52">
        <f t="shared" si="1"/>
        <v>13297.419000000002</v>
      </c>
      <c r="DY13" s="52">
        <f t="shared" si="1"/>
        <v>13314.565999999999</v>
      </c>
      <c r="DZ13" s="52">
        <f t="shared" si="1"/>
        <v>13330.368</v>
      </c>
      <c r="EA13" s="52">
        <f t="shared" ref="EA13:EN13" si="2">SUM(EA7:EA12)</f>
        <v>13349.268</v>
      </c>
      <c r="EB13" s="52">
        <f t="shared" si="2"/>
        <v>13367.286</v>
      </c>
      <c r="EC13" s="54">
        <f t="shared" si="2"/>
        <v>13444.429</v>
      </c>
      <c r="ED13" s="52">
        <f t="shared" si="2"/>
        <v>13466.197</v>
      </c>
      <c r="EE13" s="52">
        <f t="shared" si="2"/>
        <v>13481.579999999998</v>
      </c>
      <c r="EF13" s="52">
        <f t="shared" si="2"/>
        <v>13616.312999999998</v>
      </c>
      <c r="EG13" s="52">
        <f t="shared" si="2"/>
        <v>13684.672</v>
      </c>
      <c r="EH13" s="52">
        <f t="shared" si="2"/>
        <v>13711.287999999999</v>
      </c>
      <c r="EI13" s="52">
        <f t="shared" si="2"/>
        <v>13745.778</v>
      </c>
      <c r="EJ13" s="52">
        <f t="shared" si="2"/>
        <v>13771.525</v>
      </c>
      <c r="EK13" s="52">
        <f t="shared" si="2"/>
        <v>13793.03</v>
      </c>
      <c r="EL13" s="52">
        <f t="shared" si="2"/>
        <v>13823.656999999999</v>
      </c>
      <c r="EM13" s="52">
        <f t="shared" si="2"/>
        <v>13849.775</v>
      </c>
      <c r="EN13" s="52">
        <f t="shared" si="2"/>
        <v>13880.555999999999</v>
      </c>
      <c r="EO13" s="53">
        <f t="shared" ref="EO13:EQ13" si="3">SUM(EO7:EO12)</f>
        <v>13904.316000000001</v>
      </c>
      <c r="EP13" s="52">
        <f t="shared" si="3"/>
        <v>13991.788999999999</v>
      </c>
      <c r="EQ13" s="52">
        <f t="shared" si="3"/>
        <v>14024.734</v>
      </c>
      <c r="ER13" s="52">
        <f t="shared" ref="ER13:ES13" si="4">SUM(ER7:ER12)</f>
        <v>14077.503999999999</v>
      </c>
      <c r="ES13" s="52">
        <f t="shared" si="4"/>
        <v>14124.763000000001</v>
      </c>
      <c r="ET13" s="52">
        <f t="shared" ref="ET13:EW13" si="5">SUM(ET7:ET12)</f>
        <v>14184.540999999999</v>
      </c>
      <c r="EU13" s="52">
        <f t="shared" si="5"/>
        <v>14235.412999999999</v>
      </c>
      <c r="EV13" s="52">
        <f t="shared" si="5"/>
        <v>14306.427999999998</v>
      </c>
      <c r="EW13" s="52">
        <f t="shared" si="5"/>
        <v>14361.958000000001</v>
      </c>
      <c r="EX13" s="52">
        <f t="shared" ref="EX13:FA13" si="6">SUM(EX7:EX12)</f>
        <v>14446.407000000001</v>
      </c>
      <c r="EY13" s="52">
        <f t="shared" si="6"/>
        <v>14559.765999999998</v>
      </c>
      <c r="EZ13" s="52">
        <f t="shared" si="6"/>
        <v>14639.029</v>
      </c>
      <c r="FA13" s="53">
        <f t="shared" si="6"/>
        <v>14761.791999999999</v>
      </c>
      <c r="FB13" s="52">
        <f t="shared" ref="FB13:FC13" si="7">SUM(FB7:FB12)</f>
        <v>15186.832000000002</v>
      </c>
      <c r="FC13" s="52">
        <f t="shared" si="7"/>
        <v>15551.021000000001</v>
      </c>
      <c r="FD13" s="52">
        <f t="shared" ref="FD13:FE13" si="8">SUM(FD7:FD12)</f>
        <v>16089.657000000001</v>
      </c>
      <c r="FE13" s="52">
        <f t="shared" si="8"/>
        <v>16178.138000000001</v>
      </c>
      <c r="FF13" s="52">
        <f t="shared" ref="FF13:FG13" si="9">SUM(FF7:FF12)</f>
        <v>16345.338</v>
      </c>
      <c r="FG13" s="52">
        <f t="shared" si="9"/>
        <v>16497.004000000001</v>
      </c>
      <c r="FH13" s="52">
        <f t="shared" ref="FH13:FI13" si="10">SUM(FH7:FH12)</f>
        <v>16584.236000000001</v>
      </c>
      <c r="FI13" s="52">
        <f t="shared" si="10"/>
        <v>16670.781999999999</v>
      </c>
      <c r="FJ13" s="52">
        <f t="shared" ref="FJ13:FK13" si="11">SUM(FJ7:FJ12)</f>
        <v>16857.173999999999</v>
      </c>
      <c r="FK13" s="157">
        <f t="shared" si="11"/>
        <v>16982.923000000003</v>
      </c>
      <c r="FL13" s="157">
        <f t="shared" ref="FL13" si="12">SUM(FL7:FL12)</f>
        <v>17105.998</v>
      </c>
      <c r="FM13" s="157">
        <f t="shared" ref="FM13:FY13" si="13">SUM(FM7:FM12)</f>
        <v>17160.153000000002</v>
      </c>
      <c r="FN13" s="125">
        <f t="shared" si="13"/>
        <v>17315.149000000001</v>
      </c>
      <c r="FO13" s="157">
        <f t="shared" si="13"/>
        <v>17413.061000000002</v>
      </c>
      <c r="FP13" s="157">
        <f t="shared" si="13"/>
        <v>17650.596000000001</v>
      </c>
      <c r="FQ13" s="157">
        <f t="shared" si="13"/>
        <v>17777.767</v>
      </c>
      <c r="FR13" s="157">
        <f t="shared" si="13"/>
        <v>17913.79</v>
      </c>
      <c r="FS13" s="157">
        <f t="shared" si="13"/>
        <v>18081.816000000003</v>
      </c>
      <c r="FT13" s="157">
        <f t="shared" si="13"/>
        <v>18225.069000000003</v>
      </c>
      <c r="FU13" s="157">
        <f t="shared" si="13"/>
        <v>18333.929</v>
      </c>
      <c r="FV13" s="157">
        <f t="shared" si="13"/>
        <v>18413.906000000003</v>
      </c>
      <c r="FW13" s="157">
        <f t="shared" si="13"/>
        <v>18779.709000000003</v>
      </c>
      <c r="FX13" s="157">
        <f t="shared" si="13"/>
        <v>18920.078000000001</v>
      </c>
      <c r="FY13" s="191">
        <f t="shared" si="13"/>
        <v>19025.796000000002</v>
      </c>
      <c r="FZ13" s="157">
        <f t="shared" ref="FZ13:GA13" si="14">SUM(FZ7:FZ12)</f>
        <v>19219.797000000002</v>
      </c>
      <c r="GA13" s="157">
        <f t="shared" si="14"/>
        <v>19322.032999999999</v>
      </c>
      <c r="GB13" s="157">
        <f t="shared" ref="GB13:GC13" si="15">SUM(GB7:GB12)</f>
        <v>19675.598999999998</v>
      </c>
      <c r="GC13" s="157">
        <f t="shared" si="15"/>
        <v>19820.899999999998</v>
      </c>
      <c r="GD13" s="157">
        <f t="shared" ref="GD13:GE13" si="16">SUM(GD7:GD12)</f>
        <v>19960.599999999999</v>
      </c>
      <c r="GE13" s="157">
        <f t="shared" si="16"/>
        <v>20133.957999999999</v>
      </c>
      <c r="GF13" s="157">
        <f t="shared" ref="GF13:GG13" si="17">SUM(GF7:GF12)</f>
        <v>20710.244999999999</v>
      </c>
      <c r="GG13" s="157">
        <f t="shared" si="17"/>
        <v>20904.343999999997</v>
      </c>
      <c r="GH13" s="157">
        <f t="shared" ref="GH13:GI13" si="18">SUM(GH7:GH12)</f>
        <v>21058.044999999998</v>
      </c>
      <c r="GI13" s="157">
        <f t="shared" si="18"/>
        <v>21333.275000000001</v>
      </c>
      <c r="GJ13" s="157">
        <f t="shared" ref="GJ13:GK13" si="19">SUM(GJ7:GJ12)</f>
        <v>21506.725999999999</v>
      </c>
      <c r="GK13" s="191">
        <f t="shared" si="19"/>
        <v>21648.690999999999</v>
      </c>
      <c r="GL13" s="157">
        <f t="shared" ref="GL13:GM13" si="20">SUM(GL7:GL12)</f>
        <v>21738.605000000003</v>
      </c>
      <c r="GM13" s="157">
        <f t="shared" si="20"/>
        <v>21841.112000000001</v>
      </c>
      <c r="GN13" s="157">
        <f t="shared" ref="GN13:GO13" si="21">SUM(GN7:GN12)</f>
        <v>22016.17</v>
      </c>
      <c r="GO13" s="157">
        <f t="shared" si="21"/>
        <v>22126.554</v>
      </c>
      <c r="GP13" s="157">
        <f t="shared" ref="GP13:GQ13" si="22">SUM(GP7:GP12)</f>
        <v>22213.701000000001</v>
      </c>
      <c r="GQ13" s="157">
        <f t="shared" si="22"/>
        <v>22342.532999999999</v>
      </c>
    </row>
    <row r="14" spans="1:199" s="30" customFormat="1" ht="20.149999999999999" customHeight="1" thickTop="1" x14ac:dyDescent="0.35">
      <c r="A14" s="26" t="s">
        <v>268</v>
      </c>
      <c r="B14" s="45"/>
      <c r="C14" s="45"/>
      <c r="D14" s="45"/>
      <c r="E14" s="45"/>
      <c r="F14" s="45"/>
      <c r="G14" s="45"/>
      <c r="H14" s="45"/>
      <c r="I14" s="45"/>
      <c r="J14" s="45"/>
      <c r="K14" s="45"/>
      <c r="L14" s="45"/>
      <c r="M14" s="49"/>
      <c r="N14" s="50"/>
      <c r="O14" s="45"/>
      <c r="P14" s="45"/>
      <c r="Q14" s="45"/>
      <c r="R14" s="45"/>
      <c r="S14" s="45"/>
      <c r="T14" s="45"/>
      <c r="U14" s="45"/>
      <c r="V14" s="45"/>
      <c r="W14" s="45"/>
      <c r="X14" s="45"/>
      <c r="Y14" s="49"/>
      <c r="Z14" s="50"/>
      <c r="AA14" s="45"/>
      <c r="AB14" s="45"/>
      <c r="AC14" s="45"/>
      <c r="AD14" s="45"/>
      <c r="AE14" s="45"/>
      <c r="AF14" s="45"/>
      <c r="AG14" s="45"/>
      <c r="AH14" s="45"/>
      <c r="AI14" s="45"/>
      <c r="AJ14" s="45"/>
      <c r="AK14" s="49"/>
      <c r="AL14" s="50"/>
      <c r="AM14" s="45"/>
      <c r="AN14" s="45"/>
      <c r="AO14" s="45"/>
      <c r="AP14" s="45"/>
      <c r="AQ14" s="45"/>
      <c r="AR14" s="45"/>
      <c r="AS14" s="45"/>
      <c r="AT14" s="45"/>
      <c r="AU14" s="45"/>
      <c r="AV14" s="45"/>
      <c r="AW14" s="49"/>
      <c r="AX14" s="45"/>
      <c r="AY14" s="45"/>
      <c r="AZ14" s="45"/>
      <c r="BA14" s="45"/>
      <c r="BB14" s="45"/>
      <c r="BC14" s="45"/>
      <c r="BD14" s="45"/>
      <c r="BE14" s="45"/>
      <c r="BF14" s="45"/>
      <c r="BG14" s="45"/>
      <c r="BH14" s="45"/>
      <c r="BI14" s="49"/>
      <c r="BJ14" s="45"/>
      <c r="BK14" s="45"/>
      <c r="BL14" s="45"/>
      <c r="BM14" s="45"/>
      <c r="BN14" s="45"/>
      <c r="BO14" s="45"/>
      <c r="BP14" s="45"/>
      <c r="BQ14" s="45"/>
      <c r="BR14" s="45"/>
      <c r="BS14" s="45"/>
      <c r="BT14" s="45"/>
      <c r="BU14" s="49"/>
      <c r="BV14" s="45"/>
      <c r="BW14" s="45"/>
      <c r="BX14" s="45"/>
      <c r="BY14" s="45"/>
      <c r="BZ14" s="45"/>
      <c r="CA14" s="45"/>
      <c r="CB14" s="45"/>
      <c r="CC14" s="45"/>
      <c r="CD14" s="45"/>
      <c r="CE14" s="45"/>
      <c r="CF14" s="45"/>
      <c r="CG14" s="49"/>
      <c r="CH14" s="45"/>
      <c r="CI14" s="45"/>
      <c r="CJ14" s="45"/>
      <c r="CK14" s="45"/>
      <c r="CL14" s="45"/>
      <c r="CM14" s="45"/>
      <c r="CN14" s="45"/>
      <c r="CO14" s="45"/>
      <c r="CP14" s="45"/>
      <c r="CQ14" s="45"/>
      <c r="CR14" s="45"/>
      <c r="CS14" s="49"/>
      <c r="CT14" s="45"/>
      <c r="CU14" s="45"/>
      <c r="CV14" s="45"/>
      <c r="CW14" s="45"/>
      <c r="CX14" s="45"/>
      <c r="CY14" s="45"/>
      <c r="CZ14" s="45"/>
      <c r="DA14" s="45"/>
      <c r="DB14" s="45"/>
      <c r="DC14" s="45"/>
      <c r="DD14" s="45"/>
      <c r="DE14" s="49"/>
      <c r="DF14" s="45"/>
      <c r="DG14" s="45"/>
      <c r="DH14" s="45"/>
      <c r="DI14" s="45"/>
      <c r="DJ14" s="45"/>
      <c r="DK14" s="45"/>
      <c r="DL14" s="45"/>
      <c r="DM14" s="45"/>
      <c r="DN14" s="45"/>
      <c r="DO14" s="45"/>
      <c r="DP14" s="45"/>
      <c r="DQ14" s="49"/>
      <c r="DR14" s="45"/>
      <c r="DS14" s="45"/>
      <c r="DT14" s="45"/>
      <c r="DU14" s="45"/>
      <c r="DV14" s="45"/>
      <c r="DW14" s="45"/>
      <c r="DX14" s="45"/>
      <c r="DY14" s="45"/>
      <c r="DZ14" s="45"/>
      <c r="EA14" s="45"/>
      <c r="EB14" s="45"/>
      <c r="EC14" s="49"/>
      <c r="ED14" s="45"/>
      <c r="EE14" s="45"/>
      <c r="EF14" s="45"/>
      <c r="EG14" s="45"/>
      <c r="EH14" s="45"/>
      <c r="EI14" s="45"/>
      <c r="EJ14" s="45"/>
      <c r="EK14" s="45"/>
      <c r="EL14" s="45"/>
      <c r="EM14" s="45"/>
      <c r="EN14" s="45"/>
      <c r="EO14" s="82"/>
      <c r="EP14" s="45"/>
      <c r="EQ14" s="45"/>
      <c r="ER14" s="45"/>
      <c r="ES14" s="45"/>
      <c r="ET14" s="45"/>
      <c r="EU14" s="45"/>
      <c r="EV14" s="45"/>
      <c r="EW14" s="45"/>
      <c r="EX14" s="45"/>
      <c r="EY14" s="45"/>
      <c r="EZ14" s="45"/>
      <c r="FA14" s="82"/>
      <c r="FB14" s="45"/>
      <c r="FC14" s="45"/>
      <c r="FD14" s="45"/>
      <c r="FE14" s="45"/>
      <c r="FF14" s="45"/>
      <c r="FG14" s="45"/>
      <c r="FH14" s="45"/>
      <c r="FI14" s="45"/>
      <c r="FJ14" s="45"/>
      <c r="FK14" s="155"/>
      <c r="FL14" s="155"/>
      <c r="FM14" s="155"/>
      <c r="FN14" s="69"/>
      <c r="FO14" s="155"/>
      <c r="FP14" s="155"/>
      <c r="FQ14" s="155"/>
      <c r="FR14" s="155"/>
      <c r="FS14" s="155"/>
      <c r="FT14" s="155"/>
      <c r="FU14" s="177"/>
      <c r="FV14" s="177"/>
      <c r="FW14" s="177"/>
      <c r="FX14" s="177"/>
      <c r="FY14" s="192"/>
      <c r="FZ14" s="177"/>
      <c r="GA14" s="178"/>
      <c r="GB14" s="178"/>
      <c r="GC14" s="178"/>
      <c r="GD14" s="178"/>
      <c r="GE14" s="178"/>
      <c r="GF14" s="178"/>
      <c r="GG14" s="178"/>
      <c r="GH14" s="178"/>
      <c r="GI14" s="178"/>
      <c r="GJ14" s="178"/>
      <c r="GK14" s="192"/>
      <c r="GL14" s="177"/>
      <c r="GM14" s="177"/>
      <c r="GN14" s="177"/>
      <c r="GO14" s="177"/>
      <c r="GP14" s="177"/>
      <c r="GQ14" s="177"/>
    </row>
    <row r="15" spans="1:199" s="1" customFormat="1" ht="20.149999999999999" customHeight="1" x14ac:dyDescent="0.35">
      <c r="A15" s="31" t="s">
        <v>1623</v>
      </c>
      <c r="B15" s="45">
        <v>0.316</v>
      </c>
      <c r="C15" s="45">
        <v>0.316</v>
      </c>
      <c r="D15" s="45">
        <v>0.32300000000000001</v>
      </c>
      <c r="E15" s="45">
        <v>0.33600000000000002</v>
      </c>
      <c r="F15" s="45">
        <v>0.34200000000000003</v>
      </c>
      <c r="G15" s="45">
        <v>0.35799999999999998</v>
      </c>
      <c r="H15" s="45">
        <v>0.36199999999999999</v>
      </c>
      <c r="I15" s="45">
        <v>0.36499999999999999</v>
      </c>
      <c r="J15" s="45">
        <v>0.36599999999999999</v>
      </c>
      <c r="K15" s="45">
        <v>0.371</v>
      </c>
      <c r="L15" s="45">
        <v>0.39</v>
      </c>
      <c r="M15" s="49">
        <v>0.39700000000000002</v>
      </c>
      <c r="N15" s="50">
        <v>0.39700000000000002</v>
      </c>
      <c r="O15" s="45">
        <v>0.39900000000000002</v>
      </c>
      <c r="P15" s="45">
        <v>0.40799999999999997</v>
      </c>
      <c r="Q15" s="45">
        <v>0.41199999999999998</v>
      </c>
      <c r="R15" s="45">
        <v>0.437</v>
      </c>
      <c r="S15" s="45">
        <v>0.442</v>
      </c>
      <c r="T15" s="45">
        <v>0.44500000000000001</v>
      </c>
      <c r="U15" s="45">
        <v>0.46200000000000002</v>
      </c>
      <c r="V15" s="45">
        <v>0.498</v>
      </c>
      <c r="W15" s="45">
        <v>0.53700000000000003</v>
      </c>
      <c r="X15" s="45">
        <v>0.59599999999999997</v>
      </c>
      <c r="Y15" s="49">
        <v>0.65400000000000003</v>
      </c>
      <c r="Z15" s="50">
        <v>0.72699999999999998</v>
      </c>
      <c r="AA15" s="45">
        <v>0.74399999999999999</v>
      </c>
      <c r="AB15" s="45">
        <v>0.80700000000000005</v>
      </c>
      <c r="AC15" s="45">
        <v>0.83599999999999997</v>
      </c>
      <c r="AD15" s="45">
        <v>0.85799999999999998</v>
      </c>
      <c r="AE15" s="45">
        <v>0.878</v>
      </c>
      <c r="AF15" s="45">
        <v>0.90900000000000003</v>
      </c>
      <c r="AG15" s="45">
        <v>1.0469999999999999</v>
      </c>
      <c r="AH15" s="45">
        <v>1.1919999999999999</v>
      </c>
      <c r="AI15" s="45">
        <v>1.3380000000000001</v>
      </c>
      <c r="AJ15" s="45">
        <v>1.474</v>
      </c>
      <c r="AK15" s="49">
        <v>1.5680000000000001</v>
      </c>
      <c r="AL15" s="50">
        <v>1.758</v>
      </c>
      <c r="AM15" s="45">
        <v>1.9119999999999999</v>
      </c>
      <c r="AN15" s="45">
        <v>2.0510000000000002</v>
      </c>
      <c r="AO15" s="45">
        <v>2.1539999999999999</v>
      </c>
      <c r="AP15" s="45">
        <v>2.3159999999999998</v>
      </c>
      <c r="AQ15" s="45">
        <v>2.3980000000000001</v>
      </c>
      <c r="AR15" s="45">
        <v>2.6019999999999999</v>
      </c>
      <c r="AS15" s="45">
        <v>2.8929999999999998</v>
      </c>
      <c r="AT15" s="45">
        <v>3.1779999999999999</v>
      </c>
      <c r="AU15" s="45">
        <v>3.49</v>
      </c>
      <c r="AV15" s="45">
        <v>3.7320000000000002</v>
      </c>
      <c r="AW15" s="49">
        <v>3.9929999999999999</v>
      </c>
      <c r="AX15" s="45">
        <v>4.181</v>
      </c>
      <c r="AY15" s="45">
        <v>4.4059999999999997</v>
      </c>
      <c r="AZ15" s="45">
        <v>4.72</v>
      </c>
      <c r="BA15" s="45">
        <v>5.0129999999999999</v>
      </c>
      <c r="BB15" s="45">
        <v>5.4589999999999996</v>
      </c>
      <c r="BC15" s="45">
        <v>6.0069999999999997</v>
      </c>
      <c r="BD15" s="45">
        <v>6.6070000000000002</v>
      </c>
      <c r="BE15" s="45">
        <v>7.1980000000000004</v>
      </c>
      <c r="BF15" s="45">
        <v>7.8239999999999998</v>
      </c>
      <c r="BG15" s="45">
        <v>8.391</v>
      </c>
      <c r="BH15" s="45">
        <v>8.9890000000000008</v>
      </c>
      <c r="BI15" s="49">
        <v>9.4209999999999994</v>
      </c>
      <c r="BJ15" s="45">
        <v>9.8360000000000003</v>
      </c>
      <c r="BK15" s="45">
        <v>10.257</v>
      </c>
      <c r="BL15" s="45">
        <v>10.647</v>
      </c>
      <c r="BM15" s="45">
        <v>11.041</v>
      </c>
      <c r="BN15" s="45">
        <v>11.557</v>
      </c>
      <c r="BO15" s="45">
        <v>12.1</v>
      </c>
      <c r="BP15" s="45">
        <v>12.648</v>
      </c>
      <c r="BQ15" s="45">
        <v>13.362</v>
      </c>
      <c r="BR15" s="45">
        <v>14.593999999999999</v>
      </c>
      <c r="BS15" s="45">
        <v>15.196</v>
      </c>
      <c r="BT15" s="45">
        <v>15.941000000000001</v>
      </c>
      <c r="BU15" s="49">
        <v>16.712</v>
      </c>
      <c r="BV15" s="45">
        <v>17.59</v>
      </c>
      <c r="BW15" s="45">
        <v>18.434000000000001</v>
      </c>
      <c r="BX15" s="45">
        <v>19.350999999999999</v>
      </c>
      <c r="BY15" s="45">
        <v>19.905999999999999</v>
      </c>
      <c r="BZ15" s="45">
        <v>20.122</v>
      </c>
      <c r="CA15" s="45">
        <v>20.332000000000001</v>
      </c>
      <c r="CB15" s="45">
        <v>20.701000000000001</v>
      </c>
      <c r="CC15" s="45">
        <v>21.068000000000001</v>
      </c>
      <c r="CD15" s="45">
        <v>22.835999999999999</v>
      </c>
      <c r="CE15" s="45">
        <v>22.876000000000001</v>
      </c>
      <c r="CF15" s="45">
        <v>22.956</v>
      </c>
      <c r="CG15" s="49">
        <v>23.007000000000001</v>
      </c>
      <c r="CH15" s="45">
        <v>23.114999999999998</v>
      </c>
      <c r="CI15" s="45">
        <v>23.443999999999999</v>
      </c>
      <c r="CJ15" s="45">
        <v>24.19</v>
      </c>
      <c r="CK15" s="45">
        <v>24.216000000000001</v>
      </c>
      <c r="CL15" s="45">
        <v>24.254000000000001</v>
      </c>
      <c r="CM15" s="45">
        <v>24.408000000000001</v>
      </c>
      <c r="CN15" s="45">
        <v>24.442</v>
      </c>
      <c r="CO15" s="45">
        <v>24.486000000000001</v>
      </c>
      <c r="CP15" s="45">
        <v>24.556999999999999</v>
      </c>
      <c r="CQ15" s="45">
        <v>24.625</v>
      </c>
      <c r="CR15" s="45">
        <v>24.702000000000002</v>
      </c>
      <c r="CS15" s="49">
        <v>24.736000000000001</v>
      </c>
      <c r="CT15" s="45">
        <v>24.77</v>
      </c>
      <c r="CU15" s="45">
        <v>24.795999999999999</v>
      </c>
      <c r="CV15" s="45">
        <v>24.824999999999999</v>
      </c>
      <c r="CW15" s="45">
        <v>24.843</v>
      </c>
      <c r="CX15" s="45">
        <v>24.873000000000001</v>
      </c>
      <c r="CY15" s="45">
        <v>24.896999999999998</v>
      </c>
      <c r="CZ15" s="45">
        <v>24.908000000000001</v>
      </c>
      <c r="DA15" s="45">
        <v>24.931000000000001</v>
      </c>
      <c r="DB15" s="45">
        <v>24.939</v>
      </c>
      <c r="DC15" s="45">
        <v>25.062999999999999</v>
      </c>
      <c r="DD15" s="45">
        <v>25.132999999999999</v>
      </c>
      <c r="DE15" s="49">
        <v>25.140999999999998</v>
      </c>
      <c r="DF15" s="45">
        <v>25.242999999999999</v>
      </c>
      <c r="DG15" s="45">
        <v>25.32</v>
      </c>
      <c r="DH15" s="45">
        <v>25.349</v>
      </c>
      <c r="DI15" s="45">
        <v>25.372</v>
      </c>
      <c r="DJ15" s="45">
        <v>25.414000000000001</v>
      </c>
      <c r="DK15" s="45">
        <v>25.454000000000001</v>
      </c>
      <c r="DL15" s="45">
        <v>25.495000000000001</v>
      </c>
      <c r="DM15" s="45">
        <v>25.544</v>
      </c>
      <c r="DN15" s="45">
        <v>25.616</v>
      </c>
      <c r="DO15" s="45">
        <v>25.652999999999999</v>
      </c>
      <c r="DP15" s="45">
        <v>25.681999999999999</v>
      </c>
      <c r="DQ15" s="49">
        <v>25.69</v>
      </c>
      <c r="DR15" s="45">
        <v>25.718</v>
      </c>
      <c r="DS15" s="45">
        <v>25.741</v>
      </c>
      <c r="DT15" s="45">
        <v>25.763000000000002</v>
      </c>
      <c r="DU15" s="45">
        <v>25.763000000000002</v>
      </c>
      <c r="DV15" s="45">
        <v>25.766999999999999</v>
      </c>
      <c r="DW15" s="45">
        <v>25.8</v>
      </c>
      <c r="DX15" s="45">
        <v>25.803999999999998</v>
      </c>
      <c r="DY15" s="45">
        <v>25.853999999999999</v>
      </c>
      <c r="DZ15" s="45">
        <v>25.904</v>
      </c>
      <c r="EA15" s="45">
        <v>25.939</v>
      </c>
      <c r="EB15" s="45">
        <v>25.956</v>
      </c>
      <c r="EC15" s="49">
        <v>25.956</v>
      </c>
      <c r="ED15" s="45">
        <v>26.026</v>
      </c>
      <c r="EE15" s="45">
        <v>26.041</v>
      </c>
      <c r="EF15" s="45">
        <v>26.068000000000001</v>
      </c>
      <c r="EG15" s="45">
        <v>26.093</v>
      </c>
      <c r="EH15" s="45">
        <v>26.126000000000001</v>
      </c>
      <c r="EI15" s="45">
        <v>26.193999999999999</v>
      </c>
      <c r="EJ15" s="45">
        <v>26.236999999999998</v>
      </c>
      <c r="EK15" s="45">
        <v>26.306999999999999</v>
      </c>
      <c r="EL15" s="45">
        <v>26.422000000000001</v>
      </c>
      <c r="EM15" s="45">
        <v>26.509</v>
      </c>
      <c r="EN15" s="45">
        <v>26.617000000000001</v>
      </c>
      <c r="EO15" s="82">
        <v>26.657</v>
      </c>
      <c r="EP15" s="45">
        <v>26.731999999999999</v>
      </c>
      <c r="EQ15" s="45">
        <v>26.795999999999999</v>
      </c>
      <c r="ER15" s="45">
        <v>26.823</v>
      </c>
      <c r="ES15" s="45">
        <v>26.844000000000001</v>
      </c>
      <c r="ET15" s="45">
        <v>26.927</v>
      </c>
      <c r="EU15" s="45">
        <v>26.966999999999999</v>
      </c>
      <c r="EV15" s="45">
        <v>27.03</v>
      </c>
      <c r="EW15" s="45">
        <v>27.1</v>
      </c>
      <c r="EX15" s="45">
        <v>27.195</v>
      </c>
      <c r="EY15" s="45">
        <v>27.253</v>
      </c>
      <c r="EZ15" s="45">
        <v>27.327999999999999</v>
      </c>
      <c r="FA15" s="82">
        <v>27.370999999999999</v>
      </c>
      <c r="FB15" s="45">
        <v>27.419</v>
      </c>
      <c r="FC15" s="45">
        <v>27.483000000000001</v>
      </c>
      <c r="FD15" s="45">
        <v>27.524999999999999</v>
      </c>
      <c r="FE15" s="45">
        <v>27.56</v>
      </c>
      <c r="FF15" s="45">
        <v>27.602</v>
      </c>
      <c r="FG15" s="45">
        <v>27.635999999999999</v>
      </c>
      <c r="FH15" s="45">
        <v>27.677</v>
      </c>
      <c r="FI15" s="45">
        <v>27.736999999999998</v>
      </c>
      <c r="FJ15" s="45">
        <v>27.824000000000002</v>
      </c>
      <c r="FK15" s="155">
        <v>27.893999999999998</v>
      </c>
      <c r="FL15" s="155">
        <v>27.946999999999999</v>
      </c>
      <c r="FM15" s="155">
        <v>27.969000000000001</v>
      </c>
      <c r="FN15" s="69">
        <v>28.010999999999999</v>
      </c>
      <c r="FO15" s="155">
        <v>28.129000000000001</v>
      </c>
      <c r="FP15" s="155">
        <v>28.172000000000001</v>
      </c>
      <c r="FQ15" s="155">
        <v>28.369</v>
      </c>
      <c r="FR15" s="155">
        <v>28.472999999999999</v>
      </c>
      <c r="FS15" s="155">
        <v>28.670999999999999</v>
      </c>
      <c r="FT15" s="155">
        <v>28.797999999999998</v>
      </c>
      <c r="FU15" s="178">
        <v>28.934000000000001</v>
      </c>
      <c r="FV15" s="178">
        <v>29.082000000000001</v>
      </c>
      <c r="FW15" s="178">
        <v>29.314</v>
      </c>
      <c r="FX15" s="178">
        <v>29.655000000000001</v>
      </c>
      <c r="FY15" s="180">
        <v>29.73</v>
      </c>
      <c r="FZ15" s="178">
        <v>29.82</v>
      </c>
      <c r="GA15" s="178">
        <v>29.995999999999999</v>
      </c>
      <c r="GB15" s="178">
        <v>30.242000000000001</v>
      </c>
      <c r="GC15" s="178">
        <v>30.39</v>
      </c>
      <c r="GD15" s="178">
        <v>30.751999999999999</v>
      </c>
      <c r="GE15" s="178">
        <v>31.056000000000001</v>
      </c>
      <c r="GF15" s="178">
        <v>31.199000000000002</v>
      </c>
      <c r="GG15" s="178">
        <v>31.396000000000001</v>
      </c>
      <c r="GH15" s="178">
        <v>31.509</v>
      </c>
      <c r="GI15" s="178">
        <v>31.762</v>
      </c>
      <c r="GJ15" s="178">
        <v>32.073999999999998</v>
      </c>
      <c r="GK15" s="180">
        <v>32.250999999999998</v>
      </c>
      <c r="GL15" s="178">
        <v>32.454999999999998</v>
      </c>
      <c r="GM15" s="178">
        <v>32.688000000000002</v>
      </c>
      <c r="GN15" s="178">
        <v>33.048000000000002</v>
      </c>
      <c r="GO15" s="178">
        <v>33.316000000000003</v>
      </c>
      <c r="GP15" s="178">
        <v>33.512999999999998</v>
      </c>
      <c r="GQ15" s="178">
        <v>33.761000000000003</v>
      </c>
    </row>
    <row r="16" spans="1:199" s="1" customFormat="1" ht="20.149999999999999" customHeight="1" x14ac:dyDescent="0.35">
      <c r="A16" s="31" t="s">
        <v>1626</v>
      </c>
      <c r="B16" s="45">
        <v>0.51300000000000001</v>
      </c>
      <c r="C16" s="45">
        <v>0.51300000000000001</v>
      </c>
      <c r="D16" s="45">
        <v>0.51300000000000001</v>
      </c>
      <c r="E16" s="45">
        <v>0.51300000000000001</v>
      </c>
      <c r="F16" s="45">
        <v>0.51300000000000001</v>
      </c>
      <c r="G16" s="45">
        <v>0.51300000000000001</v>
      </c>
      <c r="H16" s="45">
        <v>0.51300000000000001</v>
      </c>
      <c r="I16" s="45">
        <v>0.51300000000000001</v>
      </c>
      <c r="J16" s="45">
        <v>0.51300000000000001</v>
      </c>
      <c r="K16" s="45">
        <v>0.51900000000000002</v>
      </c>
      <c r="L16" s="45">
        <v>0.51900000000000002</v>
      </c>
      <c r="M16" s="49">
        <v>0.52400000000000002</v>
      </c>
      <c r="N16" s="50">
        <v>0.52400000000000002</v>
      </c>
      <c r="O16" s="45">
        <v>0.53100000000000003</v>
      </c>
      <c r="P16" s="45">
        <v>0.53600000000000003</v>
      </c>
      <c r="Q16" s="45">
        <v>0.54100000000000004</v>
      </c>
      <c r="R16" s="45">
        <v>0.56899999999999995</v>
      </c>
      <c r="S16" s="45">
        <v>0.60699999999999998</v>
      </c>
      <c r="T16" s="45">
        <v>0.621</v>
      </c>
      <c r="U16" s="45">
        <v>0.63700000000000001</v>
      </c>
      <c r="V16" s="45">
        <v>0.65100000000000002</v>
      </c>
      <c r="W16" s="45">
        <v>0.70199999999999996</v>
      </c>
      <c r="X16" s="45">
        <v>0.76</v>
      </c>
      <c r="Y16" s="49">
        <v>0.86199999999999999</v>
      </c>
      <c r="Z16" s="50">
        <v>0.97299999999999998</v>
      </c>
      <c r="AA16" s="45">
        <v>0.999</v>
      </c>
      <c r="AB16" s="45">
        <v>1.0309999999999999</v>
      </c>
      <c r="AC16" s="45">
        <v>1.0740000000000001</v>
      </c>
      <c r="AD16" s="45">
        <v>1.1319999999999999</v>
      </c>
      <c r="AE16" s="45">
        <v>1.1579999999999999</v>
      </c>
      <c r="AF16" s="45">
        <v>1.2290000000000001</v>
      </c>
      <c r="AG16" s="45">
        <v>1.454</v>
      </c>
      <c r="AH16" s="45">
        <v>1.7070000000000001</v>
      </c>
      <c r="AI16" s="45">
        <v>2.1859999999999999</v>
      </c>
      <c r="AJ16" s="45">
        <v>2.681</v>
      </c>
      <c r="AK16" s="49">
        <v>3.121</v>
      </c>
      <c r="AL16" s="50">
        <v>3.669</v>
      </c>
      <c r="AM16" s="45">
        <v>4.1459999999999999</v>
      </c>
      <c r="AN16" s="45">
        <v>4.8150000000000004</v>
      </c>
      <c r="AO16" s="45">
        <v>5.45</v>
      </c>
      <c r="AP16" s="45">
        <v>6.2290000000000001</v>
      </c>
      <c r="AQ16" s="45">
        <v>6.9690000000000003</v>
      </c>
      <c r="AR16" s="45">
        <v>8.1440000000000001</v>
      </c>
      <c r="AS16" s="45">
        <v>9.7829999999999995</v>
      </c>
      <c r="AT16" s="45">
        <v>11.89</v>
      </c>
      <c r="AU16" s="45">
        <v>13.694000000000001</v>
      </c>
      <c r="AV16" s="45">
        <v>15.805</v>
      </c>
      <c r="AW16" s="49">
        <v>17.353000000000002</v>
      </c>
      <c r="AX16" s="45">
        <v>19.427</v>
      </c>
      <c r="AY16" s="45">
        <v>25.596</v>
      </c>
      <c r="AZ16" s="45">
        <v>26.675000000000001</v>
      </c>
      <c r="BA16" s="45">
        <v>27.686</v>
      </c>
      <c r="BB16" s="45">
        <v>28.856000000000002</v>
      </c>
      <c r="BC16" s="45">
        <v>30.077000000000002</v>
      </c>
      <c r="BD16" s="45">
        <v>31.099</v>
      </c>
      <c r="BE16" s="45">
        <v>32.238</v>
      </c>
      <c r="BF16" s="45">
        <v>33.601999999999997</v>
      </c>
      <c r="BG16" s="45">
        <v>34.972999999999999</v>
      </c>
      <c r="BH16" s="45">
        <v>36.171999999999997</v>
      </c>
      <c r="BI16" s="49">
        <v>37.15</v>
      </c>
      <c r="BJ16" s="45">
        <v>38.067999999999998</v>
      </c>
      <c r="BK16" s="45">
        <v>39.154000000000003</v>
      </c>
      <c r="BL16" s="45">
        <v>40.268000000000001</v>
      </c>
      <c r="BM16" s="45">
        <v>41.366999999999997</v>
      </c>
      <c r="BN16" s="45">
        <v>42.468000000000004</v>
      </c>
      <c r="BO16" s="45">
        <v>43.582000000000001</v>
      </c>
      <c r="BP16" s="45">
        <v>44.698999999999998</v>
      </c>
      <c r="BQ16" s="45">
        <v>46.607999999999997</v>
      </c>
      <c r="BR16" s="45">
        <v>50.621000000000002</v>
      </c>
      <c r="BS16" s="45">
        <v>51.173000000000002</v>
      </c>
      <c r="BT16" s="45">
        <v>51.738999999999997</v>
      </c>
      <c r="BU16" s="49">
        <v>52.182000000000002</v>
      </c>
      <c r="BV16" s="45">
        <v>52.679000000000002</v>
      </c>
      <c r="BW16" s="45">
        <v>53.104999999999997</v>
      </c>
      <c r="BX16" s="45">
        <v>53.646999999999998</v>
      </c>
      <c r="BY16" s="45">
        <v>54.215000000000003</v>
      </c>
      <c r="BZ16" s="45">
        <v>54.838000000000001</v>
      </c>
      <c r="CA16" s="45">
        <v>55.567999999999998</v>
      </c>
      <c r="CB16" s="45">
        <v>56.152000000000001</v>
      </c>
      <c r="CC16" s="45">
        <v>57.045000000000002</v>
      </c>
      <c r="CD16" s="45">
        <v>58.844000000000001</v>
      </c>
      <c r="CE16" s="45">
        <v>58.892000000000003</v>
      </c>
      <c r="CF16" s="45">
        <v>59.024999999999999</v>
      </c>
      <c r="CG16" s="49">
        <v>59.146999999999998</v>
      </c>
      <c r="CH16" s="45">
        <v>59.232999999999997</v>
      </c>
      <c r="CI16" s="45">
        <v>59.392000000000003</v>
      </c>
      <c r="CJ16" s="45">
        <v>59.881999999999998</v>
      </c>
      <c r="CK16" s="45">
        <v>59.898000000000003</v>
      </c>
      <c r="CL16" s="45">
        <v>59.902000000000001</v>
      </c>
      <c r="CM16" s="45">
        <v>59.902000000000001</v>
      </c>
      <c r="CN16" s="45">
        <v>59.905999999999999</v>
      </c>
      <c r="CO16" s="45">
        <v>59.93</v>
      </c>
      <c r="CP16" s="45">
        <v>59.948</v>
      </c>
      <c r="CQ16" s="45">
        <v>59.948</v>
      </c>
      <c r="CR16" s="45">
        <v>59.965000000000003</v>
      </c>
      <c r="CS16" s="49">
        <v>59.969000000000001</v>
      </c>
      <c r="CT16" s="45">
        <v>59.976999999999997</v>
      </c>
      <c r="CU16" s="45">
        <v>60.024999999999999</v>
      </c>
      <c r="CV16" s="45">
        <v>60.076999999999998</v>
      </c>
      <c r="CW16" s="45">
        <v>60.125999999999998</v>
      </c>
      <c r="CX16" s="45">
        <v>60.155999999999999</v>
      </c>
      <c r="CY16" s="45">
        <v>60.189</v>
      </c>
      <c r="CZ16" s="45">
        <v>60.231999999999999</v>
      </c>
      <c r="DA16" s="45">
        <v>60.280999999999999</v>
      </c>
      <c r="DB16" s="45">
        <v>60.311</v>
      </c>
      <c r="DC16" s="45">
        <v>60.319000000000003</v>
      </c>
      <c r="DD16" s="45">
        <v>60.331000000000003</v>
      </c>
      <c r="DE16" s="49">
        <v>60.354999999999997</v>
      </c>
      <c r="DF16" s="45">
        <v>60.378</v>
      </c>
      <c r="DG16" s="45">
        <v>60.406999999999996</v>
      </c>
      <c r="DH16" s="45">
        <v>60.427</v>
      </c>
      <c r="DI16" s="45">
        <v>60.436</v>
      </c>
      <c r="DJ16" s="45">
        <v>60.448</v>
      </c>
      <c r="DK16" s="45">
        <v>60.476999999999997</v>
      </c>
      <c r="DL16" s="45">
        <v>60.508000000000003</v>
      </c>
      <c r="DM16" s="45">
        <v>60.524999999999999</v>
      </c>
      <c r="DN16" s="45">
        <v>60.555999999999997</v>
      </c>
      <c r="DO16" s="45">
        <v>60.567999999999998</v>
      </c>
      <c r="DP16" s="45">
        <v>60.576999999999998</v>
      </c>
      <c r="DQ16" s="49">
        <v>60.591000000000001</v>
      </c>
      <c r="DR16" s="45">
        <v>60.621000000000002</v>
      </c>
      <c r="DS16" s="45">
        <v>60.671999999999997</v>
      </c>
      <c r="DT16" s="45">
        <v>60.695999999999998</v>
      </c>
      <c r="DU16" s="45">
        <v>60.7</v>
      </c>
      <c r="DV16" s="45">
        <v>60.7</v>
      </c>
      <c r="DW16" s="45">
        <v>60.75</v>
      </c>
      <c r="DX16" s="45">
        <v>60.802</v>
      </c>
      <c r="DY16" s="45">
        <v>60.837000000000003</v>
      </c>
      <c r="DZ16" s="45">
        <v>60.889000000000003</v>
      </c>
      <c r="EA16" s="45">
        <v>60.902999999999999</v>
      </c>
      <c r="EB16" s="45">
        <v>60.954999999999998</v>
      </c>
      <c r="EC16" s="49">
        <v>60.98</v>
      </c>
      <c r="ED16" s="45">
        <v>61.006999999999998</v>
      </c>
      <c r="EE16" s="45">
        <v>61.054000000000002</v>
      </c>
      <c r="EF16" s="45">
        <v>61.122999999999998</v>
      </c>
      <c r="EG16" s="45">
        <v>61.210999999999999</v>
      </c>
      <c r="EH16" s="45">
        <v>61.366</v>
      </c>
      <c r="EI16" s="45">
        <v>61.52</v>
      </c>
      <c r="EJ16" s="45">
        <v>61.604999999999997</v>
      </c>
      <c r="EK16" s="45">
        <v>61.77</v>
      </c>
      <c r="EL16" s="45">
        <v>62.014000000000003</v>
      </c>
      <c r="EM16" s="45">
        <v>62.124000000000002</v>
      </c>
      <c r="EN16" s="45">
        <v>62.482999999999997</v>
      </c>
      <c r="EO16" s="82">
        <v>62.634</v>
      </c>
      <c r="EP16" s="45">
        <v>63.052999999999997</v>
      </c>
      <c r="EQ16" s="45">
        <v>63.283000000000001</v>
      </c>
      <c r="ER16" s="45">
        <v>63.664000000000001</v>
      </c>
      <c r="ES16" s="45">
        <v>64.058999999999997</v>
      </c>
      <c r="ET16" s="45">
        <v>64.771000000000001</v>
      </c>
      <c r="EU16" s="45">
        <v>65.403999999999996</v>
      </c>
      <c r="EV16" s="45">
        <v>65.971000000000004</v>
      </c>
      <c r="EW16" s="45">
        <v>66.602000000000004</v>
      </c>
      <c r="EX16" s="45">
        <v>67.447999999999993</v>
      </c>
      <c r="EY16" s="45">
        <v>68.221000000000004</v>
      </c>
      <c r="EZ16" s="45">
        <v>69.337000000000003</v>
      </c>
      <c r="FA16" s="82">
        <v>70.010000000000005</v>
      </c>
      <c r="FB16" s="45">
        <v>70.956999999999994</v>
      </c>
      <c r="FC16" s="45">
        <v>71.680000000000007</v>
      </c>
      <c r="FD16" s="45">
        <v>72.34</v>
      </c>
      <c r="FE16" s="45">
        <v>72.796999999999997</v>
      </c>
      <c r="FF16" s="45">
        <v>73.52</v>
      </c>
      <c r="FG16" s="45">
        <v>74.317999999999998</v>
      </c>
      <c r="FH16" s="45">
        <v>75.031999999999996</v>
      </c>
      <c r="FI16" s="45">
        <v>75.899000000000001</v>
      </c>
      <c r="FJ16" s="45">
        <v>76.576999999999998</v>
      </c>
      <c r="FK16" s="155">
        <v>77.293999999999997</v>
      </c>
      <c r="FL16" s="155">
        <v>77.962000000000003</v>
      </c>
      <c r="FM16" s="155">
        <v>78.421000000000006</v>
      </c>
      <c r="FN16" s="69">
        <v>78.888000000000005</v>
      </c>
      <c r="FO16" s="155">
        <v>79.45</v>
      </c>
      <c r="FP16" s="155">
        <v>79.816000000000003</v>
      </c>
      <c r="FQ16" s="155">
        <v>80.408000000000001</v>
      </c>
      <c r="FR16" s="155">
        <v>81.048000000000002</v>
      </c>
      <c r="FS16" s="155">
        <v>81.817999999999998</v>
      </c>
      <c r="FT16" s="155">
        <v>82.554000000000002</v>
      </c>
      <c r="FU16" s="178">
        <v>83.346999999999994</v>
      </c>
      <c r="FV16" s="178">
        <v>83.986000000000004</v>
      </c>
      <c r="FW16" s="178">
        <v>84.641999999999996</v>
      </c>
      <c r="FX16" s="178">
        <v>85.343000000000004</v>
      </c>
      <c r="FY16" s="180">
        <v>85.652000000000001</v>
      </c>
      <c r="FZ16" s="178">
        <v>86.241</v>
      </c>
      <c r="GA16" s="178">
        <v>86.813999999999993</v>
      </c>
      <c r="GB16" s="178">
        <v>87.671000000000006</v>
      </c>
      <c r="GC16" s="178">
        <v>88.418000000000006</v>
      </c>
      <c r="GD16" s="178">
        <v>89.674000000000007</v>
      </c>
      <c r="GE16" s="178">
        <v>90.811999999999998</v>
      </c>
      <c r="GF16" s="178">
        <v>91.697999999999993</v>
      </c>
      <c r="GG16" s="178">
        <v>92.733999999999995</v>
      </c>
      <c r="GH16" s="178">
        <v>93.798000000000002</v>
      </c>
      <c r="GI16" s="178">
        <v>94.947000000000003</v>
      </c>
      <c r="GJ16" s="178">
        <v>96.021000000000001</v>
      </c>
      <c r="GK16" s="180">
        <v>96.694000000000003</v>
      </c>
      <c r="GL16" s="178">
        <v>97.715999999999994</v>
      </c>
      <c r="GM16" s="178">
        <v>98.757999999999996</v>
      </c>
      <c r="GN16" s="178">
        <v>100.10299999999999</v>
      </c>
      <c r="GO16" s="178">
        <v>101.81100000000001</v>
      </c>
      <c r="GP16" s="178">
        <v>103.22199999999999</v>
      </c>
      <c r="GQ16" s="178">
        <v>105.571</v>
      </c>
    </row>
    <row r="17" spans="1:200" s="1" customFormat="1" ht="20.149999999999999" customHeight="1" x14ac:dyDescent="0.35">
      <c r="A17" s="31" t="s">
        <v>1625</v>
      </c>
      <c r="B17" s="45">
        <v>0.217</v>
      </c>
      <c r="C17" s="45">
        <v>0.217</v>
      </c>
      <c r="D17" s="45">
        <v>0.25</v>
      </c>
      <c r="E17" s="45">
        <v>0.25</v>
      </c>
      <c r="F17" s="45">
        <v>0.25</v>
      </c>
      <c r="G17" s="45">
        <v>0.26200000000000001</v>
      </c>
      <c r="H17" s="45">
        <v>0.27700000000000002</v>
      </c>
      <c r="I17" s="45">
        <v>0.27700000000000002</v>
      </c>
      <c r="J17" s="45">
        <v>0.27700000000000002</v>
      </c>
      <c r="K17" s="45">
        <v>0.27700000000000002</v>
      </c>
      <c r="L17" s="45">
        <v>0.27700000000000002</v>
      </c>
      <c r="M17" s="49">
        <v>0.27700000000000002</v>
      </c>
      <c r="N17" s="50">
        <v>0.27700000000000002</v>
      </c>
      <c r="O17" s="45">
        <v>0.27700000000000002</v>
      </c>
      <c r="P17" s="45">
        <v>0.27700000000000002</v>
      </c>
      <c r="Q17" s="45">
        <v>0.27700000000000002</v>
      </c>
      <c r="R17" s="45">
        <v>0.27700000000000002</v>
      </c>
      <c r="S17" s="45">
        <v>0.27700000000000002</v>
      </c>
      <c r="T17" s="45">
        <v>0.27700000000000002</v>
      </c>
      <c r="U17" s="45">
        <v>0.27700000000000002</v>
      </c>
      <c r="V17" s="45">
        <v>0.27700000000000002</v>
      </c>
      <c r="W17" s="45">
        <v>0.29699999999999999</v>
      </c>
      <c r="X17" s="45">
        <v>0.29699999999999999</v>
      </c>
      <c r="Y17" s="49">
        <v>0.307</v>
      </c>
      <c r="Z17" s="50">
        <v>0.307</v>
      </c>
      <c r="AA17" s="45">
        <v>0.34799999999999998</v>
      </c>
      <c r="AB17" s="45">
        <v>0.38800000000000001</v>
      </c>
      <c r="AC17" s="45">
        <v>0.40799999999999997</v>
      </c>
      <c r="AD17" s="45">
        <v>0.40799999999999997</v>
      </c>
      <c r="AE17" s="45">
        <v>0.40799999999999997</v>
      </c>
      <c r="AF17" s="45">
        <v>0.40799999999999997</v>
      </c>
      <c r="AG17" s="45">
        <v>0.49099999999999999</v>
      </c>
      <c r="AH17" s="45">
        <v>0.54200000000000004</v>
      </c>
      <c r="AI17" s="45">
        <v>0.67300000000000004</v>
      </c>
      <c r="AJ17" s="45">
        <v>0.89300000000000002</v>
      </c>
      <c r="AK17" s="49">
        <v>0.98599999999999999</v>
      </c>
      <c r="AL17" s="50">
        <v>1.125</v>
      </c>
      <c r="AM17" s="45">
        <v>1.2</v>
      </c>
      <c r="AN17" s="45">
        <v>1.33</v>
      </c>
      <c r="AO17" s="45">
        <v>1.409</v>
      </c>
      <c r="AP17" s="45">
        <v>1.7350000000000001</v>
      </c>
      <c r="AQ17" s="45">
        <v>2.1520000000000001</v>
      </c>
      <c r="AR17" s="45">
        <v>2.544</v>
      </c>
      <c r="AS17" s="45">
        <v>3.3479999999999999</v>
      </c>
      <c r="AT17" s="45">
        <v>3.7559999999999998</v>
      </c>
      <c r="AU17" s="45">
        <v>4.2629999999999999</v>
      </c>
      <c r="AV17" s="45">
        <v>5.141</v>
      </c>
      <c r="AW17" s="49">
        <v>5.8049999999999997</v>
      </c>
      <c r="AX17" s="45">
        <v>6.9489999999999998</v>
      </c>
      <c r="AY17" s="45">
        <v>10.959</v>
      </c>
      <c r="AZ17" s="45">
        <v>11.295</v>
      </c>
      <c r="BA17" s="45">
        <v>11.76</v>
      </c>
      <c r="BB17" s="45">
        <v>12.656000000000001</v>
      </c>
      <c r="BC17" s="45">
        <v>13.215999999999999</v>
      </c>
      <c r="BD17" s="45">
        <v>13.746</v>
      </c>
      <c r="BE17" s="45">
        <v>14.12</v>
      </c>
      <c r="BF17" s="45">
        <v>14.744</v>
      </c>
      <c r="BG17" s="45">
        <v>15.169</v>
      </c>
      <c r="BH17" s="45">
        <v>15.662000000000001</v>
      </c>
      <c r="BI17" s="49">
        <v>16.146999999999998</v>
      </c>
      <c r="BJ17" s="45">
        <v>16.981000000000002</v>
      </c>
      <c r="BK17" s="45">
        <v>18.204999999999998</v>
      </c>
      <c r="BL17" s="45">
        <v>20.013000000000002</v>
      </c>
      <c r="BM17" s="45">
        <v>21.024000000000001</v>
      </c>
      <c r="BN17" s="45">
        <v>21.792999999999999</v>
      </c>
      <c r="BO17" s="45">
        <v>22.95</v>
      </c>
      <c r="BP17" s="45">
        <v>23.696999999999999</v>
      </c>
      <c r="BQ17" s="45">
        <v>25.457000000000001</v>
      </c>
      <c r="BR17" s="45">
        <v>31.257999999999999</v>
      </c>
      <c r="BS17" s="45">
        <v>31.553000000000001</v>
      </c>
      <c r="BT17" s="45">
        <v>31.757999999999999</v>
      </c>
      <c r="BU17" s="49">
        <v>31.937000000000001</v>
      </c>
      <c r="BV17" s="45">
        <v>32.161999999999999</v>
      </c>
      <c r="BW17" s="45">
        <v>32.356000000000002</v>
      </c>
      <c r="BX17" s="45">
        <v>32.69</v>
      </c>
      <c r="BY17" s="45">
        <v>32.917999999999999</v>
      </c>
      <c r="BZ17" s="45">
        <v>33.335999999999999</v>
      </c>
      <c r="CA17" s="45">
        <v>33.953000000000003</v>
      </c>
      <c r="CB17" s="45">
        <v>34.661000000000001</v>
      </c>
      <c r="CC17" s="45">
        <v>35.612000000000002</v>
      </c>
      <c r="CD17" s="45">
        <v>39.152999999999999</v>
      </c>
      <c r="CE17" s="45">
        <v>39.226999999999997</v>
      </c>
      <c r="CF17" s="45">
        <v>39.283000000000001</v>
      </c>
      <c r="CG17" s="49">
        <v>39.354999999999997</v>
      </c>
      <c r="CH17" s="45">
        <v>39.378999999999998</v>
      </c>
      <c r="CI17" s="45">
        <v>39.555999999999997</v>
      </c>
      <c r="CJ17" s="45">
        <v>40.21</v>
      </c>
      <c r="CK17" s="45">
        <v>40.241999999999997</v>
      </c>
      <c r="CL17" s="45">
        <v>40.241999999999997</v>
      </c>
      <c r="CM17" s="45">
        <v>40.292000000000002</v>
      </c>
      <c r="CN17" s="45">
        <v>40.304000000000002</v>
      </c>
      <c r="CO17" s="45">
        <v>40.347999999999999</v>
      </c>
      <c r="CP17" s="45">
        <v>40.347999999999999</v>
      </c>
      <c r="CQ17" s="45">
        <v>40.36</v>
      </c>
      <c r="CR17" s="45">
        <v>40.49</v>
      </c>
      <c r="CS17" s="49">
        <v>40.567</v>
      </c>
      <c r="CT17" s="45">
        <v>40.567</v>
      </c>
      <c r="CU17" s="45">
        <v>40.579000000000001</v>
      </c>
      <c r="CV17" s="45">
        <v>40.579000000000001</v>
      </c>
      <c r="CW17" s="45">
        <v>40.651000000000003</v>
      </c>
      <c r="CX17" s="45">
        <v>40.662999999999997</v>
      </c>
      <c r="CY17" s="45">
        <v>40.674999999999997</v>
      </c>
      <c r="CZ17" s="45">
        <v>40.686999999999998</v>
      </c>
      <c r="DA17" s="45">
        <v>40.805</v>
      </c>
      <c r="DB17" s="45">
        <v>40.817</v>
      </c>
      <c r="DC17" s="45">
        <v>40.826999999999998</v>
      </c>
      <c r="DD17" s="45">
        <v>40.85</v>
      </c>
      <c r="DE17" s="49">
        <v>40.904000000000003</v>
      </c>
      <c r="DF17" s="45">
        <v>40.904000000000003</v>
      </c>
      <c r="DG17" s="45">
        <v>40.966000000000001</v>
      </c>
      <c r="DH17" s="45">
        <v>40.966000000000001</v>
      </c>
      <c r="DI17" s="45">
        <v>40.966000000000001</v>
      </c>
      <c r="DJ17" s="45">
        <v>40.966000000000001</v>
      </c>
      <c r="DK17" s="45">
        <v>41.002000000000002</v>
      </c>
      <c r="DL17" s="45">
        <v>41.002000000000002</v>
      </c>
      <c r="DM17" s="45">
        <v>41.014000000000003</v>
      </c>
      <c r="DN17" s="45">
        <v>41.082000000000001</v>
      </c>
      <c r="DO17" s="45">
        <v>41.128999999999998</v>
      </c>
      <c r="DP17" s="45">
        <v>41.149000000000001</v>
      </c>
      <c r="DQ17" s="49">
        <v>41.161999999999999</v>
      </c>
      <c r="DR17" s="45">
        <v>41.173999999999999</v>
      </c>
      <c r="DS17" s="45">
        <v>41.173999999999999</v>
      </c>
      <c r="DT17" s="45">
        <v>41.186</v>
      </c>
      <c r="DU17" s="45">
        <v>41.198</v>
      </c>
      <c r="DV17" s="45">
        <v>41.198</v>
      </c>
      <c r="DW17" s="45">
        <v>41.219000000000001</v>
      </c>
      <c r="DX17" s="45">
        <v>41.27</v>
      </c>
      <c r="DY17" s="45">
        <v>41.27</v>
      </c>
      <c r="DZ17" s="45">
        <v>41.293999999999997</v>
      </c>
      <c r="EA17" s="45">
        <v>41.293999999999997</v>
      </c>
      <c r="EB17" s="45">
        <v>41.293999999999997</v>
      </c>
      <c r="EC17" s="49">
        <v>41.293999999999997</v>
      </c>
      <c r="ED17" s="45">
        <v>41.304000000000002</v>
      </c>
      <c r="EE17" s="45">
        <v>41.304000000000002</v>
      </c>
      <c r="EF17" s="45">
        <v>41.326000000000001</v>
      </c>
      <c r="EG17" s="45">
        <v>41.393999999999998</v>
      </c>
      <c r="EH17" s="45">
        <v>41.454999999999998</v>
      </c>
      <c r="EI17" s="45">
        <v>41.530999999999999</v>
      </c>
      <c r="EJ17" s="45">
        <v>41.546999999999997</v>
      </c>
      <c r="EK17" s="45">
        <v>41.558</v>
      </c>
      <c r="EL17" s="45">
        <v>41.603000000000002</v>
      </c>
      <c r="EM17" s="45">
        <v>41.673000000000002</v>
      </c>
      <c r="EN17" s="45">
        <v>41.718000000000004</v>
      </c>
      <c r="EO17" s="82">
        <v>41.761000000000003</v>
      </c>
      <c r="EP17" s="45">
        <v>41.828000000000003</v>
      </c>
      <c r="EQ17" s="45">
        <v>41.954000000000001</v>
      </c>
      <c r="ER17" s="45">
        <v>42.094999999999999</v>
      </c>
      <c r="ES17" s="45">
        <v>42.191000000000003</v>
      </c>
      <c r="ET17" s="45">
        <v>42.323999999999998</v>
      </c>
      <c r="EU17" s="45">
        <v>42.511000000000003</v>
      </c>
      <c r="EV17" s="45">
        <v>42.656999999999996</v>
      </c>
      <c r="EW17" s="45">
        <v>42.85</v>
      </c>
      <c r="EX17" s="45">
        <v>43.018999999999998</v>
      </c>
      <c r="EY17" s="45">
        <v>43.448</v>
      </c>
      <c r="EZ17" s="45">
        <v>43.716000000000001</v>
      </c>
      <c r="FA17" s="82">
        <v>43.935000000000002</v>
      </c>
      <c r="FB17" s="45">
        <v>44.195</v>
      </c>
      <c r="FC17" s="45">
        <v>44.591000000000001</v>
      </c>
      <c r="FD17" s="45">
        <v>44.963000000000001</v>
      </c>
      <c r="FE17" s="45">
        <v>45.363</v>
      </c>
      <c r="FF17" s="45">
        <v>45.688000000000002</v>
      </c>
      <c r="FG17" s="45">
        <v>45.917999999999999</v>
      </c>
      <c r="FH17" s="45">
        <v>46.073</v>
      </c>
      <c r="FI17" s="45">
        <v>46.188000000000002</v>
      </c>
      <c r="FJ17" s="45">
        <v>46.466999999999999</v>
      </c>
      <c r="FK17" s="155">
        <v>47.034999999999997</v>
      </c>
      <c r="FL17" s="155">
        <v>47.271999999999998</v>
      </c>
      <c r="FM17" s="155">
        <v>47.49</v>
      </c>
      <c r="FN17" s="69">
        <v>47.613999999999997</v>
      </c>
      <c r="FO17" s="155">
        <v>47.874000000000002</v>
      </c>
      <c r="FP17" s="155">
        <v>48.018999999999998</v>
      </c>
      <c r="FQ17" s="155">
        <v>48.404000000000003</v>
      </c>
      <c r="FR17" s="155">
        <v>48.533000000000001</v>
      </c>
      <c r="FS17" s="155">
        <v>48.692999999999998</v>
      </c>
      <c r="FT17" s="155">
        <v>48.859000000000002</v>
      </c>
      <c r="FU17" s="178">
        <v>48.991</v>
      </c>
      <c r="FV17" s="178">
        <v>49.07</v>
      </c>
      <c r="FW17" s="178">
        <v>49.143000000000001</v>
      </c>
      <c r="FX17" s="178">
        <v>49.271000000000001</v>
      </c>
      <c r="FY17" s="180">
        <v>49.362000000000002</v>
      </c>
      <c r="FZ17" s="178">
        <v>49.447000000000003</v>
      </c>
      <c r="GA17" s="178">
        <v>49.652999999999999</v>
      </c>
      <c r="GB17" s="178">
        <v>49.737000000000002</v>
      </c>
      <c r="GC17" s="178">
        <v>49.948999999999998</v>
      </c>
      <c r="GD17" s="178">
        <v>50.22</v>
      </c>
      <c r="GE17" s="178">
        <v>50.561</v>
      </c>
      <c r="GF17" s="178">
        <v>50.793999999999997</v>
      </c>
      <c r="GG17" s="178">
        <v>51.021999999999998</v>
      </c>
      <c r="GH17" s="178">
        <v>51.222999999999999</v>
      </c>
      <c r="GI17" s="178">
        <v>51.625999999999998</v>
      </c>
      <c r="GJ17" s="178">
        <v>51.957999999999998</v>
      </c>
      <c r="GK17" s="180">
        <v>52.091999999999999</v>
      </c>
      <c r="GL17" s="178">
        <v>52.319000000000003</v>
      </c>
      <c r="GM17" s="178">
        <v>52.518000000000001</v>
      </c>
      <c r="GN17" s="178">
        <v>52.749000000000002</v>
      </c>
      <c r="GO17" s="178">
        <v>52.914000000000001</v>
      </c>
      <c r="GP17" s="178">
        <v>53.009</v>
      </c>
      <c r="GQ17" s="178">
        <v>53.335999999999999</v>
      </c>
    </row>
    <row r="18" spans="1:200" s="1" customFormat="1" ht="20.149999999999999" customHeight="1" x14ac:dyDescent="0.35">
      <c r="A18" s="31" t="s">
        <v>1627</v>
      </c>
      <c r="B18" s="45">
        <v>0</v>
      </c>
      <c r="C18" s="45">
        <v>0</v>
      </c>
      <c r="D18" s="45">
        <v>0</v>
      </c>
      <c r="E18" s="45">
        <v>0</v>
      </c>
      <c r="F18" s="45">
        <v>0</v>
      </c>
      <c r="G18" s="45">
        <v>0</v>
      </c>
      <c r="H18" s="45">
        <v>0</v>
      </c>
      <c r="I18" s="45">
        <v>0</v>
      </c>
      <c r="J18" s="45">
        <v>0</v>
      </c>
      <c r="K18" s="45">
        <v>0</v>
      </c>
      <c r="L18" s="45">
        <v>0</v>
      </c>
      <c r="M18" s="49">
        <v>0</v>
      </c>
      <c r="N18" s="50">
        <v>0</v>
      </c>
      <c r="O18" s="45">
        <v>0</v>
      </c>
      <c r="P18" s="45">
        <v>0</v>
      </c>
      <c r="Q18" s="45">
        <v>0</v>
      </c>
      <c r="R18" s="45">
        <v>0</v>
      </c>
      <c r="S18" s="45">
        <v>0</v>
      </c>
      <c r="T18" s="45">
        <v>0</v>
      </c>
      <c r="U18" s="45">
        <v>0</v>
      </c>
      <c r="V18" s="45">
        <v>0</v>
      </c>
      <c r="W18" s="45">
        <v>0</v>
      </c>
      <c r="X18" s="45">
        <v>0</v>
      </c>
      <c r="Y18" s="49">
        <v>0</v>
      </c>
      <c r="Z18" s="50">
        <v>0</v>
      </c>
      <c r="AA18" s="45">
        <v>0</v>
      </c>
      <c r="AB18" s="45">
        <v>0</v>
      </c>
      <c r="AC18" s="45">
        <v>0</v>
      </c>
      <c r="AD18" s="45">
        <v>0</v>
      </c>
      <c r="AE18" s="45">
        <v>0</v>
      </c>
      <c r="AF18" s="45">
        <v>0</v>
      </c>
      <c r="AG18" s="45">
        <v>0</v>
      </c>
      <c r="AH18" s="45">
        <v>0</v>
      </c>
      <c r="AI18" s="45">
        <v>0.05</v>
      </c>
      <c r="AJ18" s="45">
        <v>0.255</v>
      </c>
      <c r="AK18" s="49">
        <v>0.255</v>
      </c>
      <c r="AL18" s="50">
        <v>0.255</v>
      </c>
      <c r="AM18" s="45">
        <v>0.255</v>
      </c>
      <c r="AN18" s="45">
        <v>0.255</v>
      </c>
      <c r="AO18" s="45">
        <v>0.255</v>
      </c>
      <c r="AP18" s="45">
        <v>0.255</v>
      </c>
      <c r="AQ18" s="45">
        <v>0.255</v>
      </c>
      <c r="AR18" s="45">
        <v>0.255</v>
      </c>
      <c r="AS18" s="45">
        <v>0.255</v>
      </c>
      <c r="AT18" s="45">
        <v>0.255</v>
      </c>
      <c r="AU18" s="45">
        <v>0.255</v>
      </c>
      <c r="AV18" s="45">
        <v>0.45500000000000002</v>
      </c>
      <c r="AW18" s="49">
        <v>0.45500000000000002</v>
      </c>
      <c r="AX18" s="45">
        <v>0.60499999999999998</v>
      </c>
      <c r="AY18" s="45">
        <v>0.85499999999999998</v>
      </c>
      <c r="AZ18" s="45">
        <v>1.0049999999999999</v>
      </c>
      <c r="BA18" s="45">
        <v>1.0049999999999999</v>
      </c>
      <c r="BB18" s="45">
        <v>1.3979999999999999</v>
      </c>
      <c r="BC18" s="45">
        <v>1.6479999999999999</v>
      </c>
      <c r="BD18" s="45">
        <v>2.266</v>
      </c>
      <c r="BE18" s="45">
        <v>2.3660000000000001</v>
      </c>
      <c r="BF18" s="45">
        <v>2.4159999999999999</v>
      </c>
      <c r="BG18" s="45">
        <v>2.6160000000000001</v>
      </c>
      <c r="BH18" s="45">
        <v>2.6659999999999999</v>
      </c>
      <c r="BI18" s="49">
        <v>4.1239999999999997</v>
      </c>
      <c r="BJ18" s="45">
        <v>4.3739999999999997</v>
      </c>
      <c r="BK18" s="45">
        <v>4.3739999999999997</v>
      </c>
      <c r="BL18" s="45">
        <v>4.7240000000000002</v>
      </c>
      <c r="BM18" s="45">
        <v>4.8739999999999997</v>
      </c>
      <c r="BN18" s="45">
        <v>8.8070000000000004</v>
      </c>
      <c r="BO18" s="45">
        <v>8.9570000000000007</v>
      </c>
      <c r="BP18" s="45">
        <v>9.157</v>
      </c>
      <c r="BQ18" s="45">
        <v>9.8569999999999993</v>
      </c>
      <c r="BR18" s="45">
        <v>10.606999999999999</v>
      </c>
      <c r="BS18" s="45">
        <v>10.757</v>
      </c>
      <c r="BT18" s="45">
        <v>10.757</v>
      </c>
      <c r="BU18" s="49">
        <v>10.907</v>
      </c>
      <c r="BV18" s="45">
        <v>10.907</v>
      </c>
      <c r="BW18" s="45">
        <v>11.037000000000001</v>
      </c>
      <c r="BX18" s="45">
        <v>11.037000000000001</v>
      </c>
      <c r="BY18" s="45">
        <v>11.286</v>
      </c>
      <c r="BZ18" s="45">
        <v>16.085999999999999</v>
      </c>
      <c r="CA18" s="45">
        <v>16.135999999999999</v>
      </c>
      <c r="CB18" s="45">
        <v>16.385999999999999</v>
      </c>
      <c r="CC18" s="45">
        <v>16.436</v>
      </c>
      <c r="CD18" s="45">
        <v>16.436</v>
      </c>
      <c r="CE18" s="45">
        <v>16.436</v>
      </c>
      <c r="CF18" s="45">
        <v>16.436</v>
      </c>
      <c r="CG18" s="49">
        <v>16.436</v>
      </c>
      <c r="CH18" s="45">
        <v>17.055</v>
      </c>
      <c r="CI18" s="45">
        <v>17.600000000000001</v>
      </c>
      <c r="CJ18" s="45">
        <v>19.867000000000001</v>
      </c>
      <c r="CK18" s="45">
        <v>19.867000000000001</v>
      </c>
      <c r="CL18" s="45">
        <v>19.917000000000002</v>
      </c>
      <c r="CM18" s="45">
        <v>19.917000000000002</v>
      </c>
      <c r="CN18" s="45">
        <v>19.917000000000002</v>
      </c>
      <c r="CO18" s="45">
        <v>19.917000000000002</v>
      </c>
      <c r="CP18" s="45">
        <v>19.917000000000002</v>
      </c>
      <c r="CQ18" s="45">
        <v>19.917000000000002</v>
      </c>
      <c r="CR18" s="45">
        <v>19.917000000000002</v>
      </c>
      <c r="CS18" s="49">
        <v>19.917000000000002</v>
      </c>
      <c r="CT18" s="45">
        <v>19.917000000000002</v>
      </c>
      <c r="CU18" s="45">
        <v>19.917000000000002</v>
      </c>
      <c r="CV18" s="45">
        <v>30.077999999999999</v>
      </c>
      <c r="CW18" s="45">
        <v>30.077999999999999</v>
      </c>
      <c r="CX18" s="45">
        <v>30.077999999999999</v>
      </c>
      <c r="CY18" s="45">
        <v>30.077999999999999</v>
      </c>
      <c r="CZ18" s="45">
        <v>30.077999999999999</v>
      </c>
      <c r="DA18" s="45">
        <v>30.077999999999999</v>
      </c>
      <c r="DB18" s="45">
        <v>30.077999999999999</v>
      </c>
      <c r="DC18" s="45">
        <v>30.077999999999999</v>
      </c>
      <c r="DD18" s="45">
        <v>30.077999999999999</v>
      </c>
      <c r="DE18" s="49">
        <v>30.077999999999999</v>
      </c>
      <c r="DF18" s="45">
        <v>30.077999999999999</v>
      </c>
      <c r="DG18" s="45">
        <v>30.077999999999999</v>
      </c>
      <c r="DH18" s="45">
        <v>30.077999999999999</v>
      </c>
      <c r="DI18" s="45">
        <v>30.077999999999999</v>
      </c>
      <c r="DJ18" s="45">
        <v>30.077999999999999</v>
      </c>
      <c r="DK18" s="45">
        <v>30.077999999999999</v>
      </c>
      <c r="DL18" s="45">
        <v>30.077999999999999</v>
      </c>
      <c r="DM18" s="45">
        <v>30.077999999999999</v>
      </c>
      <c r="DN18" s="45">
        <v>30.077999999999999</v>
      </c>
      <c r="DO18" s="45">
        <v>30.077999999999999</v>
      </c>
      <c r="DP18" s="45">
        <v>30.077999999999999</v>
      </c>
      <c r="DQ18" s="49">
        <v>30.077999999999999</v>
      </c>
      <c r="DR18" s="45">
        <v>30.077999999999999</v>
      </c>
      <c r="DS18" s="45">
        <v>30.077999999999999</v>
      </c>
      <c r="DT18" s="45">
        <v>30.077999999999999</v>
      </c>
      <c r="DU18" s="45">
        <v>30.077999999999999</v>
      </c>
      <c r="DV18" s="45">
        <v>30.077999999999999</v>
      </c>
      <c r="DW18" s="45">
        <v>30.077999999999999</v>
      </c>
      <c r="DX18" s="45">
        <v>30.077999999999999</v>
      </c>
      <c r="DY18" s="45">
        <v>30.178000000000001</v>
      </c>
      <c r="DZ18" s="45">
        <v>30.178000000000001</v>
      </c>
      <c r="EA18" s="45">
        <v>30.178000000000001</v>
      </c>
      <c r="EB18" s="45">
        <v>30.178000000000001</v>
      </c>
      <c r="EC18" s="49">
        <v>30.178000000000001</v>
      </c>
      <c r="ED18" s="45">
        <v>30.178000000000001</v>
      </c>
      <c r="EE18" s="45">
        <v>30.178000000000001</v>
      </c>
      <c r="EF18" s="45">
        <v>30.178000000000001</v>
      </c>
      <c r="EG18" s="45">
        <v>30.178000000000001</v>
      </c>
      <c r="EH18" s="45">
        <v>30.178000000000001</v>
      </c>
      <c r="EI18" s="45">
        <v>30.178000000000001</v>
      </c>
      <c r="EJ18" s="45">
        <v>30.178000000000001</v>
      </c>
      <c r="EK18" s="45">
        <v>30.178000000000001</v>
      </c>
      <c r="EL18" s="45">
        <v>30.178000000000001</v>
      </c>
      <c r="EM18" s="45">
        <v>30.178000000000001</v>
      </c>
      <c r="EN18" s="45">
        <v>30.178000000000001</v>
      </c>
      <c r="EO18" s="82">
        <v>30.178000000000001</v>
      </c>
      <c r="EP18" s="45">
        <v>30.178000000000001</v>
      </c>
      <c r="EQ18" s="45">
        <v>30.178000000000001</v>
      </c>
      <c r="ER18" s="45">
        <v>30.228000000000002</v>
      </c>
      <c r="ES18" s="45">
        <v>30.228000000000002</v>
      </c>
      <c r="ET18" s="45">
        <v>30.277999999999999</v>
      </c>
      <c r="EU18" s="45">
        <v>30.277999999999999</v>
      </c>
      <c r="EV18" s="45">
        <v>30.277999999999999</v>
      </c>
      <c r="EW18" s="45">
        <v>30.277999999999999</v>
      </c>
      <c r="EX18" s="45">
        <v>30.277999999999999</v>
      </c>
      <c r="EY18" s="45">
        <v>30.277999999999999</v>
      </c>
      <c r="EZ18" s="45">
        <v>30.277999999999999</v>
      </c>
      <c r="FA18" s="82">
        <v>30.277999999999999</v>
      </c>
      <c r="FB18" s="45">
        <v>30.277999999999999</v>
      </c>
      <c r="FC18" s="45">
        <v>30.277999999999999</v>
      </c>
      <c r="FD18" s="45">
        <v>30.277999999999999</v>
      </c>
      <c r="FE18" s="45">
        <v>30.277999999999999</v>
      </c>
      <c r="FF18" s="45">
        <v>30.277999999999999</v>
      </c>
      <c r="FG18" s="45">
        <v>30.277999999999999</v>
      </c>
      <c r="FH18" s="45">
        <v>30.277999999999999</v>
      </c>
      <c r="FI18" s="45">
        <v>30.277999999999999</v>
      </c>
      <c r="FJ18" s="45">
        <v>30.327999999999999</v>
      </c>
      <c r="FK18" s="155">
        <v>30.628</v>
      </c>
      <c r="FL18" s="155">
        <v>30.628</v>
      </c>
      <c r="FM18" s="155">
        <v>30.628</v>
      </c>
      <c r="FN18" s="69">
        <v>30.628</v>
      </c>
      <c r="FO18" s="155">
        <v>30.628</v>
      </c>
      <c r="FP18" s="155">
        <v>30.628</v>
      </c>
      <c r="FQ18" s="155">
        <v>30.628</v>
      </c>
      <c r="FR18" s="155">
        <v>30.628</v>
      </c>
      <c r="FS18" s="155">
        <v>30.628</v>
      </c>
      <c r="FT18" s="155">
        <v>30.678000000000001</v>
      </c>
      <c r="FU18" s="178">
        <v>30.678000000000001</v>
      </c>
      <c r="FV18" s="178">
        <v>30.678000000000001</v>
      </c>
      <c r="FW18" s="178">
        <v>30.678000000000001</v>
      </c>
      <c r="FX18" s="178">
        <v>30.678000000000001</v>
      </c>
      <c r="FY18" s="180">
        <v>30.895</v>
      </c>
      <c r="FZ18" s="178">
        <v>30.895</v>
      </c>
      <c r="GA18" s="178">
        <v>30.895</v>
      </c>
      <c r="GB18" s="178">
        <v>30.895</v>
      </c>
      <c r="GC18" s="178">
        <v>30.895</v>
      </c>
      <c r="GD18" s="178">
        <v>30.895</v>
      </c>
      <c r="GE18" s="178">
        <v>30.895</v>
      </c>
      <c r="GF18" s="178">
        <v>30.945</v>
      </c>
      <c r="GG18" s="178">
        <v>30.995000000000001</v>
      </c>
      <c r="GH18" s="178">
        <v>30.995000000000001</v>
      </c>
      <c r="GI18" s="178">
        <v>30.995000000000001</v>
      </c>
      <c r="GJ18" s="178">
        <v>30.995000000000001</v>
      </c>
      <c r="GK18" s="180">
        <v>30.995000000000001</v>
      </c>
      <c r="GL18" s="178">
        <v>30.995000000000001</v>
      </c>
      <c r="GM18" s="178">
        <v>31.045000000000002</v>
      </c>
      <c r="GN18" s="178">
        <v>31.045000000000002</v>
      </c>
      <c r="GO18" s="178">
        <v>31.045000000000002</v>
      </c>
      <c r="GP18" s="178">
        <v>31.045000000000002</v>
      </c>
      <c r="GQ18" s="178">
        <v>31.045000000000002</v>
      </c>
    </row>
    <row r="19" spans="1:200" s="1" customFormat="1" ht="20.149999999999999" customHeight="1" x14ac:dyDescent="0.35">
      <c r="A19" s="31" t="s">
        <v>1624</v>
      </c>
      <c r="B19" s="45">
        <v>0</v>
      </c>
      <c r="C19" s="45">
        <v>0</v>
      </c>
      <c r="D19" s="45">
        <v>0</v>
      </c>
      <c r="E19" s="45">
        <v>0</v>
      </c>
      <c r="F19" s="45">
        <v>0</v>
      </c>
      <c r="G19" s="45">
        <v>0</v>
      </c>
      <c r="H19" s="45">
        <v>0</v>
      </c>
      <c r="I19" s="45">
        <v>0</v>
      </c>
      <c r="J19" s="45">
        <v>0</v>
      </c>
      <c r="K19" s="45">
        <v>0</v>
      </c>
      <c r="L19" s="45">
        <v>0</v>
      </c>
      <c r="M19" s="49">
        <v>0</v>
      </c>
      <c r="N19" s="50">
        <v>0</v>
      </c>
      <c r="O19" s="45">
        <v>0</v>
      </c>
      <c r="P19" s="45">
        <v>0</v>
      </c>
      <c r="Q19" s="45">
        <v>0</v>
      </c>
      <c r="R19" s="45">
        <v>0</v>
      </c>
      <c r="S19" s="45">
        <v>0</v>
      </c>
      <c r="T19" s="45">
        <v>0</v>
      </c>
      <c r="U19" s="45">
        <v>0</v>
      </c>
      <c r="V19" s="45">
        <v>0</v>
      </c>
      <c r="W19" s="45">
        <v>0</v>
      </c>
      <c r="X19" s="45">
        <v>0</v>
      </c>
      <c r="Y19" s="49">
        <v>0</v>
      </c>
      <c r="Z19" s="50">
        <v>0</v>
      </c>
      <c r="AA19" s="45">
        <v>0</v>
      </c>
      <c r="AB19" s="45">
        <v>0</v>
      </c>
      <c r="AC19" s="45">
        <v>0</v>
      </c>
      <c r="AD19" s="45">
        <v>0</v>
      </c>
      <c r="AE19" s="45">
        <v>0</v>
      </c>
      <c r="AF19" s="45">
        <v>0</v>
      </c>
      <c r="AG19" s="45">
        <v>0</v>
      </c>
      <c r="AH19" s="45">
        <v>0</v>
      </c>
      <c r="AI19" s="45">
        <v>0</v>
      </c>
      <c r="AJ19" s="45">
        <v>0</v>
      </c>
      <c r="AK19" s="49">
        <v>0</v>
      </c>
      <c r="AL19" s="50">
        <v>0</v>
      </c>
      <c r="AM19" s="45">
        <v>0</v>
      </c>
      <c r="AN19" s="45">
        <v>0</v>
      </c>
      <c r="AO19" s="45">
        <v>0</v>
      </c>
      <c r="AP19" s="45">
        <v>0</v>
      </c>
      <c r="AQ19" s="45">
        <v>0</v>
      </c>
      <c r="AR19" s="45">
        <v>0</v>
      </c>
      <c r="AS19" s="45">
        <v>0</v>
      </c>
      <c r="AT19" s="45">
        <v>0</v>
      </c>
      <c r="AU19" s="45">
        <v>0</v>
      </c>
      <c r="AV19" s="45">
        <v>0</v>
      </c>
      <c r="AW19" s="49">
        <v>0</v>
      </c>
      <c r="AX19" s="45">
        <v>0</v>
      </c>
      <c r="AY19" s="45">
        <v>0</v>
      </c>
      <c r="AZ19" s="45">
        <v>0</v>
      </c>
      <c r="BA19" s="45">
        <v>0</v>
      </c>
      <c r="BB19" s="45">
        <v>0</v>
      </c>
      <c r="BC19" s="45">
        <v>0</v>
      </c>
      <c r="BD19" s="45">
        <v>0</v>
      </c>
      <c r="BE19" s="45">
        <v>0</v>
      </c>
      <c r="BF19" s="45">
        <v>0</v>
      </c>
      <c r="BG19" s="45">
        <v>0</v>
      </c>
      <c r="BH19" s="45">
        <v>0</v>
      </c>
      <c r="BI19" s="49">
        <v>0</v>
      </c>
      <c r="BJ19" s="45">
        <v>0</v>
      </c>
      <c r="BK19" s="45">
        <v>0</v>
      </c>
      <c r="BL19" s="45">
        <v>0</v>
      </c>
      <c r="BM19" s="45">
        <v>0</v>
      </c>
      <c r="BN19" s="45">
        <v>0</v>
      </c>
      <c r="BO19" s="45">
        <v>0</v>
      </c>
      <c r="BP19" s="45">
        <v>0</v>
      </c>
      <c r="BQ19" s="45">
        <v>0</v>
      </c>
      <c r="BR19" s="45">
        <v>0</v>
      </c>
      <c r="BS19" s="45">
        <v>0</v>
      </c>
      <c r="BT19" s="45">
        <v>0</v>
      </c>
      <c r="BU19" s="49">
        <v>0</v>
      </c>
      <c r="BV19" s="45">
        <v>0</v>
      </c>
      <c r="BW19" s="45">
        <v>0</v>
      </c>
      <c r="BX19" s="45">
        <v>0</v>
      </c>
      <c r="BY19" s="45">
        <v>5.1260000000000003</v>
      </c>
      <c r="BZ19" s="45">
        <v>5.1260000000000003</v>
      </c>
      <c r="CA19" s="45">
        <v>5.1260000000000003</v>
      </c>
      <c r="CB19" s="45">
        <v>5.1260000000000003</v>
      </c>
      <c r="CC19" s="45">
        <v>5.1260000000000003</v>
      </c>
      <c r="CD19" s="45">
        <v>5.1260000000000003</v>
      </c>
      <c r="CE19" s="45">
        <v>5.1260000000000003</v>
      </c>
      <c r="CF19" s="45">
        <v>5.1260000000000003</v>
      </c>
      <c r="CG19" s="49">
        <v>5.1260000000000003</v>
      </c>
      <c r="CH19" s="45">
        <v>5.1260000000000003</v>
      </c>
      <c r="CI19" s="45">
        <v>31.606999999999999</v>
      </c>
      <c r="CJ19" s="45">
        <v>65.807000000000002</v>
      </c>
      <c r="CK19" s="45">
        <v>65.807000000000002</v>
      </c>
      <c r="CL19" s="45">
        <v>65.807000000000002</v>
      </c>
      <c r="CM19" s="45">
        <v>65.807000000000002</v>
      </c>
      <c r="CN19" s="45">
        <v>65.807000000000002</v>
      </c>
      <c r="CO19" s="45">
        <v>65.807000000000002</v>
      </c>
      <c r="CP19" s="45">
        <v>65.807000000000002</v>
      </c>
      <c r="CQ19" s="45">
        <v>65.807000000000002</v>
      </c>
      <c r="CR19" s="45">
        <v>65.807000000000002</v>
      </c>
      <c r="CS19" s="49">
        <v>77.766999999999996</v>
      </c>
      <c r="CT19" s="45">
        <v>77.766999999999996</v>
      </c>
      <c r="CU19" s="45">
        <v>84.266999999999996</v>
      </c>
      <c r="CV19" s="45">
        <v>98.468999999999994</v>
      </c>
      <c r="CW19" s="45">
        <v>111.46899999999999</v>
      </c>
      <c r="CX19" s="45">
        <v>117.96899999999999</v>
      </c>
      <c r="CY19" s="45">
        <v>117.96899999999999</v>
      </c>
      <c r="CZ19" s="45">
        <v>117.96899999999999</v>
      </c>
      <c r="DA19" s="45">
        <v>117.96899999999999</v>
      </c>
      <c r="DB19" s="45">
        <v>117.96899999999999</v>
      </c>
      <c r="DC19" s="45">
        <v>117.96899999999999</v>
      </c>
      <c r="DD19" s="45">
        <v>117.96899999999999</v>
      </c>
      <c r="DE19" s="49">
        <v>117.96899999999999</v>
      </c>
      <c r="DF19" s="45">
        <v>117.96899999999999</v>
      </c>
      <c r="DG19" s="45">
        <v>117.96899999999999</v>
      </c>
      <c r="DH19" s="45">
        <v>117.96899999999999</v>
      </c>
      <c r="DI19" s="45">
        <v>117.96899999999999</v>
      </c>
      <c r="DJ19" s="45">
        <v>117.96899999999999</v>
      </c>
      <c r="DK19" s="45">
        <v>117.96899999999999</v>
      </c>
      <c r="DL19" s="45">
        <v>117.96899999999999</v>
      </c>
      <c r="DM19" s="45">
        <v>117.96899999999999</v>
      </c>
      <c r="DN19" s="45">
        <v>117.96899999999999</v>
      </c>
      <c r="DO19" s="45">
        <v>117.96899999999999</v>
      </c>
      <c r="DP19" s="45">
        <v>117.96899999999999</v>
      </c>
      <c r="DQ19" s="49">
        <v>117.96899999999999</v>
      </c>
      <c r="DR19" s="45">
        <v>117.96899999999999</v>
      </c>
      <c r="DS19" s="45">
        <v>117.96899999999999</v>
      </c>
      <c r="DT19" s="45">
        <v>117.96899999999999</v>
      </c>
      <c r="DU19" s="45">
        <v>117.96899999999999</v>
      </c>
      <c r="DV19" s="45">
        <v>117.96899999999999</v>
      </c>
      <c r="DW19" s="45">
        <v>117.96899999999999</v>
      </c>
      <c r="DX19" s="45">
        <v>117.96899999999999</v>
      </c>
      <c r="DY19" s="45">
        <v>117.96899999999999</v>
      </c>
      <c r="DZ19" s="45">
        <v>117.96899999999999</v>
      </c>
      <c r="EA19" s="45">
        <v>117.96899999999999</v>
      </c>
      <c r="EB19" s="45">
        <v>117.96899999999999</v>
      </c>
      <c r="EC19" s="49">
        <v>117.96899999999999</v>
      </c>
      <c r="ED19" s="45">
        <v>117.96899999999999</v>
      </c>
      <c r="EE19" s="45">
        <v>117.96899999999999</v>
      </c>
      <c r="EF19" s="45">
        <v>117.96899999999999</v>
      </c>
      <c r="EG19" s="45">
        <v>117.96899999999999</v>
      </c>
      <c r="EH19" s="45">
        <v>117.96899999999999</v>
      </c>
      <c r="EI19" s="45">
        <v>117.96899999999999</v>
      </c>
      <c r="EJ19" s="45">
        <v>117.96899999999999</v>
      </c>
      <c r="EK19" s="45">
        <v>117.96899999999999</v>
      </c>
      <c r="EL19" s="45">
        <v>117.96899999999999</v>
      </c>
      <c r="EM19" s="45">
        <v>117.96899999999999</v>
      </c>
      <c r="EN19" s="45">
        <v>117.96899999999999</v>
      </c>
      <c r="EO19" s="82">
        <v>117.96899999999999</v>
      </c>
      <c r="EP19" s="45">
        <v>117.96899999999999</v>
      </c>
      <c r="EQ19" s="45">
        <v>117.96899999999999</v>
      </c>
      <c r="ER19" s="45">
        <v>117.96899999999999</v>
      </c>
      <c r="ES19" s="45">
        <v>117.96899999999999</v>
      </c>
      <c r="ET19" s="45">
        <v>117.96899999999999</v>
      </c>
      <c r="EU19" s="45">
        <v>117.96899999999999</v>
      </c>
      <c r="EV19" s="45">
        <v>117.96899999999999</v>
      </c>
      <c r="EW19" s="45">
        <v>117.96899999999999</v>
      </c>
      <c r="EX19" s="45">
        <v>117.96899999999999</v>
      </c>
      <c r="EY19" s="45">
        <v>117.96899999999999</v>
      </c>
      <c r="EZ19" s="45">
        <v>117.96899999999999</v>
      </c>
      <c r="FA19" s="82">
        <v>117.96899999999999</v>
      </c>
      <c r="FB19" s="45">
        <v>117.96899999999999</v>
      </c>
      <c r="FC19" s="45">
        <v>117.96899999999999</v>
      </c>
      <c r="FD19" s="45">
        <v>117.96899999999999</v>
      </c>
      <c r="FE19" s="45">
        <v>117.96899999999999</v>
      </c>
      <c r="FF19" s="45">
        <v>117.96899999999999</v>
      </c>
      <c r="FG19" s="45">
        <v>117.96899999999999</v>
      </c>
      <c r="FH19" s="45">
        <v>117.96899999999999</v>
      </c>
      <c r="FI19" s="45">
        <v>117.96899999999999</v>
      </c>
      <c r="FJ19" s="45">
        <v>117.96899999999999</v>
      </c>
      <c r="FK19" s="155">
        <v>117.96899999999999</v>
      </c>
      <c r="FL19" s="155">
        <v>117.96899999999999</v>
      </c>
      <c r="FM19" s="155">
        <v>117.96899999999999</v>
      </c>
      <c r="FN19" s="69">
        <v>117.96899999999999</v>
      </c>
      <c r="FO19" s="155">
        <v>117.96899999999999</v>
      </c>
      <c r="FP19" s="155">
        <v>117.96899999999999</v>
      </c>
      <c r="FQ19" s="155">
        <v>117.96899999999999</v>
      </c>
      <c r="FR19" s="155">
        <v>117.96899999999999</v>
      </c>
      <c r="FS19" s="155">
        <v>117.96899999999999</v>
      </c>
      <c r="FT19" s="155">
        <v>117.96899999999999</v>
      </c>
      <c r="FU19" s="178">
        <v>117.96899999999999</v>
      </c>
      <c r="FV19" s="178">
        <v>117.96899999999999</v>
      </c>
      <c r="FW19" s="178">
        <v>117.96899999999999</v>
      </c>
      <c r="FX19" s="178">
        <v>117.96899999999999</v>
      </c>
      <c r="FY19" s="180">
        <v>117.96899999999999</v>
      </c>
      <c r="FZ19" s="178">
        <v>117.96899999999999</v>
      </c>
      <c r="GA19" s="178">
        <v>117.96899999999999</v>
      </c>
      <c r="GB19" s="178">
        <v>117.96899999999999</v>
      </c>
      <c r="GC19" s="178">
        <v>117.96899999999999</v>
      </c>
      <c r="GD19" s="178">
        <v>117.96899999999999</v>
      </c>
      <c r="GE19" s="178">
        <v>117.96899999999999</v>
      </c>
      <c r="GF19" s="178">
        <v>117.96899999999999</v>
      </c>
      <c r="GG19" s="178">
        <v>117.96899999999999</v>
      </c>
      <c r="GH19" s="178">
        <v>117.96899999999999</v>
      </c>
      <c r="GI19" s="178">
        <v>117.96899999999999</v>
      </c>
      <c r="GJ19" s="178">
        <v>117.96899999999999</v>
      </c>
      <c r="GK19" s="180">
        <v>117.96899999999999</v>
      </c>
      <c r="GL19" s="178">
        <v>117.96899999999999</v>
      </c>
      <c r="GM19" s="178">
        <v>117.96899999999999</v>
      </c>
      <c r="GN19" s="178">
        <v>117.96899999999999</v>
      </c>
      <c r="GO19" s="178">
        <v>117.96899999999999</v>
      </c>
      <c r="GP19" s="178">
        <v>117.96899999999999</v>
      </c>
      <c r="GQ19" s="178">
        <v>117.96899999999999</v>
      </c>
    </row>
    <row r="20" spans="1:200" s="1" customFormat="1" ht="20.149999999999999" customHeight="1" x14ac:dyDescent="0.4">
      <c r="A20" s="31" t="s">
        <v>1628</v>
      </c>
      <c r="B20" s="46">
        <v>0</v>
      </c>
      <c r="C20" s="46">
        <v>0</v>
      </c>
      <c r="D20" s="46">
        <v>0</v>
      </c>
      <c r="E20" s="46">
        <v>0</v>
      </c>
      <c r="F20" s="46">
        <v>0</v>
      </c>
      <c r="G20" s="46">
        <v>0</v>
      </c>
      <c r="H20" s="46">
        <v>0</v>
      </c>
      <c r="I20" s="46">
        <v>0</v>
      </c>
      <c r="J20" s="46">
        <v>0</v>
      </c>
      <c r="K20" s="46">
        <v>0</v>
      </c>
      <c r="L20" s="46">
        <v>0</v>
      </c>
      <c r="M20" s="48">
        <v>0</v>
      </c>
      <c r="N20" s="47">
        <v>0</v>
      </c>
      <c r="O20" s="46">
        <v>0</v>
      </c>
      <c r="P20" s="46">
        <v>0</v>
      </c>
      <c r="Q20" s="46">
        <v>0</v>
      </c>
      <c r="R20" s="46">
        <v>0</v>
      </c>
      <c r="S20" s="46">
        <v>0</v>
      </c>
      <c r="T20" s="46">
        <v>0</v>
      </c>
      <c r="U20" s="46">
        <v>0</v>
      </c>
      <c r="V20" s="46">
        <v>0</v>
      </c>
      <c r="W20" s="46">
        <v>0</v>
      </c>
      <c r="X20" s="46">
        <v>0</v>
      </c>
      <c r="Y20" s="48">
        <v>0</v>
      </c>
      <c r="Z20" s="47">
        <v>0</v>
      </c>
      <c r="AA20" s="46">
        <v>0</v>
      </c>
      <c r="AB20" s="46">
        <v>0</v>
      </c>
      <c r="AC20" s="46">
        <v>0</v>
      </c>
      <c r="AD20" s="46">
        <v>0</v>
      </c>
      <c r="AE20" s="46">
        <v>0</v>
      </c>
      <c r="AF20" s="46">
        <v>0</v>
      </c>
      <c r="AG20" s="46">
        <v>0</v>
      </c>
      <c r="AH20" s="46">
        <v>0</v>
      </c>
      <c r="AI20" s="46">
        <v>0</v>
      </c>
      <c r="AJ20" s="46">
        <v>0</v>
      </c>
      <c r="AK20" s="48">
        <v>0</v>
      </c>
      <c r="AL20" s="47">
        <v>0</v>
      </c>
      <c r="AM20" s="46">
        <v>0</v>
      </c>
      <c r="AN20" s="46">
        <v>0</v>
      </c>
      <c r="AO20" s="46">
        <v>0</v>
      </c>
      <c r="AP20" s="46">
        <v>0</v>
      </c>
      <c r="AQ20" s="46">
        <v>0</v>
      </c>
      <c r="AR20" s="46">
        <v>0</v>
      </c>
      <c r="AS20" s="46">
        <v>0</v>
      </c>
      <c r="AT20" s="46">
        <v>0</v>
      </c>
      <c r="AU20" s="46">
        <v>0</v>
      </c>
      <c r="AV20" s="46">
        <v>0</v>
      </c>
      <c r="AW20" s="48">
        <v>0</v>
      </c>
      <c r="AX20" s="46">
        <v>0</v>
      </c>
      <c r="AY20" s="46">
        <v>0</v>
      </c>
      <c r="AZ20" s="46">
        <v>0</v>
      </c>
      <c r="BA20" s="46">
        <v>0</v>
      </c>
      <c r="BB20" s="46">
        <v>0</v>
      </c>
      <c r="BC20" s="46">
        <v>0</v>
      </c>
      <c r="BD20" s="46">
        <v>0</v>
      </c>
      <c r="BE20" s="46">
        <v>0</v>
      </c>
      <c r="BF20" s="46">
        <v>0</v>
      </c>
      <c r="BG20" s="46">
        <v>0</v>
      </c>
      <c r="BH20" s="46">
        <v>0</v>
      </c>
      <c r="BI20" s="48">
        <v>0</v>
      </c>
      <c r="BJ20" s="46">
        <v>0</v>
      </c>
      <c r="BK20" s="46">
        <v>0</v>
      </c>
      <c r="BL20" s="46">
        <v>0</v>
      </c>
      <c r="BM20" s="46">
        <v>0</v>
      </c>
      <c r="BN20" s="46">
        <v>0</v>
      </c>
      <c r="BO20" s="46">
        <v>0</v>
      </c>
      <c r="BP20" s="46">
        <v>0</v>
      </c>
      <c r="BQ20" s="46">
        <v>0</v>
      </c>
      <c r="BR20" s="46">
        <v>0</v>
      </c>
      <c r="BS20" s="46">
        <v>0</v>
      </c>
      <c r="BT20" s="46">
        <v>0</v>
      </c>
      <c r="BU20" s="48">
        <v>0</v>
      </c>
      <c r="BV20" s="46">
        <v>0</v>
      </c>
      <c r="BW20" s="46">
        <v>0</v>
      </c>
      <c r="BX20" s="46">
        <v>0</v>
      </c>
      <c r="BY20" s="46">
        <v>0</v>
      </c>
      <c r="BZ20" s="46">
        <v>0</v>
      </c>
      <c r="CA20" s="46">
        <v>0</v>
      </c>
      <c r="CB20" s="46">
        <v>0</v>
      </c>
      <c r="CC20" s="46">
        <v>0</v>
      </c>
      <c r="CD20" s="46">
        <v>0</v>
      </c>
      <c r="CE20" s="46">
        <v>0</v>
      </c>
      <c r="CF20" s="46">
        <v>0</v>
      </c>
      <c r="CG20" s="48">
        <v>0</v>
      </c>
      <c r="CH20" s="45">
        <v>0</v>
      </c>
      <c r="CI20" s="45">
        <v>0</v>
      </c>
      <c r="CJ20" s="45">
        <v>45.753</v>
      </c>
      <c r="CK20" s="45">
        <v>45.753</v>
      </c>
      <c r="CL20" s="45">
        <v>45.753</v>
      </c>
      <c r="CM20" s="45">
        <v>45.753</v>
      </c>
      <c r="CN20" s="45">
        <v>45.753</v>
      </c>
      <c r="CO20" s="45">
        <v>45.753</v>
      </c>
      <c r="CP20" s="45">
        <v>45.753</v>
      </c>
      <c r="CQ20" s="45">
        <v>45.753</v>
      </c>
      <c r="CR20" s="45">
        <v>45.753</v>
      </c>
      <c r="CS20" s="49">
        <v>45.753</v>
      </c>
      <c r="CT20" s="45">
        <v>72.852999999999994</v>
      </c>
      <c r="CU20" s="45">
        <v>72.852999999999994</v>
      </c>
      <c r="CV20" s="45">
        <v>72.852999999999994</v>
      </c>
      <c r="CW20" s="45">
        <v>72.852999999999994</v>
      </c>
      <c r="CX20" s="45">
        <v>72.852999999999994</v>
      </c>
      <c r="CY20" s="45">
        <v>72.852999999999994</v>
      </c>
      <c r="CZ20" s="45">
        <v>72.852999999999994</v>
      </c>
      <c r="DA20" s="45">
        <v>72.852999999999994</v>
      </c>
      <c r="DB20" s="45">
        <v>72.852999999999994</v>
      </c>
      <c r="DC20" s="45">
        <v>72.852999999999994</v>
      </c>
      <c r="DD20" s="46">
        <v>72.852999999999994</v>
      </c>
      <c r="DE20" s="48">
        <v>72.852999999999994</v>
      </c>
      <c r="DF20" s="45">
        <v>72.852999999999994</v>
      </c>
      <c r="DG20" s="45">
        <v>72.852999999999994</v>
      </c>
      <c r="DH20" s="46">
        <v>72.852999999999994</v>
      </c>
      <c r="DI20" s="45">
        <v>72.852999999999994</v>
      </c>
      <c r="DJ20" s="45">
        <v>72.852999999999994</v>
      </c>
      <c r="DK20" s="45">
        <v>72.852999999999994</v>
      </c>
      <c r="DL20" s="45">
        <v>72.852999999999994</v>
      </c>
      <c r="DM20" s="45">
        <v>72.852999999999994</v>
      </c>
      <c r="DN20" s="45">
        <v>72.852999999999994</v>
      </c>
      <c r="DO20" s="45">
        <v>72.852999999999994</v>
      </c>
      <c r="DP20" s="45">
        <v>72.852999999999994</v>
      </c>
      <c r="DQ20" s="48">
        <v>72.852999999999994</v>
      </c>
      <c r="DR20" s="45">
        <v>72.852999999999994</v>
      </c>
      <c r="DS20" s="45">
        <v>72.852999999999994</v>
      </c>
      <c r="DT20" s="45">
        <v>72.852999999999994</v>
      </c>
      <c r="DU20" s="45">
        <v>72.852999999999994</v>
      </c>
      <c r="DV20" s="45">
        <v>72.852999999999994</v>
      </c>
      <c r="DW20" s="45">
        <v>72.852999999999994</v>
      </c>
      <c r="DX20" s="45">
        <v>72.852999999999994</v>
      </c>
      <c r="DY20" s="45">
        <v>72.852999999999994</v>
      </c>
      <c r="DZ20" s="45">
        <v>72.852999999999994</v>
      </c>
      <c r="EA20" s="45">
        <v>72.852999999999994</v>
      </c>
      <c r="EB20" s="45">
        <v>72.852999999999994</v>
      </c>
      <c r="EC20" s="49">
        <v>72.852999999999994</v>
      </c>
      <c r="ED20" s="45">
        <v>72.852999999999994</v>
      </c>
      <c r="EE20" s="45">
        <v>72.852999999999994</v>
      </c>
      <c r="EF20" s="45">
        <v>72.852999999999994</v>
      </c>
      <c r="EG20" s="45">
        <v>72.852999999999994</v>
      </c>
      <c r="EH20" s="45">
        <v>72.852999999999994</v>
      </c>
      <c r="EI20" s="45">
        <v>72.852999999999994</v>
      </c>
      <c r="EJ20" s="45">
        <v>72.852999999999994</v>
      </c>
      <c r="EK20" s="45">
        <v>72.852999999999994</v>
      </c>
      <c r="EL20" s="45">
        <v>72.852999999999994</v>
      </c>
      <c r="EM20" s="45">
        <v>72.852999999999994</v>
      </c>
      <c r="EN20" s="45">
        <v>72.852999999999994</v>
      </c>
      <c r="EO20" s="82">
        <v>72.852999999999994</v>
      </c>
      <c r="EP20" s="45">
        <v>72.852999999999994</v>
      </c>
      <c r="EQ20" s="45">
        <v>72.852999999999994</v>
      </c>
      <c r="ER20" s="45">
        <v>72.852999999999994</v>
      </c>
      <c r="ES20" s="45">
        <v>72.852999999999994</v>
      </c>
      <c r="ET20" s="45">
        <v>72.852999999999994</v>
      </c>
      <c r="EU20" s="45">
        <v>72.852999999999994</v>
      </c>
      <c r="EV20" s="45">
        <v>72.852999999999994</v>
      </c>
      <c r="EW20" s="45">
        <v>72.852999999999994</v>
      </c>
      <c r="EX20" s="45">
        <v>72.852999999999994</v>
      </c>
      <c r="EY20" s="45">
        <v>72.852999999999994</v>
      </c>
      <c r="EZ20" s="45">
        <v>72.852999999999994</v>
      </c>
      <c r="FA20" s="82">
        <v>72.852999999999994</v>
      </c>
      <c r="FB20" s="45">
        <v>72.852999999999994</v>
      </c>
      <c r="FC20" s="45">
        <v>72.852999999999994</v>
      </c>
      <c r="FD20" s="45">
        <v>72.852999999999994</v>
      </c>
      <c r="FE20" s="45">
        <v>72.852999999999994</v>
      </c>
      <c r="FF20" s="45">
        <v>72.852999999999994</v>
      </c>
      <c r="FG20" s="45">
        <v>72.852999999999994</v>
      </c>
      <c r="FH20" s="45">
        <v>72.852999999999994</v>
      </c>
      <c r="FI20" s="45">
        <v>72.852999999999994</v>
      </c>
      <c r="FJ20" s="45">
        <v>72.852999999999994</v>
      </c>
      <c r="FK20" s="155">
        <v>72.852999999999994</v>
      </c>
      <c r="FL20" s="155">
        <v>72.852999999999994</v>
      </c>
      <c r="FM20" s="155">
        <v>72.852999999999994</v>
      </c>
      <c r="FN20" s="69">
        <v>72.852999999999994</v>
      </c>
      <c r="FO20" s="155">
        <v>72.852999999999994</v>
      </c>
      <c r="FP20" s="155">
        <v>72.852999999999994</v>
      </c>
      <c r="FQ20" s="155">
        <v>72.852999999999994</v>
      </c>
      <c r="FR20" s="155">
        <v>72.852999999999994</v>
      </c>
      <c r="FS20" s="155">
        <v>72.852999999999994</v>
      </c>
      <c r="FT20" s="155">
        <v>72.852999999999994</v>
      </c>
      <c r="FU20" s="178">
        <v>72.852999999999994</v>
      </c>
      <c r="FV20" s="178">
        <v>72.852999999999994</v>
      </c>
      <c r="FW20" s="178">
        <v>72.852999999999994</v>
      </c>
      <c r="FX20" s="178">
        <v>72.852999999999994</v>
      </c>
      <c r="FY20" s="180">
        <v>72.852999999999994</v>
      </c>
      <c r="FZ20" s="178">
        <v>72.852999999999994</v>
      </c>
      <c r="GA20" s="178">
        <v>72.852999999999994</v>
      </c>
      <c r="GB20" s="178">
        <v>72.852999999999994</v>
      </c>
      <c r="GC20" s="178">
        <v>72.852999999999994</v>
      </c>
      <c r="GD20" s="178">
        <v>72.852999999999994</v>
      </c>
      <c r="GE20" s="178">
        <v>72.852999999999994</v>
      </c>
      <c r="GF20" s="178">
        <v>72.852999999999994</v>
      </c>
      <c r="GG20" s="178">
        <v>72.852999999999994</v>
      </c>
      <c r="GH20" s="178">
        <v>72.852999999999994</v>
      </c>
      <c r="GI20" s="178">
        <v>72.852999999999994</v>
      </c>
      <c r="GJ20" s="178">
        <v>72.852999999999994</v>
      </c>
      <c r="GK20" s="180">
        <v>72.852999999999994</v>
      </c>
      <c r="GL20" s="178">
        <v>72.852999999999994</v>
      </c>
      <c r="GM20" s="178">
        <v>72.852999999999994</v>
      </c>
      <c r="GN20" s="178">
        <v>72.852999999999994</v>
      </c>
      <c r="GO20" s="178">
        <v>72.852999999999994</v>
      </c>
      <c r="GP20" s="178">
        <v>72.852999999999994</v>
      </c>
      <c r="GQ20" s="178">
        <v>72.852999999999994</v>
      </c>
    </row>
    <row r="21" spans="1:200" s="25" customFormat="1" ht="20.149999999999999" customHeight="1" thickBot="1" x14ac:dyDescent="0.4">
      <c r="A21" s="32" t="s">
        <v>267</v>
      </c>
      <c r="B21" s="51">
        <f>SUM(B15:B20)</f>
        <v>1.046</v>
      </c>
      <c r="C21" s="52">
        <f t="shared" ref="C21:BN21" si="23">SUM(C15:C20)</f>
        <v>1.046</v>
      </c>
      <c r="D21" s="52">
        <f t="shared" si="23"/>
        <v>1.0860000000000001</v>
      </c>
      <c r="E21" s="52">
        <f t="shared" si="23"/>
        <v>1.099</v>
      </c>
      <c r="F21" s="52">
        <f t="shared" si="23"/>
        <v>1.105</v>
      </c>
      <c r="G21" s="52">
        <f t="shared" si="23"/>
        <v>1.133</v>
      </c>
      <c r="H21" s="52">
        <f t="shared" si="23"/>
        <v>1.1520000000000001</v>
      </c>
      <c r="I21" s="52">
        <f t="shared" si="23"/>
        <v>1.155</v>
      </c>
      <c r="J21" s="52">
        <f t="shared" si="23"/>
        <v>1.1560000000000001</v>
      </c>
      <c r="K21" s="52">
        <f t="shared" si="23"/>
        <v>1.167</v>
      </c>
      <c r="L21" s="52">
        <f t="shared" si="23"/>
        <v>1.1859999999999999</v>
      </c>
      <c r="M21" s="53">
        <f t="shared" si="23"/>
        <v>1.198</v>
      </c>
      <c r="N21" s="52">
        <f t="shared" si="23"/>
        <v>1.198</v>
      </c>
      <c r="O21" s="52">
        <f t="shared" si="23"/>
        <v>1.2070000000000001</v>
      </c>
      <c r="P21" s="52">
        <f t="shared" si="23"/>
        <v>1.2210000000000001</v>
      </c>
      <c r="Q21" s="52">
        <f t="shared" si="23"/>
        <v>1.23</v>
      </c>
      <c r="R21" s="52">
        <f t="shared" si="23"/>
        <v>1.2829999999999999</v>
      </c>
      <c r="S21" s="52">
        <f t="shared" si="23"/>
        <v>1.3260000000000001</v>
      </c>
      <c r="T21" s="52">
        <f t="shared" si="23"/>
        <v>1.343</v>
      </c>
      <c r="U21" s="52">
        <f t="shared" si="23"/>
        <v>1.3759999999999999</v>
      </c>
      <c r="V21" s="52">
        <f t="shared" si="23"/>
        <v>1.4260000000000002</v>
      </c>
      <c r="W21" s="52">
        <f t="shared" si="23"/>
        <v>1.5359999999999998</v>
      </c>
      <c r="X21" s="52">
        <f t="shared" si="23"/>
        <v>1.6529999999999998</v>
      </c>
      <c r="Y21" s="53">
        <f t="shared" si="23"/>
        <v>1.823</v>
      </c>
      <c r="Z21" s="52">
        <f t="shared" si="23"/>
        <v>2.0070000000000001</v>
      </c>
      <c r="AA21" s="52">
        <f t="shared" si="23"/>
        <v>2.0909999999999997</v>
      </c>
      <c r="AB21" s="52">
        <f t="shared" si="23"/>
        <v>2.226</v>
      </c>
      <c r="AC21" s="52">
        <f t="shared" si="23"/>
        <v>2.3180000000000001</v>
      </c>
      <c r="AD21" s="52">
        <f t="shared" si="23"/>
        <v>2.3979999999999997</v>
      </c>
      <c r="AE21" s="52">
        <f t="shared" si="23"/>
        <v>2.444</v>
      </c>
      <c r="AF21" s="52">
        <f t="shared" si="23"/>
        <v>2.5459999999999998</v>
      </c>
      <c r="AG21" s="52">
        <f t="shared" si="23"/>
        <v>2.992</v>
      </c>
      <c r="AH21" s="52">
        <f t="shared" si="23"/>
        <v>3.4409999999999998</v>
      </c>
      <c r="AI21" s="52">
        <f t="shared" si="23"/>
        <v>4.2469999999999999</v>
      </c>
      <c r="AJ21" s="52">
        <f t="shared" si="23"/>
        <v>5.3029999999999999</v>
      </c>
      <c r="AK21" s="53">
        <f t="shared" si="23"/>
        <v>5.93</v>
      </c>
      <c r="AL21" s="52">
        <f t="shared" si="23"/>
        <v>6.8069999999999995</v>
      </c>
      <c r="AM21" s="52">
        <f t="shared" si="23"/>
        <v>7.5129999999999999</v>
      </c>
      <c r="AN21" s="52">
        <f t="shared" si="23"/>
        <v>8.4510000000000023</v>
      </c>
      <c r="AO21" s="52">
        <f t="shared" si="23"/>
        <v>9.2680000000000007</v>
      </c>
      <c r="AP21" s="52">
        <f t="shared" si="23"/>
        <v>10.535</v>
      </c>
      <c r="AQ21" s="52">
        <f t="shared" si="23"/>
        <v>11.774000000000003</v>
      </c>
      <c r="AR21" s="52">
        <f t="shared" si="23"/>
        <v>13.545000000000002</v>
      </c>
      <c r="AS21" s="52">
        <f t="shared" si="23"/>
        <v>16.278999999999996</v>
      </c>
      <c r="AT21" s="52">
        <f t="shared" si="23"/>
        <v>19.079000000000001</v>
      </c>
      <c r="AU21" s="52">
        <f t="shared" si="23"/>
        <v>21.702000000000002</v>
      </c>
      <c r="AV21" s="52">
        <f t="shared" si="23"/>
        <v>25.132999999999996</v>
      </c>
      <c r="AW21" s="54">
        <f t="shared" si="23"/>
        <v>27.605999999999998</v>
      </c>
      <c r="AX21" s="52">
        <f t="shared" si="23"/>
        <v>31.162000000000003</v>
      </c>
      <c r="AY21" s="52">
        <f t="shared" si="23"/>
        <v>41.815999999999995</v>
      </c>
      <c r="AZ21" s="52">
        <f t="shared" si="23"/>
        <v>43.695</v>
      </c>
      <c r="BA21" s="52">
        <f t="shared" si="23"/>
        <v>45.463999999999999</v>
      </c>
      <c r="BB21" s="52">
        <f t="shared" si="23"/>
        <v>48.369</v>
      </c>
      <c r="BC21" s="52">
        <f t="shared" si="23"/>
        <v>50.948000000000008</v>
      </c>
      <c r="BD21" s="52">
        <f t="shared" si="23"/>
        <v>53.718000000000004</v>
      </c>
      <c r="BE21" s="52">
        <f t="shared" si="23"/>
        <v>55.921999999999997</v>
      </c>
      <c r="BF21" s="52">
        <f t="shared" si="23"/>
        <v>58.585999999999991</v>
      </c>
      <c r="BG21" s="52">
        <f t="shared" si="23"/>
        <v>61.149000000000001</v>
      </c>
      <c r="BH21" s="52">
        <f t="shared" si="23"/>
        <v>63.488999999999997</v>
      </c>
      <c r="BI21" s="54">
        <f t="shared" si="23"/>
        <v>66.841999999999999</v>
      </c>
      <c r="BJ21" s="52">
        <f t="shared" si="23"/>
        <v>69.258999999999986</v>
      </c>
      <c r="BK21" s="52">
        <f t="shared" si="23"/>
        <v>71.989999999999995</v>
      </c>
      <c r="BL21" s="52">
        <f t="shared" si="23"/>
        <v>75.652000000000001</v>
      </c>
      <c r="BM21" s="52">
        <f t="shared" si="23"/>
        <v>78.305999999999997</v>
      </c>
      <c r="BN21" s="52">
        <f t="shared" si="23"/>
        <v>84.625000000000014</v>
      </c>
      <c r="BO21" s="52">
        <f t="shared" ref="BO21:DZ21" si="24">SUM(BO15:BO20)</f>
        <v>87.588999999999999</v>
      </c>
      <c r="BP21" s="52">
        <f t="shared" si="24"/>
        <v>90.200999999999993</v>
      </c>
      <c r="BQ21" s="52">
        <f t="shared" si="24"/>
        <v>95.283999999999992</v>
      </c>
      <c r="BR21" s="52">
        <f t="shared" si="24"/>
        <v>107.08</v>
      </c>
      <c r="BS21" s="52">
        <f t="shared" si="24"/>
        <v>108.679</v>
      </c>
      <c r="BT21" s="52">
        <f t="shared" si="24"/>
        <v>110.19499999999999</v>
      </c>
      <c r="BU21" s="54">
        <f t="shared" si="24"/>
        <v>111.738</v>
      </c>
      <c r="BV21" s="52">
        <f t="shared" si="24"/>
        <v>113.33800000000001</v>
      </c>
      <c r="BW21" s="52">
        <f t="shared" si="24"/>
        <v>114.93200000000002</v>
      </c>
      <c r="BX21" s="52">
        <f t="shared" si="24"/>
        <v>116.72499999999999</v>
      </c>
      <c r="BY21" s="52">
        <f t="shared" si="24"/>
        <v>123.45100000000002</v>
      </c>
      <c r="BZ21" s="52">
        <f t="shared" si="24"/>
        <v>129.50800000000001</v>
      </c>
      <c r="CA21" s="52">
        <f t="shared" si="24"/>
        <v>131.11500000000001</v>
      </c>
      <c r="CB21" s="52">
        <f t="shared" si="24"/>
        <v>133.02600000000001</v>
      </c>
      <c r="CC21" s="52">
        <f t="shared" si="24"/>
        <v>135.28700000000001</v>
      </c>
      <c r="CD21" s="52">
        <f t="shared" si="24"/>
        <v>142.39500000000001</v>
      </c>
      <c r="CE21" s="52">
        <f t="shared" si="24"/>
        <v>142.55700000000002</v>
      </c>
      <c r="CF21" s="52">
        <f t="shared" si="24"/>
        <v>142.82599999999999</v>
      </c>
      <c r="CG21" s="54">
        <f t="shared" si="24"/>
        <v>143.071</v>
      </c>
      <c r="CH21" s="52">
        <f t="shared" si="24"/>
        <v>143.90800000000002</v>
      </c>
      <c r="CI21" s="52">
        <f t="shared" si="24"/>
        <v>171.59899999999999</v>
      </c>
      <c r="CJ21" s="52">
        <f t="shared" si="24"/>
        <v>255.709</v>
      </c>
      <c r="CK21" s="52">
        <f t="shared" si="24"/>
        <v>255.78299999999996</v>
      </c>
      <c r="CL21" s="52">
        <f t="shared" si="24"/>
        <v>255.875</v>
      </c>
      <c r="CM21" s="52">
        <f t="shared" si="24"/>
        <v>256.07900000000001</v>
      </c>
      <c r="CN21" s="52">
        <f t="shared" si="24"/>
        <v>256.12900000000002</v>
      </c>
      <c r="CO21" s="52">
        <f t="shared" si="24"/>
        <v>256.24099999999999</v>
      </c>
      <c r="CP21" s="52">
        <f t="shared" si="24"/>
        <v>256.33</v>
      </c>
      <c r="CQ21" s="52">
        <f t="shared" si="24"/>
        <v>256.41000000000003</v>
      </c>
      <c r="CR21" s="52">
        <f t="shared" si="24"/>
        <v>256.63400000000001</v>
      </c>
      <c r="CS21" s="54">
        <f t="shared" si="24"/>
        <v>268.709</v>
      </c>
      <c r="CT21" s="52">
        <f t="shared" si="24"/>
        <v>295.851</v>
      </c>
      <c r="CU21" s="52">
        <f t="shared" si="24"/>
        <v>302.43700000000001</v>
      </c>
      <c r="CV21" s="52">
        <f t="shared" si="24"/>
        <v>326.88099999999997</v>
      </c>
      <c r="CW21" s="52">
        <f t="shared" si="24"/>
        <v>340.02000000000004</v>
      </c>
      <c r="CX21" s="52">
        <f t="shared" si="24"/>
        <v>346.59199999999998</v>
      </c>
      <c r="CY21" s="52">
        <f t="shared" si="24"/>
        <v>346.661</v>
      </c>
      <c r="CZ21" s="52">
        <f t="shared" si="24"/>
        <v>346.72700000000003</v>
      </c>
      <c r="DA21" s="52">
        <f t="shared" si="24"/>
        <v>346.91699999999997</v>
      </c>
      <c r="DB21" s="52">
        <f t="shared" si="24"/>
        <v>346.96700000000004</v>
      </c>
      <c r="DC21" s="52">
        <f t="shared" si="24"/>
        <v>347.10899999999998</v>
      </c>
      <c r="DD21" s="52">
        <f t="shared" si="24"/>
        <v>347.214</v>
      </c>
      <c r="DE21" s="54">
        <f t="shared" si="24"/>
        <v>347.3</v>
      </c>
      <c r="DF21" s="52">
        <f t="shared" si="24"/>
        <v>347.42500000000001</v>
      </c>
      <c r="DG21" s="52">
        <f t="shared" si="24"/>
        <v>347.59300000000002</v>
      </c>
      <c r="DH21" s="52">
        <f t="shared" si="24"/>
        <v>347.642</v>
      </c>
      <c r="DI21" s="52">
        <f t="shared" si="24"/>
        <v>347.67400000000004</v>
      </c>
      <c r="DJ21" s="52">
        <f t="shared" si="24"/>
        <v>347.72800000000001</v>
      </c>
      <c r="DK21" s="52">
        <f t="shared" si="24"/>
        <v>347.83300000000003</v>
      </c>
      <c r="DL21" s="52">
        <f t="shared" si="24"/>
        <v>347.90500000000003</v>
      </c>
      <c r="DM21" s="52">
        <f t="shared" si="24"/>
        <v>347.983</v>
      </c>
      <c r="DN21" s="52">
        <f t="shared" si="24"/>
        <v>348.154</v>
      </c>
      <c r="DO21" s="52">
        <f t="shared" si="24"/>
        <v>348.25</v>
      </c>
      <c r="DP21" s="52">
        <f t="shared" si="24"/>
        <v>348.30799999999999</v>
      </c>
      <c r="DQ21" s="54">
        <f t="shared" si="24"/>
        <v>348.34300000000002</v>
      </c>
      <c r="DR21" s="52">
        <f t="shared" si="24"/>
        <v>348.41300000000001</v>
      </c>
      <c r="DS21" s="52">
        <f t="shared" si="24"/>
        <v>348.48700000000002</v>
      </c>
      <c r="DT21" s="52">
        <f t="shared" si="24"/>
        <v>348.54500000000002</v>
      </c>
      <c r="DU21" s="52">
        <f t="shared" si="24"/>
        <v>348.56099999999998</v>
      </c>
      <c r="DV21" s="52">
        <f t="shared" si="24"/>
        <v>348.565</v>
      </c>
      <c r="DW21" s="52">
        <f t="shared" si="24"/>
        <v>348.66900000000004</v>
      </c>
      <c r="DX21" s="52">
        <f t="shared" si="24"/>
        <v>348.77600000000001</v>
      </c>
      <c r="DY21" s="52">
        <f t="shared" si="24"/>
        <v>348.96100000000001</v>
      </c>
      <c r="DZ21" s="52">
        <f t="shared" si="24"/>
        <v>349.08699999999999</v>
      </c>
      <c r="EA21" s="52">
        <f t="shared" ref="EA21:EN21" si="25">SUM(EA15:EA20)</f>
        <v>349.13600000000002</v>
      </c>
      <c r="EB21" s="52">
        <f t="shared" si="25"/>
        <v>349.20499999999998</v>
      </c>
      <c r="EC21" s="54">
        <f t="shared" si="25"/>
        <v>349.22999999999996</v>
      </c>
      <c r="ED21" s="52">
        <f>SUM(ED15:ED20)</f>
        <v>349.33699999999999</v>
      </c>
      <c r="EE21" s="52">
        <f t="shared" si="25"/>
        <v>349.399</v>
      </c>
      <c r="EF21" s="52">
        <f t="shared" si="25"/>
        <v>349.517</v>
      </c>
      <c r="EG21" s="52">
        <f t="shared" si="25"/>
        <v>349.69800000000004</v>
      </c>
      <c r="EH21" s="52">
        <f t="shared" si="25"/>
        <v>349.947</v>
      </c>
      <c r="EI21" s="52">
        <f t="shared" si="25"/>
        <v>350.245</v>
      </c>
      <c r="EJ21" s="52">
        <f t="shared" si="25"/>
        <v>350.38900000000001</v>
      </c>
      <c r="EK21" s="52">
        <f t="shared" si="25"/>
        <v>350.63499999999999</v>
      </c>
      <c r="EL21" s="52">
        <f t="shared" si="25"/>
        <v>351.03900000000004</v>
      </c>
      <c r="EM21" s="52">
        <f t="shared" si="25"/>
        <v>351.30599999999998</v>
      </c>
      <c r="EN21" s="52">
        <f t="shared" si="25"/>
        <v>351.81799999999998</v>
      </c>
      <c r="EO21" s="53">
        <f t="shared" ref="EO21:EQ21" si="26">SUM(EO15:EO20)</f>
        <v>352.05199999999996</v>
      </c>
      <c r="EP21" s="52">
        <f t="shared" si="26"/>
        <v>352.613</v>
      </c>
      <c r="EQ21" s="52">
        <f t="shared" si="26"/>
        <v>353.03300000000002</v>
      </c>
      <c r="ER21" s="52">
        <f t="shared" ref="ER21:ES21" si="27">SUM(ER15:ER20)</f>
        <v>353.63200000000001</v>
      </c>
      <c r="ES21" s="52">
        <f t="shared" si="27"/>
        <v>354.14400000000001</v>
      </c>
      <c r="ET21" s="52">
        <f t="shared" ref="ET21:EW21" si="28">SUM(ET15:ET20)</f>
        <v>355.12200000000001</v>
      </c>
      <c r="EU21" s="52">
        <f t="shared" si="28"/>
        <v>355.98200000000003</v>
      </c>
      <c r="EV21" s="52">
        <f t="shared" si="28"/>
        <v>356.75799999999998</v>
      </c>
      <c r="EW21" s="52">
        <f t="shared" si="28"/>
        <v>357.65199999999999</v>
      </c>
      <c r="EX21" s="52">
        <f t="shared" ref="EX21:FA21" si="29">SUM(EX15:EX20)</f>
        <v>358.762</v>
      </c>
      <c r="EY21" s="52">
        <f t="shared" si="29"/>
        <v>360.02199999999999</v>
      </c>
      <c r="EZ21" s="52">
        <f t="shared" si="29"/>
        <v>361.48099999999999</v>
      </c>
      <c r="FA21" s="53">
        <f t="shared" si="29"/>
        <v>362.416</v>
      </c>
      <c r="FB21" s="52">
        <f t="shared" ref="FB21:FC21" si="30">SUM(FB15:FB20)</f>
        <v>363.67099999999999</v>
      </c>
      <c r="FC21" s="52">
        <f t="shared" si="30"/>
        <v>364.85399999999998</v>
      </c>
      <c r="FD21" s="52">
        <f t="shared" ref="FD21:FE21" si="31">SUM(FD15:FD20)</f>
        <v>365.928</v>
      </c>
      <c r="FE21" s="52">
        <f t="shared" si="31"/>
        <v>366.82</v>
      </c>
      <c r="FF21" s="52">
        <f t="shared" ref="FF21:FG21" si="32">SUM(FF15:FF20)</f>
        <v>367.91</v>
      </c>
      <c r="FG21" s="52">
        <f t="shared" si="32"/>
        <v>368.97199999999998</v>
      </c>
      <c r="FH21" s="52">
        <f t="shared" ref="FH21:FI21" si="33">SUM(FH15:FH20)</f>
        <v>369.88200000000001</v>
      </c>
      <c r="FI21" s="52">
        <f t="shared" si="33"/>
        <v>370.92400000000004</v>
      </c>
      <c r="FJ21" s="52">
        <f t="shared" ref="FJ21:FK21" si="34">SUM(FJ15:FJ20)</f>
        <v>372.01799999999997</v>
      </c>
      <c r="FK21" s="157">
        <f t="shared" si="34"/>
        <v>373.673</v>
      </c>
      <c r="FL21" s="157">
        <f t="shared" ref="FL21" si="35">SUM(FL15:FL20)</f>
        <v>374.63100000000003</v>
      </c>
      <c r="FM21" s="157">
        <f t="shared" ref="FM21:FY21" si="36">SUM(FM15:FM20)</f>
        <v>375.33000000000004</v>
      </c>
      <c r="FN21" s="125">
        <f t="shared" si="36"/>
        <v>375.96300000000002</v>
      </c>
      <c r="FO21" s="157">
        <f t="shared" si="36"/>
        <v>376.90300000000002</v>
      </c>
      <c r="FP21" s="157">
        <f t="shared" si="36"/>
        <v>377.45699999999999</v>
      </c>
      <c r="FQ21" s="157">
        <f t="shared" si="36"/>
        <v>378.63100000000003</v>
      </c>
      <c r="FR21" s="157">
        <f t="shared" si="36"/>
        <v>379.50400000000002</v>
      </c>
      <c r="FS21" s="157">
        <f t="shared" si="36"/>
        <v>380.63200000000001</v>
      </c>
      <c r="FT21" s="157">
        <f t="shared" si="36"/>
        <v>381.71100000000001</v>
      </c>
      <c r="FU21" s="157">
        <f t="shared" si="36"/>
        <v>382.77199999999999</v>
      </c>
      <c r="FV21" s="157">
        <f t="shared" si="36"/>
        <v>383.63799999999998</v>
      </c>
      <c r="FW21" s="157">
        <f t="shared" si="36"/>
        <v>384.59899999999999</v>
      </c>
      <c r="FX21" s="157">
        <f t="shared" si="36"/>
        <v>385.76900000000001</v>
      </c>
      <c r="FY21" s="191">
        <f t="shared" si="36"/>
        <v>386.46100000000001</v>
      </c>
      <c r="FZ21" s="157">
        <f t="shared" ref="FZ21:GA21" si="37">SUM(FZ15:FZ20)</f>
        <v>387.22500000000002</v>
      </c>
      <c r="GA21" s="157">
        <f t="shared" si="37"/>
        <v>388.18</v>
      </c>
      <c r="GB21" s="157">
        <f t="shared" ref="GB21:GC21" si="38">SUM(GB15:GB20)</f>
        <v>389.36700000000002</v>
      </c>
      <c r="GC21" s="157">
        <f t="shared" si="38"/>
        <v>390.47399999999999</v>
      </c>
      <c r="GD21" s="157">
        <f t="shared" ref="GD21:GE21" si="39">SUM(GD15:GD20)</f>
        <v>392.363</v>
      </c>
      <c r="GE21" s="157">
        <f t="shared" si="39"/>
        <v>394.14600000000002</v>
      </c>
      <c r="GF21" s="157">
        <f t="shared" ref="GF21:GG21" si="40">SUM(GF15:GF20)</f>
        <v>395.45799999999997</v>
      </c>
      <c r="GG21" s="157">
        <f t="shared" si="40"/>
        <v>396.96899999999999</v>
      </c>
      <c r="GH21" s="157">
        <f t="shared" ref="GH21:GI21" si="41">SUM(GH15:GH20)</f>
        <v>398.34700000000004</v>
      </c>
      <c r="GI21" s="157">
        <f t="shared" si="41"/>
        <v>400.15199999999999</v>
      </c>
      <c r="GJ21" s="157">
        <f t="shared" ref="GJ21:GK21" si="42">SUM(GJ15:GJ20)</f>
        <v>401.87</v>
      </c>
      <c r="GK21" s="191">
        <f t="shared" si="42"/>
        <v>402.85399999999998</v>
      </c>
      <c r="GL21" s="157">
        <f t="shared" ref="GL21:GM21" si="43">SUM(GL15:GL20)</f>
        <v>404.30700000000002</v>
      </c>
      <c r="GM21" s="157">
        <f t="shared" si="43"/>
        <v>405.83100000000002</v>
      </c>
      <c r="GN21" s="157">
        <f t="shared" ref="GN21:GO21" si="44">SUM(GN15:GN20)</f>
        <v>407.767</v>
      </c>
      <c r="GO21" s="157">
        <f t="shared" si="44"/>
        <v>409.90800000000002</v>
      </c>
      <c r="GP21" s="157">
        <f t="shared" ref="GP21:GQ21" si="45">SUM(GP15:GP20)</f>
        <v>411.61099999999999</v>
      </c>
      <c r="GQ21" s="157">
        <f t="shared" si="45"/>
        <v>414.53500000000003</v>
      </c>
    </row>
    <row r="22" spans="1:200" s="30" customFormat="1" ht="20.149999999999999" customHeight="1" thickTop="1" x14ac:dyDescent="0.35">
      <c r="A22" s="26" t="s">
        <v>269</v>
      </c>
      <c r="B22" s="45"/>
      <c r="C22" s="45"/>
      <c r="D22" s="45"/>
      <c r="E22" s="45"/>
      <c r="F22" s="45"/>
      <c r="G22" s="45"/>
      <c r="H22" s="45"/>
      <c r="I22" s="45"/>
      <c r="J22" s="45"/>
      <c r="K22" s="45"/>
      <c r="L22" s="45"/>
      <c r="M22" s="49"/>
      <c r="N22" s="50"/>
      <c r="O22" s="45"/>
      <c r="P22" s="45"/>
      <c r="Q22" s="45"/>
      <c r="R22" s="45"/>
      <c r="S22" s="45"/>
      <c r="T22" s="45"/>
      <c r="U22" s="45"/>
      <c r="V22" s="45"/>
      <c r="W22" s="45"/>
      <c r="X22" s="45"/>
      <c r="Y22" s="49"/>
      <c r="Z22" s="50"/>
      <c r="AA22" s="45"/>
      <c r="AB22" s="45"/>
      <c r="AC22" s="45"/>
      <c r="AD22" s="45"/>
      <c r="AE22" s="45"/>
      <c r="AF22" s="45"/>
      <c r="AG22" s="45"/>
      <c r="AH22" s="45"/>
      <c r="AI22" s="45"/>
      <c r="AJ22" s="45"/>
      <c r="AK22" s="49"/>
      <c r="AL22" s="50"/>
      <c r="AM22" s="45"/>
      <c r="AN22" s="45"/>
      <c r="AO22" s="45"/>
      <c r="AP22" s="45"/>
      <c r="AQ22" s="45"/>
      <c r="AR22" s="45"/>
      <c r="AS22" s="45"/>
      <c r="AT22" s="45"/>
      <c r="AU22" s="45"/>
      <c r="AV22" s="45"/>
      <c r="AW22" s="49"/>
      <c r="AX22" s="45"/>
      <c r="AY22" s="45"/>
      <c r="AZ22" s="45"/>
      <c r="BA22" s="45"/>
      <c r="BB22" s="45"/>
      <c r="BC22" s="45"/>
      <c r="BD22" s="45"/>
      <c r="BE22" s="45"/>
      <c r="BF22" s="45"/>
      <c r="BG22" s="45"/>
      <c r="BH22" s="45"/>
      <c r="BI22" s="49"/>
      <c r="BJ22" s="45"/>
      <c r="BK22" s="45"/>
      <c r="BL22" s="45"/>
      <c r="BM22" s="45"/>
      <c r="BN22" s="45"/>
      <c r="BO22" s="45"/>
      <c r="BP22" s="45"/>
      <c r="BQ22" s="45"/>
      <c r="BR22" s="45"/>
      <c r="BS22" s="45"/>
      <c r="BT22" s="45"/>
      <c r="BU22" s="49"/>
      <c r="BV22" s="45"/>
      <c r="BW22" s="45"/>
      <c r="BX22" s="45"/>
      <c r="BY22" s="45"/>
      <c r="BZ22" s="45"/>
      <c r="CA22" s="45"/>
      <c r="CB22" s="45"/>
      <c r="CC22" s="45"/>
      <c r="CD22" s="45"/>
      <c r="CE22" s="45"/>
      <c r="CF22" s="45"/>
      <c r="CG22" s="49"/>
      <c r="CH22" s="45"/>
      <c r="CI22" s="45"/>
      <c r="CJ22" s="45"/>
      <c r="CK22" s="45"/>
      <c r="CL22" s="45"/>
      <c r="CM22" s="45"/>
      <c r="CN22" s="45"/>
      <c r="CO22" s="45"/>
      <c r="CP22" s="45"/>
      <c r="CQ22" s="45"/>
      <c r="CR22" s="45"/>
      <c r="CS22" s="49"/>
      <c r="CT22" s="45"/>
      <c r="CU22" s="45"/>
      <c r="CV22" s="45"/>
      <c r="CW22" s="45"/>
      <c r="CX22" s="45"/>
      <c r="CY22" s="45"/>
      <c r="CZ22" s="45"/>
      <c r="DA22" s="45"/>
      <c r="DB22" s="45"/>
      <c r="DC22" s="45"/>
      <c r="DD22" s="45"/>
      <c r="DE22" s="49"/>
      <c r="DF22" s="45"/>
      <c r="DG22" s="45"/>
      <c r="DH22" s="45"/>
      <c r="DI22" s="45"/>
      <c r="DJ22" s="45"/>
      <c r="DK22" s="45"/>
      <c r="DL22" s="45"/>
      <c r="DM22" s="45"/>
      <c r="DN22" s="45"/>
      <c r="DO22" s="45"/>
      <c r="DP22" s="45"/>
      <c r="DQ22" s="49"/>
      <c r="DR22" s="45"/>
      <c r="DS22" s="45"/>
      <c r="DT22" s="45"/>
      <c r="DU22" s="45"/>
      <c r="DV22" s="45"/>
      <c r="DW22" s="45"/>
      <c r="DX22" s="45"/>
      <c r="DY22" s="45"/>
      <c r="DZ22" s="45"/>
      <c r="EA22" s="45"/>
      <c r="EB22" s="45"/>
      <c r="EC22" s="49"/>
      <c r="ED22" s="45"/>
      <c r="EE22" s="45"/>
      <c r="EF22" s="45"/>
      <c r="EG22" s="45"/>
      <c r="EH22" s="45"/>
      <c r="EI22" s="45"/>
      <c r="EJ22" s="45"/>
      <c r="EK22" s="45"/>
      <c r="EL22" s="45"/>
      <c r="EM22" s="45"/>
      <c r="EN22" s="45"/>
      <c r="EO22" s="82"/>
      <c r="EP22" s="45"/>
      <c r="EQ22" s="45"/>
      <c r="ER22" s="45"/>
      <c r="ES22" s="45"/>
      <c r="ET22" s="45"/>
      <c r="EU22" s="45"/>
      <c r="EV22" s="45"/>
      <c r="EW22" s="45"/>
      <c r="EX22" s="45"/>
      <c r="EY22" s="45"/>
      <c r="EZ22" s="45"/>
      <c r="FA22" s="82"/>
      <c r="FB22" s="45"/>
      <c r="FC22" s="45"/>
      <c r="FD22" s="45"/>
      <c r="FE22" s="45"/>
      <c r="FF22" s="45"/>
      <c r="FG22" s="45"/>
      <c r="FH22" s="45"/>
      <c r="FI22" s="45"/>
      <c r="FJ22" s="45"/>
      <c r="FK22" s="155"/>
      <c r="FL22" s="155"/>
      <c r="FM22" s="155"/>
      <c r="FN22" s="69"/>
      <c r="FO22" s="155"/>
      <c r="FP22" s="155"/>
      <c r="FQ22" s="155"/>
      <c r="FR22" s="155"/>
      <c r="FS22" s="155"/>
      <c r="FT22" s="155"/>
      <c r="FU22" s="177"/>
      <c r="FV22" s="177"/>
      <c r="FW22" s="177"/>
      <c r="FX22" s="177"/>
      <c r="FY22" s="193"/>
      <c r="FZ22" s="177"/>
      <c r="GA22" s="178"/>
      <c r="GB22" s="178"/>
      <c r="GC22" s="178"/>
      <c r="GD22" s="178"/>
      <c r="GE22" s="178"/>
      <c r="GF22" s="178"/>
      <c r="GG22" s="178"/>
      <c r="GH22" s="178"/>
      <c r="GI22" s="178"/>
      <c r="GJ22" s="178"/>
      <c r="GK22" s="193"/>
      <c r="GL22" s="177"/>
      <c r="GM22" s="177"/>
      <c r="GN22" s="177"/>
      <c r="GO22" s="177"/>
      <c r="GP22" s="177"/>
      <c r="GQ22" s="177"/>
    </row>
    <row r="23" spans="1:200" s="1" customFormat="1" ht="20.149999999999999" customHeight="1" x14ac:dyDescent="0.35">
      <c r="A23" s="31" t="s">
        <v>1623</v>
      </c>
      <c r="B23" s="45">
        <v>8.3360000000000003</v>
      </c>
      <c r="C23" s="45">
        <v>9.4689999999999994</v>
      </c>
      <c r="D23" s="45">
        <v>11.361000000000001</v>
      </c>
      <c r="E23" s="45">
        <v>13.592000000000001</v>
      </c>
      <c r="F23" s="45">
        <v>17.041</v>
      </c>
      <c r="G23" s="45">
        <v>21.274000000000001</v>
      </c>
      <c r="H23" s="45">
        <v>26.466000000000001</v>
      </c>
      <c r="I23" s="45">
        <v>31.62</v>
      </c>
      <c r="J23" s="45">
        <v>38.286999999999999</v>
      </c>
      <c r="K23" s="45">
        <v>46.337000000000003</v>
      </c>
      <c r="L23" s="45">
        <v>55.654000000000003</v>
      </c>
      <c r="M23" s="49">
        <v>62.838999999999999</v>
      </c>
      <c r="N23" s="50">
        <v>72.679000000000002</v>
      </c>
      <c r="O23" s="45">
        <v>83.924000000000007</v>
      </c>
      <c r="P23" s="45">
        <v>100.82299999999999</v>
      </c>
      <c r="Q23" s="45">
        <v>116.658</v>
      </c>
      <c r="R23" s="45">
        <v>135.48699999999999</v>
      </c>
      <c r="S23" s="45">
        <v>160.28</v>
      </c>
      <c r="T23" s="45">
        <v>189.06899999999999</v>
      </c>
      <c r="U23" s="45">
        <v>225.47900000000001</v>
      </c>
      <c r="V23" s="45">
        <v>270.238</v>
      </c>
      <c r="W23" s="45">
        <v>321.70999999999998</v>
      </c>
      <c r="X23" s="45">
        <v>466.44799999999998</v>
      </c>
      <c r="Y23" s="49">
        <v>579.11099999999999</v>
      </c>
      <c r="Z23" s="50">
        <v>600.11599999999999</v>
      </c>
      <c r="AA23" s="45">
        <v>706.73199999999997</v>
      </c>
      <c r="AB23" s="45">
        <v>771.81899999999996</v>
      </c>
      <c r="AC23" s="45">
        <v>784.70399999999995</v>
      </c>
      <c r="AD23" s="45">
        <v>808.75099999999998</v>
      </c>
      <c r="AE23" s="45">
        <v>838.54499999999996</v>
      </c>
      <c r="AF23" s="45">
        <v>894.20799999999997</v>
      </c>
      <c r="AG23" s="45">
        <v>903.44600000000003</v>
      </c>
      <c r="AH23" s="45">
        <v>915.06799999999998</v>
      </c>
      <c r="AI23" s="45">
        <v>937.04700000000003</v>
      </c>
      <c r="AJ23" s="45">
        <v>949.94</v>
      </c>
      <c r="AK23" s="49">
        <v>962.84299999999996</v>
      </c>
      <c r="AL23" s="50">
        <v>977.01300000000003</v>
      </c>
      <c r="AM23" s="45">
        <v>991.79</v>
      </c>
      <c r="AN23" s="45">
        <v>1008.111</v>
      </c>
      <c r="AO23" s="45">
        <v>1024.5830000000001</v>
      </c>
      <c r="AP23" s="45">
        <v>1040.6949999999999</v>
      </c>
      <c r="AQ23" s="45">
        <v>1063.01</v>
      </c>
      <c r="AR23" s="45">
        <v>1076.5630000000001</v>
      </c>
      <c r="AS23" s="45">
        <v>1092.1210000000001</v>
      </c>
      <c r="AT23" s="45">
        <v>1107.9069999999999</v>
      </c>
      <c r="AU23" s="45">
        <v>1124.96</v>
      </c>
      <c r="AV23" s="45">
        <v>1143.8399999999999</v>
      </c>
      <c r="AW23" s="49">
        <v>1159.386</v>
      </c>
      <c r="AX23" s="45">
        <v>1175.0360000000001</v>
      </c>
      <c r="AY23" s="45">
        <v>1191.8389999999999</v>
      </c>
      <c r="AZ23" s="45">
        <v>1217.713</v>
      </c>
      <c r="BA23" s="45">
        <v>1232.9100000000001</v>
      </c>
      <c r="BB23" s="45">
        <v>1249.2439999999999</v>
      </c>
      <c r="BC23" s="45">
        <v>1266.546</v>
      </c>
      <c r="BD23" s="45">
        <v>1286.884</v>
      </c>
      <c r="BE23" s="45">
        <v>1306.915</v>
      </c>
      <c r="BF23" s="45">
        <v>1330.8420000000001</v>
      </c>
      <c r="BG23" s="45">
        <v>1355.309</v>
      </c>
      <c r="BH23" s="45">
        <v>1378.2639999999999</v>
      </c>
      <c r="BI23" s="49">
        <v>1401.1890000000001</v>
      </c>
      <c r="BJ23" s="45">
        <v>1417.922</v>
      </c>
      <c r="BK23" s="45">
        <v>1438.155</v>
      </c>
      <c r="BL23" s="45">
        <v>1468.808</v>
      </c>
      <c r="BM23" s="45">
        <v>1489.873</v>
      </c>
      <c r="BN23" s="45">
        <v>1512.2850000000001</v>
      </c>
      <c r="BO23" s="45">
        <v>1544.4359999999999</v>
      </c>
      <c r="BP23" s="45">
        <v>1567.845</v>
      </c>
      <c r="BQ23" s="45">
        <v>1591.4169999999999</v>
      </c>
      <c r="BR23" s="45">
        <v>1630.261</v>
      </c>
      <c r="BS23" s="45">
        <v>1665.1759999999999</v>
      </c>
      <c r="BT23" s="45">
        <v>1711.579</v>
      </c>
      <c r="BU23" s="49">
        <v>1762.576</v>
      </c>
      <c r="BV23" s="45">
        <v>1794.0609999999999</v>
      </c>
      <c r="BW23" s="45">
        <v>1800.884</v>
      </c>
      <c r="BX23" s="45">
        <v>1809.115</v>
      </c>
      <c r="BY23" s="45">
        <v>1815.029</v>
      </c>
      <c r="BZ23" s="45">
        <v>1821.3309999999999</v>
      </c>
      <c r="CA23" s="45">
        <v>1828.328</v>
      </c>
      <c r="CB23" s="45">
        <v>1834.2249999999999</v>
      </c>
      <c r="CC23" s="45">
        <v>1839.7460000000001</v>
      </c>
      <c r="CD23" s="45">
        <v>1847.1510000000001</v>
      </c>
      <c r="CE23" s="45">
        <v>1851.83</v>
      </c>
      <c r="CF23" s="45">
        <v>1857.482</v>
      </c>
      <c r="CG23" s="49">
        <v>1861.7</v>
      </c>
      <c r="CH23" s="45">
        <v>1865.7750000000001</v>
      </c>
      <c r="CI23" s="45">
        <v>1870.66</v>
      </c>
      <c r="CJ23" s="45">
        <v>1877.3389999999999</v>
      </c>
      <c r="CK23" s="45">
        <v>1881.597</v>
      </c>
      <c r="CL23" s="45">
        <v>1886.548</v>
      </c>
      <c r="CM23" s="45">
        <v>1891.5650000000001</v>
      </c>
      <c r="CN23" s="45">
        <v>1896.1189999999999</v>
      </c>
      <c r="CO23" s="45">
        <v>1901.636</v>
      </c>
      <c r="CP23" s="45">
        <v>1906.9559999999999</v>
      </c>
      <c r="CQ23" s="45">
        <v>1911.905</v>
      </c>
      <c r="CR23" s="45">
        <v>1917.933</v>
      </c>
      <c r="CS23" s="49">
        <v>1921.9670000000001</v>
      </c>
      <c r="CT23" s="45">
        <v>1926.424</v>
      </c>
      <c r="CU23" s="45">
        <v>1930.5050000000001</v>
      </c>
      <c r="CV23" s="45">
        <v>1935.4570000000001</v>
      </c>
      <c r="CW23" s="45">
        <v>1940.194</v>
      </c>
      <c r="CX23" s="45">
        <v>1945.55</v>
      </c>
      <c r="CY23" s="45">
        <v>1950.9780000000001</v>
      </c>
      <c r="CZ23" s="45">
        <v>1956.2180000000001</v>
      </c>
      <c r="DA23" s="45">
        <v>1962.1980000000001</v>
      </c>
      <c r="DB23" s="45">
        <v>1968.2429999999999</v>
      </c>
      <c r="DC23" s="45">
        <v>1975.665</v>
      </c>
      <c r="DD23" s="45">
        <v>1983.4459999999999</v>
      </c>
      <c r="DE23" s="49">
        <v>1989.8579999999999</v>
      </c>
      <c r="DF23" s="45">
        <v>1999.28</v>
      </c>
      <c r="DG23" s="45">
        <v>2010.0830000000001</v>
      </c>
      <c r="DH23" s="45">
        <v>2034.6510000000001</v>
      </c>
      <c r="DI23" s="45">
        <v>2037.9639999999999</v>
      </c>
      <c r="DJ23" s="45">
        <v>2042.0309999999999</v>
      </c>
      <c r="DK23" s="45">
        <v>2046.3979999999999</v>
      </c>
      <c r="DL23" s="45">
        <v>2050.5949999999998</v>
      </c>
      <c r="DM23" s="45">
        <v>2054.9699999999998</v>
      </c>
      <c r="DN23" s="45">
        <v>2059.7629999999999</v>
      </c>
      <c r="DO23" s="45">
        <v>2064.5329999999999</v>
      </c>
      <c r="DP23" s="45">
        <v>2069.5680000000002</v>
      </c>
      <c r="DQ23" s="49">
        <v>2072.8229999999999</v>
      </c>
      <c r="DR23" s="45">
        <v>2077.0830000000001</v>
      </c>
      <c r="DS23" s="45">
        <v>2081.2130000000002</v>
      </c>
      <c r="DT23" s="45">
        <v>2085.415</v>
      </c>
      <c r="DU23" s="45">
        <v>2086.2240000000002</v>
      </c>
      <c r="DV23" s="45">
        <v>2087.4960000000001</v>
      </c>
      <c r="DW23" s="45">
        <v>2090.355</v>
      </c>
      <c r="DX23" s="45">
        <v>2094.3539999999998</v>
      </c>
      <c r="DY23" s="45">
        <v>2098.63</v>
      </c>
      <c r="DZ23" s="45">
        <v>2103.9810000000002</v>
      </c>
      <c r="EA23" s="45">
        <v>2109.2060000000001</v>
      </c>
      <c r="EB23" s="45">
        <v>2114.759</v>
      </c>
      <c r="EC23" s="49">
        <v>2118.9180000000001</v>
      </c>
      <c r="ED23" s="45">
        <v>2124.2179999999998</v>
      </c>
      <c r="EE23" s="45">
        <v>2128.9340000000002</v>
      </c>
      <c r="EF23" s="45">
        <v>2135.3919999999998</v>
      </c>
      <c r="EG23" s="45">
        <v>2142.248</v>
      </c>
      <c r="EH23" s="45">
        <v>2149.5419999999999</v>
      </c>
      <c r="EI23" s="45">
        <v>2156.9270000000001</v>
      </c>
      <c r="EJ23" s="45">
        <v>2163.721</v>
      </c>
      <c r="EK23" s="45">
        <v>2171.2069999999999</v>
      </c>
      <c r="EL23" s="45">
        <v>2179.54</v>
      </c>
      <c r="EM23" s="45">
        <v>2187.0790000000002</v>
      </c>
      <c r="EN23" s="45">
        <v>2196.7429999999999</v>
      </c>
      <c r="EO23" s="82">
        <v>2203.951</v>
      </c>
      <c r="EP23" s="45">
        <v>2212.56</v>
      </c>
      <c r="EQ23" s="45">
        <v>2223.5329999999999</v>
      </c>
      <c r="ER23" s="45">
        <v>2238.3180000000002</v>
      </c>
      <c r="ES23" s="45">
        <v>2252.4229999999998</v>
      </c>
      <c r="ET23" s="45">
        <v>2267.643</v>
      </c>
      <c r="EU23" s="45">
        <v>2283.5459999999998</v>
      </c>
      <c r="EV23" s="45">
        <v>2298.1289999999999</v>
      </c>
      <c r="EW23" s="45">
        <v>2314.2420000000002</v>
      </c>
      <c r="EX23" s="45">
        <v>2333.5509999999999</v>
      </c>
      <c r="EY23" s="45">
        <v>2350.875</v>
      </c>
      <c r="EZ23" s="45">
        <v>2369.67</v>
      </c>
      <c r="FA23" s="82">
        <v>2383.6239999999998</v>
      </c>
      <c r="FB23" s="45">
        <v>2402.422</v>
      </c>
      <c r="FC23" s="45">
        <v>2422.991</v>
      </c>
      <c r="FD23" s="45">
        <v>2445.9769999999999</v>
      </c>
      <c r="FE23" s="45">
        <v>2464.2510000000002</v>
      </c>
      <c r="FF23" s="45">
        <v>2484.011</v>
      </c>
      <c r="FG23" s="45">
        <v>2504.415</v>
      </c>
      <c r="FH23" s="45">
        <v>2522.3040000000001</v>
      </c>
      <c r="FI23" s="45">
        <v>2540.027</v>
      </c>
      <c r="FJ23" s="45">
        <v>2558.02</v>
      </c>
      <c r="FK23" s="45">
        <v>2575.4369999999999</v>
      </c>
      <c r="FL23" s="45">
        <v>2593.9870000000001</v>
      </c>
      <c r="FM23" s="155">
        <v>2605.8020000000001</v>
      </c>
      <c r="FN23" s="69">
        <v>2621.8119999999999</v>
      </c>
      <c r="FO23" s="178">
        <v>2639.0239999999999</v>
      </c>
      <c r="FP23" s="178">
        <v>2658.5839999999998</v>
      </c>
      <c r="FQ23" s="178">
        <v>2677.7109999999998</v>
      </c>
      <c r="FR23" s="178">
        <v>2697.7170000000001</v>
      </c>
      <c r="FS23" s="178">
        <v>2717.4079999999999</v>
      </c>
      <c r="FT23" s="178">
        <v>2737.73</v>
      </c>
      <c r="FU23" s="178">
        <v>2757.9259999999999</v>
      </c>
      <c r="FV23" s="178">
        <v>2780.5540000000001</v>
      </c>
      <c r="FW23" s="178">
        <v>2807.328</v>
      </c>
      <c r="FX23" s="178">
        <v>2835.91</v>
      </c>
      <c r="FY23" s="180">
        <v>2855.1469999999999</v>
      </c>
      <c r="FZ23" s="178">
        <v>2880.248</v>
      </c>
      <c r="GA23" s="178">
        <v>2909.2109999999998</v>
      </c>
      <c r="GB23" s="178">
        <v>2944.922</v>
      </c>
      <c r="GC23" s="178">
        <v>2971.3180000000002</v>
      </c>
      <c r="GD23" s="178">
        <v>3000.8319999999999</v>
      </c>
      <c r="GE23" s="178">
        <v>3031.2669999999998</v>
      </c>
      <c r="GF23" s="178">
        <v>3059.8139999999999</v>
      </c>
      <c r="GG23" s="178">
        <v>3084.8440000000001</v>
      </c>
      <c r="GH23" s="178">
        <v>3114.3719999999998</v>
      </c>
      <c r="GI23" s="178">
        <v>3147.6759999999999</v>
      </c>
      <c r="GJ23" s="178">
        <v>3178.4540000000002</v>
      </c>
      <c r="GK23" s="180">
        <v>3203.0010000000002</v>
      </c>
      <c r="GL23" s="178">
        <v>3230.2089999999998</v>
      </c>
      <c r="GM23" s="178">
        <v>3264.078</v>
      </c>
      <c r="GN23" s="178">
        <v>3307.2429999999999</v>
      </c>
      <c r="GO23" s="178">
        <v>3337.0459999999998</v>
      </c>
      <c r="GP23" s="178">
        <v>3359.6010000000001</v>
      </c>
      <c r="GQ23" s="178">
        <v>3391.0619999999999</v>
      </c>
    </row>
    <row r="24" spans="1:200" s="1" customFormat="1" ht="20.149999999999999" customHeight="1" x14ac:dyDescent="0.35">
      <c r="A24" s="31" t="s">
        <v>1626</v>
      </c>
      <c r="B24" s="45">
        <v>3.153</v>
      </c>
      <c r="C24" s="45">
        <v>3.34</v>
      </c>
      <c r="D24" s="45">
        <v>3.6160000000000001</v>
      </c>
      <c r="E24" s="45">
        <v>3.7989999999999999</v>
      </c>
      <c r="F24" s="45">
        <v>4.1310000000000002</v>
      </c>
      <c r="G24" s="45">
        <v>4.5049999999999999</v>
      </c>
      <c r="H24" s="45">
        <v>4.907</v>
      </c>
      <c r="I24" s="45">
        <v>5.2949999999999999</v>
      </c>
      <c r="J24" s="45">
        <v>5.702</v>
      </c>
      <c r="K24" s="45">
        <v>6.282</v>
      </c>
      <c r="L24" s="45">
        <v>6.8819999999999997</v>
      </c>
      <c r="M24" s="49">
        <v>7.3029999999999999</v>
      </c>
      <c r="N24" s="50">
        <v>8.1159999999999997</v>
      </c>
      <c r="O24" s="45">
        <v>9.0030000000000001</v>
      </c>
      <c r="P24" s="45">
        <v>10.375999999999999</v>
      </c>
      <c r="Q24" s="45">
        <v>12.067</v>
      </c>
      <c r="R24" s="45">
        <v>14.048999999999999</v>
      </c>
      <c r="S24" s="45">
        <v>16.427</v>
      </c>
      <c r="T24" s="45">
        <v>19.640999999999998</v>
      </c>
      <c r="U24" s="45">
        <v>24.981000000000002</v>
      </c>
      <c r="V24" s="45">
        <v>32.279000000000003</v>
      </c>
      <c r="W24" s="45">
        <v>41.695</v>
      </c>
      <c r="X24" s="45">
        <v>71.039000000000001</v>
      </c>
      <c r="Y24" s="49">
        <v>96.933000000000007</v>
      </c>
      <c r="Z24" s="50">
        <v>99.222999999999999</v>
      </c>
      <c r="AA24" s="45">
        <v>126.133</v>
      </c>
      <c r="AB24" s="45">
        <v>136.26300000000001</v>
      </c>
      <c r="AC24" s="45">
        <v>138.28200000000001</v>
      </c>
      <c r="AD24" s="45">
        <v>144.99600000000001</v>
      </c>
      <c r="AE24" s="45">
        <v>155.12</v>
      </c>
      <c r="AF24" s="45">
        <v>181.24</v>
      </c>
      <c r="AG24" s="45">
        <v>183.21799999999999</v>
      </c>
      <c r="AH24" s="45">
        <v>187.047</v>
      </c>
      <c r="AI24" s="45">
        <v>198.334</v>
      </c>
      <c r="AJ24" s="45">
        <v>202.804</v>
      </c>
      <c r="AK24" s="49">
        <v>208.06</v>
      </c>
      <c r="AL24" s="50">
        <v>213.839</v>
      </c>
      <c r="AM24" s="45">
        <v>220.70400000000001</v>
      </c>
      <c r="AN24" s="45">
        <v>229.548</v>
      </c>
      <c r="AO24" s="45">
        <v>239.554</v>
      </c>
      <c r="AP24" s="45">
        <v>250.75700000000001</v>
      </c>
      <c r="AQ24" s="45">
        <v>268.995</v>
      </c>
      <c r="AR24" s="45">
        <v>277.33199999999999</v>
      </c>
      <c r="AS24" s="45">
        <v>287.904</v>
      </c>
      <c r="AT24" s="45">
        <v>300.18099999999998</v>
      </c>
      <c r="AU24" s="45">
        <v>313.137</v>
      </c>
      <c r="AV24" s="45">
        <v>328.61700000000002</v>
      </c>
      <c r="AW24" s="49">
        <v>341.51299999999998</v>
      </c>
      <c r="AX24" s="45">
        <v>354.12799999999999</v>
      </c>
      <c r="AY24" s="45">
        <v>371.75799999999998</v>
      </c>
      <c r="AZ24" s="45">
        <v>396.30700000000002</v>
      </c>
      <c r="BA24" s="45">
        <v>407.72800000000001</v>
      </c>
      <c r="BB24" s="45">
        <v>421.02</v>
      </c>
      <c r="BC24" s="45">
        <v>436.096</v>
      </c>
      <c r="BD24" s="45">
        <v>451.83600000000001</v>
      </c>
      <c r="BE24" s="45">
        <v>466.91500000000002</v>
      </c>
      <c r="BF24" s="45">
        <v>484.15300000000002</v>
      </c>
      <c r="BG24" s="45">
        <v>502.42099999999999</v>
      </c>
      <c r="BH24" s="45">
        <v>520.61300000000006</v>
      </c>
      <c r="BI24" s="49">
        <v>540.47799999999995</v>
      </c>
      <c r="BJ24" s="45">
        <v>549.92399999999998</v>
      </c>
      <c r="BK24" s="45">
        <v>562.26599999999996</v>
      </c>
      <c r="BL24" s="45">
        <v>583.85699999999997</v>
      </c>
      <c r="BM24" s="45">
        <v>596.87900000000002</v>
      </c>
      <c r="BN24" s="45">
        <v>611.62599999999998</v>
      </c>
      <c r="BO24" s="45">
        <v>633.17700000000002</v>
      </c>
      <c r="BP24" s="45">
        <v>646.54300000000001</v>
      </c>
      <c r="BQ24" s="45">
        <v>661.05799999999999</v>
      </c>
      <c r="BR24" s="45">
        <v>687.51800000000003</v>
      </c>
      <c r="BS24" s="45">
        <v>704.39400000000001</v>
      </c>
      <c r="BT24" s="45">
        <v>725.33100000000002</v>
      </c>
      <c r="BU24" s="49">
        <v>752.149</v>
      </c>
      <c r="BV24" s="45">
        <v>765.654</v>
      </c>
      <c r="BW24" s="45">
        <v>768.05499999999995</v>
      </c>
      <c r="BX24" s="45">
        <v>771.81100000000004</v>
      </c>
      <c r="BY24" s="45">
        <v>775.06500000000005</v>
      </c>
      <c r="BZ24" s="45">
        <v>778.33500000000004</v>
      </c>
      <c r="CA24" s="45">
        <v>782.38400000000001</v>
      </c>
      <c r="CB24" s="45">
        <v>785.63400000000001</v>
      </c>
      <c r="CC24" s="45">
        <v>789.13400000000001</v>
      </c>
      <c r="CD24" s="45">
        <v>794.13300000000004</v>
      </c>
      <c r="CE24" s="45">
        <v>796.27200000000005</v>
      </c>
      <c r="CF24" s="45">
        <v>798.73500000000001</v>
      </c>
      <c r="CG24" s="49">
        <v>801.00800000000004</v>
      </c>
      <c r="CH24" s="45">
        <v>802.85400000000004</v>
      </c>
      <c r="CI24" s="45">
        <v>804.87199999999996</v>
      </c>
      <c r="CJ24" s="45">
        <v>808.07899999999995</v>
      </c>
      <c r="CK24" s="45">
        <v>809.976</v>
      </c>
      <c r="CL24" s="45">
        <v>812.529</v>
      </c>
      <c r="CM24" s="45">
        <v>815.44399999999996</v>
      </c>
      <c r="CN24" s="45">
        <v>818.03499999999997</v>
      </c>
      <c r="CO24" s="45">
        <v>820.51300000000003</v>
      </c>
      <c r="CP24" s="45">
        <v>823.53</v>
      </c>
      <c r="CQ24" s="45">
        <v>826.24599999999998</v>
      </c>
      <c r="CR24" s="45">
        <v>829.13300000000004</v>
      </c>
      <c r="CS24" s="49">
        <v>831.54100000000005</v>
      </c>
      <c r="CT24" s="45">
        <v>833.65700000000004</v>
      </c>
      <c r="CU24" s="45">
        <v>836.048</v>
      </c>
      <c r="CV24" s="45">
        <v>839.24900000000002</v>
      </c>
      <c r="CW24" s="45">
        <v>842.19600000000003</v>
      </c>
      <c r="CX24" s="45">
        <v>845.48599999999999</v>
      </c>
      <c r="CY24" s="45">
        <v>849.25599999999997</v>
      </c>
      <c r="CZ24" s="45">
        <v>852.44600000000003</v>
      </c>
      <c r="DA24" s="45">
        <v>855.90300000000002</v>
      </c>
      <c r="DB24" s="45">
        <v>860.221</v>
      </c>
      <c r="DC24" s="45">
        <v>864.24199999999996</v>
      </c>
      <c r="DD24" s="45">
        <v>869.61300000000006</v>
      </c>
      <c r="DE24" s="49">
        <v>874.63599999999997</v>
      </c>
      <c r="DF24" s="45">
        <v>879.86</v>
      </c>
      <c r="DG24" s="45">
        <v>887.726</v>
      </c>
      <c r="DH24" s="45">
        <v>907.83799999999997</v>
      </c>
      <c r="DI24" s="45">
        <v>908.61500000000001</v>
      </c>
      <c r="DJ24" s="45">
        <v>909.92</v>
      </c>
      <c r="DK24" s="45">
        <v>911.61599999999999</v>
      </c>
      <c r="DL24" s="45">
        <v>914.01900000000001</v>
      </c>
      <c r="DM24" s="45">
        <v>916.46699999999998</v>
      </c>
      <c r="DN24" s="45">
        <v>919.79899999999998</v>
      </c>
      <c r="DO24" s="45">
        <v>923.83199999999999</v>
      </c>
      <c r="DP24" s="45">
        <v>927.28099999999995</v>
      </c>
      <c r="DQ24" s="49">
        <v>930.05399999999997</v>
      </c>
      <c r="DR24" s="45">
        <v>933.53200000000004</v>
      </c>
      <c r="DS24" s="45">
        <v>937.14</v>
      </c>
      <c r="DT24" s="45">
        <v>941.09199999999998</v>
      </c>
      <c r="DU24" s="45">
        <v>942.61</v>
      </c>
      <c r="DV24" s="45">
        <v>945.16399999999999</v>
      </c>
      <c r="DW24" s="45">
        <v>949.90099999999995</v>
      </c>
      <c r="DX24" s="45">
        <v>955.01199999999994</v>
      </c>
      <c r="DY24" s="45">
        <v>959.63499999999999</v>
      </c>
      <c r="DZ24" s="45">
        <v>965.55600000000004</v>
      </c>
      <c r="EA24" s="45">
        <v>971.56600000000003</v>
      </c>
      <c r="EB24" s="45">
        <v>977.89599999999996</v>
      </c>
      <c r="EC24" s="49">
        <v>982.57799999999997</v>
      </c>
      <c r="ED24" s="45">
        <v>987.58199999999999</v>
      </c>
      <c r="EE24" s="45">
        <v>993.03800000000001</v>
      </c>
      <c r="EF24" s="45">
        <v>1001.079</v>
      </c>
      <c r="EG24" s="45">
        <v>1008.708</v>
      </c>
      <c r="EH24" s="45">
        <v>1016.299</v>
      </c>
      <c r="EI24" s="45">
        <v>1024.8579999999999</v>
      </c>
      <c r="EJ24" s="45">
        <v>1033.0820000000001</v>
      </c>
      <c r="EK24" s="45">
        <v>1040.5429999999999</v>
      </c>
      <c r="EL24" s="45">
        <v>1050.692</v>
      </c>
      <c r="EM24" s="45">
        <v>1060.6110000000001</v>
      </c>
      <c r="EN24" s="45">
        <v>1073.1980000000001</v>
      </c>
      <c r="EO24" s="82">
        <v>1082.373</v>
      </c>
      <c r="EP24" s="45">
        <v>1094.261</v>
      </c>
      <c r="EQ24" s="45">
        <v>1107.912</v>
      </c>
      <c r="ER24" s="45">
        <v>1126.883</v>
      </c>
      <c r="ES24" s="45">
        <v>1147.231</v>
      </c>
      <c r="ET24" s="45">
        <v>1172.1120000000001</v>
      </c>
      <c r="EU24" s="45">
        <v>1197.175</v>
      </c>
      <c r="EV24" s="45">
        <v>1224.8320000000001</v>
      </c>
      <c r="EW24" s="45">
        <v>1255.384</v>
      </c>
      <c r="EX24" s="45">
        <v>1291.713</v>
      </c>
      <c r="EY24" s="45">
        <v>1330.932</v>
      </c>
      <c r="EZ24" s="45">
        <v>1376.83</v>
      </c>
      <c r="FA24" s="82">
        <v>1412.4010000000001</v>
      </c>
      <c r="FB24" s="45">
        <v>1462.095</v>
      </c>
      <c r="FC24" s="45">
        <v>1513.8589999999999</v>
      </c>
      <c r="FD24" s="45">
        <v>1572.434</v>
      </c>
      <c r="FE24" s="45">
        <v>1619.943</v>
      </c>
      <c r="FF24" s="45">
        <v>1673.8489999999999</v>
      </c>
      <c r="FG24" s="45">
        <v>1727.385</v>
      </c>
      <c r="FH24" s="45">
        <v>1772.7819999999999</v>
      </c>
      <c r="FI24" s="45">
        <v>1819.463</v>
      </c>
      <c r="FJ24" s="45">
        <v>1863.732</v>
      </c>
      <c r="FK24" s="45">
        <v>1908.095</v>
      </c>
      <c r="FL24" s="45">
        <v>1951.5260000000001</v>
      </c>
      <c r="FM24" s="155">
        <v>1980.2840000000001</v>
      </c>
      <c r="FN24" s="69">
        <v>2015.394</v>
      </c>
      <c r="FO24" s="178">
        <v>2052.221</v>
      </c>
      <c r="FP24" s="178">
        <v>2089.3130000000001</v>
      </c>
      <c r="FQ24" s="178">
        <v>2129.52</v>
      </c>
      <c r="FR24" s="178">
        <v>2169.973</v>
      </c>
      <c r="FS24" s="178">
        <v>2206.5630000000001</v>
      </c>
      <c r="FT24" s="178">
        <v>2246.2220000000002</v>
      </c>
      <c r="FU24" s="178">
        <v>2281.27</v>
      </c>
      <c r="FV24" s="178">
        <v>2318.4499999999998</v>
      </c>
      <c r="FW24" s="178">
        <v>2360.3180000000002</v>
      </c>
      <c r="FX24" s="178">
        <v>2399.877</v>
      </c>
      <c r="FY24" s="180">
        <v>2428.3339999999998</v>
      </c>
      <c r="FZ24" s="178">
        <v>2464.4940000000001</v>
      </c>
      <c r="GA24" s="178">
        <v>2505.3560000000002</v>
      </c>
      <c r="GB24" s="178">
        <v>2554.0320000000002</v>
      </c>
      <c r="GC24" s="178">
        <v>2599.8710000000001</v>
      </c>
      <c r="GD24" s="178">
        <v>2650.4870000000001</v>
      </c>
      <c r="GE24" s="178">
        <v>2701.1239999999998</v>
      </c>
      <c r="GF24" s="178">
        <v>2755.0990000000002</v>
      </c>
      <c r="GG24" s="178">
        <v>2803.46</v>
      </c>
      <c r="GH24" s="178">
        <v>2858.05</v>
      </c>
      <c r="GI24" s="178">
        <v>2915.107</v>
      </c>
      <c r="GJ24" s="178">
        <v>2965.0770000000002</v>
      </c>
      <c r="GK24" s="180">
        <v>3001.32</v>
      </c>
      <c r="GL24" s="178">
        <v>3041.8029999999999</v>
      </c>
      <c r="GM24" s="178">
        <v>3085.4090000000001</v>
      </c>
      <c r="GN24" s="178">
        <v>3136.3989999999999</v>
      </c>
      <c r="GO24" s="178">
        <v>3190.3710000000001</v>
      </c>
      <c r="GP24" s="178">
        <v>3234.7530000000002</v>
      </c>
      <c r="GQ24" s="178">
        <v>3303.1309999999999</v>
      </c>
    </row>
    <row r="25" spans="1:200" s="1" customFormat="1" ht="20.149999999999999" customHeight="1" x14ac:dyDescent="0.35">
      <c r="A25" s="31" t="s">
        <v>1625</v>
      </c>
      <c r="B25" s="45">
        <v>2.65</v>
      </c>
      <c r="C25" s="45">
        <v>2.7450000000000001</v>
      </c>
      <c r="D25" s="45">
        <v>3.1110000000000002</v>
      </c>
      <c r="E25" s="45">
        <v>3.3570000000000002</v>
      </c>
      <c r="F25" s="45">
        <v>3.7120000000000002</v>
      </c>
      <c r="G25" s="45">
        <v>3.9449999999999998</v>
      </c>
      <c r="H25" s="45">
        <v>4.0949999999999998</v>
      </c>
      <c r="I25" s="45">
        <v>4.3780000000000001</v>
      </c>
      <c r="J25" s="45">
        <v>4.827</v>
      </c>
      <c r="K25" s="45">
        <v>5.1970000000000001</v>
      </c>
      <c r="L25" s="45">
        <v>5.6909999999999998</v>
      </c>
      <c r="M25" s="49">
        <v>5.9390000000000001</v>
      </c>
      <c r="N25" s="50">
        <v>6.4939999999999998</v>
      </c>
      <c r="O25" s="45">
        <v>7.319</v>
      </c>
      <c r="P25" s="45">
        <v>8.15</v>
      </c>
      <c r="Q25" s="45">
        <v>9.1579999999999995</v>
      </c>
      <c r="R25" s="45">
        <v>10.382</v>
      </c>
      <c r="S25" s="45">
        <v>11.755000000000001</v>
      </c>
      <c r="T25" s="45">
        <v>15.018000000000001</v>
      </c>
      <c r="U25" s="45">
        <v>18.279</v>
      </c>
      <c r="V25" s="45">
        <v>22.56</v>
      </c>
      <c r="W25" s="45">
        <v>26.891999999999999</v>
      </c>
      <c r="X25" s="45">
        <v>49.792000000000002</v>
      </c>
      <c r="Y25" s="49">
        <v>96.597999999999999</v>
      </c>
      <c r="Z25" s="50">
        <v>97.736999999999995</v>
      </c>
      <c r="AA25" s="45">
        <v>134.953</v>
      </c>
      <c r="AB25" s="45">
        <v>161.291</v>
      </c>
      <c r="AC25" s="45">
        <v>162.96700000000001</v>
      </c>
      <c r="AD25" s="45">
        <v>167.358</v>
      </c>
      <c r="AE25" s="45">
        <v>176.64500000000001</v>
      </c>
      <c r="AF25" s="45">
        <v>213.774</v>
      </c>
      <c r="AG25" s="45">
        <v>215.214</v>
      </c>
      <c r="AH25" s="45">
        <v>217.47</v>
      </c>
      <c r="AI25" s="45">
        <v>225.464</v>
      </c>
      <c r="AJ25" s="45">
        <v>228.208</v>
      </c>
      <c r="AK25" s="49">
        <v>231.08</v>
      </c>
      <c r="AL25" s="50">
        <v>234.73099999999999</v>
      </c>
      <c r="AM25" s="45">
        <v>240.57300000000001</v>
      </c>
      <c r="AN25" s="45">
        <v>248.52</v>
      </c>
      <c r="AO25" s="45">
        <v>257.53800000000001</v>
      </c>
      <c r="AP25" s="45">
        <v>265.71800000000002</v>
      </c>
      <c r="AQ25" s="45">
        <v>286.53699999999998</v>
      </c>
      <c r="AR25" s="45">
        <v>291.01</v>
      </c>
      <c r="AS25" s="45">
        <v>298.12700000000001</v>
      </c>
      <c r="AT25" s="45">
        <v>305.36200000000002</v>
      </c>
      <c r="AU25" s="45">
        <v>311.726</v>
      </c>
      <c r="AV25" s="45">
        <v>319.01900000000001</v>
      </c>
      <c r="AW25" s="49">
        <v>326.44299999999998</v>
      </c>
      <c r="AX25" s="45">
        <v>332.81299999999999</v>
      </c>
      <c r="AY25" s="45">
        <v>342.524</v>
      </c>
      <c r="AZ25" s="45">
        <v>364.27100000000002</v>
      </c>
      <c r="BA25" s="45">
        <v>368.35500000000002</v>
      </c>
      <c r="BB25" s="45">
        <v>374.35</v>
      </c>
      <c r="BC25" s="45">
        <v>382.14800000000002</v>
      </c>
      <c r="BD25" s="45">
        <v>389.53300000000002</v>
      </c>
      <c r="BE25" s="45">
        <v>396.47399999999999</v>
      </c>
      <c r="BF25" s="45">
        <v>405.08100000000002</v>
      </c>
      <c r="BG25" s="45">
        <v>413.21</v>
      </c>
      <c r="BH25" s="45">
        <v>421.46600000000001</v>
      </c>
      <c r="BI25" s="49">
        <v>438.46699999999998</v>
      </c>
      <c r="BJ25" s="45">
        <v>442.327</v>
      </c>
      <c r="BK25" s="45">
        <v>449.82</v>
      </c>
      <c r="BL25" s="45">
        <v>462.62599999999998</v>
      </c>
      <c r="BM25" s="45">
        <v>470.05500000000001</v>
      </c>
      <c r="BN25" s="45">
        <v>477.33699999999999</v>
      </c>
      <c r="BO25" s="45">
        <v>488.685</v>
      </c>
      <c r="BP25" s="45">
        <v>498.24900000000002</v>
      </c>
      <c r="BQ25" s="45">
        <v>509.91699999999997</v>
      </c>
      <c r="BR25" s="45">
        <v>537.30999999999995</v>
      </c>
      <c r="BS25" s="45">
        <v>548.63900000000001</v>
      </c>
      <c r="BT25" s="45">
        <v>566.55499999999995</v>
      </c>
      <c r="BU25" s="49">
        <v>616.24400000000003</v>
      </c>
      <c r="BV25" s="45">
        <v>640.15099999999995</v>
      </c>
      <c r="BW25" s="45">
        <v>642.47699999999998</v>
      </c>
      <c r="BX25" s="45">
        <v>647.21799999999996</v>
      </c>
      <c r="BY25" s="45">
        <v>650.11</v>
      </c>
      <c r="BZ25" s="45">
        <v>653.15700000000004</v>
      </c>
      <c r="CA25" s="45">
        <v>657.779</v>
      </c>
      <c r="CB25" s="45">
        <v>662.15599999999995</v>
      </c>
      <c r="CC25" s="45">
        <v>668.27099999999996</v>
      </c>
      <c r="CD25" s="45">
        <v>679.52200000000005</v>
      </c>
      <c r="CE25" s="45">
        <v>682.32899999999995</v>
      </c>
      <c r="CF25" s="45">
        <v>685.32600000000002</v>
      </c>
      <c r="CG25" s="49">
        <v>689.89</v>
      </c>
      <c r="CH25" s="45">
        <v>691.57100000000003</v>
      </c>
      <c r="CI25" s="45">
        <v>694.11400000000003</v>
      </c>
      <c r="CJ25" s="45">
        <v>699.35699999999997</v>
      </c>
      <c r="CK25" s="45">
        <v>702.3</v>
      </c>
      <c r="CL25" s="45">
        <v>705.89499999999998</v>
      </c>
      <c r="CM25" s="45">
        <v>709.88</v>
      </c>
      <c r="CN25" s="45">
        <v>713.64499999999998</v>
      </c>
      <c r="CO25" s="45">
        <v>717.63800000000003</v>
      </c>
      <c r="CP25" s="45">
        <v>722.52099999999996</v>
      </c>
      <c r="CQ25" s="45">
        <v>726.40300000000002</v>
      </c>
      <c r="CR25" s="45">
        <v>731.49099999999999</v>
      </c>
      <c r="CS25" s="49">
        <v>735.44</v>
      </c>
      <c r="CT25" s="45">
        <v>739.53399999999999</v>
      </c>
      <c r="CU25" s="45">
        <v>743.27599999999995</v>
      </c>
      <c r="CV25" s="45">
        <v>748.59100000000001</v>
      </c>
      <c r="CW25" s="45">
        <v>752.03300000000002</v>
      </c>
      <c r="CX25" s="45">
        <v>755.48900000000003</v>
      </c>
      <c r="CY25" s="45">
        <v>760.27200000000005</v>
      </c>
      <c r="CZ25" s="45">
        <v>764.60799999999995</v>
      </c>
      <c r="DA25" s="45">
        <v>769.83699999999999</v>
      </c>
      <c r="DB25" s="45">
        <v>774.35</v>
      </c>
      <c r="DC25" s="45">
        <v>779.40599999999995</v>
      </c>
      <c r="DD25" s="45">
        <v>784.40300000000002</v>
      </c>
      <c r="DE25" s="49">
        <v>790.09299999999996</v>
      </c>
      <c r="DF25" s="45">
        <v>796.42</v>
      </c>
      <c r="DG25" s="45">
        <v>806.48</v>
      </c>
      <c r="DH25" s="45">
        <v>845.21799999999996</v>
      </c>
      <c r="DI25" s="45">
        <v>846.76900000000001</v>
      </c>
      <c r="DJ25" s="45">
        <v>848.37199999999996</v>
      </c>
      <c r="DK25" s="45">
        <v>850.38900000000001</v>
      </c>
      <c r="DL25" s="45">
        <v>852.70500000000004</v>
      </c>
      <c r="DM25" s="45">
        <v>856.00599999999997</v>
      </c>
      <c r="DN25" s="45">
        <v>859.39499999999998</v>
      </c>
      <c r="DO25" s="45">
        <v>862.67</v>
      </c>
      <c r="DP25" s="45">
        <v>866.30100000000004</v>
      </c>
      <c r="DQ25" s="49">
        <v>868.66600000000005</v>
      </c>
      <c r="DR25" s="45">
        <v>872.21299999999997</v>
      </c>
      <c r="DS25" s="45">
        <v>875.90800000000002</v>
      </c>
      <c r="DT25" s="45">
        <v>881.51800000000003</v>
      </c>
      <c r="DU25" s="45">
        <v>882.77200000000005</v>
      </c>
      <c r="DV25" s="45">
        <v>883.79100000000005</v>
      </c>
      <c r="DW25" s="45">
        <v>886.47199999999998</v>
      </c>
      <c r="DX25" s="45">
        <v>889.66</v>
      </c>
      <c r="DY25" s="45">
        <v>892.24199999999996</v>
      </c>
      <c r="DZ25" s="45">
        <v>896.4</v>
      </c>
      <c r="EA25" s="45">
        <v>900.16300000000001</v>
      </c>
      <c r="EB25" s="45">
        <v>904.41800000000001</v>
      </c>
      <c r="EC25" s="49">
        <v>907.36800000000005</v>
      </c>
      <c r="ED25" s="45">
        <v>910.36500000000001</v>
      </c>
      <c r="EE25" s="45">
        <v>913.83799999999997</v>
      </c>
      <c r="EF25" s="45">
        <v>918.64099999999996</v>
      </c>
      <c r="EG25" s="45">
        <v>922.44500000000005</v>
      </c>
      <c r="EH25" s="45">
        <v>926.274</v>
      </c>
      <c r="EI25" s="45">
        <v>929.71900000000005</v>
      </c>
      <c r="EJ25" s="45">
        <v>934.47299999999996</v>
      </c>
      <c r="EK25" s="45">
        <v>939.697</v>
      </c>
      <c r="EL25" s="45">
        <v>945.05100000000004</v>
      </c>
      <c r="EM25" s="45">
        <v>950.11300000000006</v>
      </c>
      <c r="EN25" s="45">
        <v>956.65499999999997</v>
      </c>
      <c r="EO25" s="82">
        <v>960.08199999999999</v>
      </c>
      <c r="EP25" s="45">
        <v>964.83900000000006</v>
      </c>
      <c r="EQ25" s="45">
        <v>970.10299999999995</v>
      </c>
      <c r="ER25" s="45">
        <v>978.14599999999996</v>
      </c>
      <c r="ES25" s="45">
        <v>984.10199999999998</v>
      </c>
      <c r="ET25" s="45">
        <v>992.37699999999995</v>
      </c>
      <c r="EU25" s="45">
        <v>999.51800000000003</v>
      </c>
      <c r="EV25" s="45">
        <v>1007.062</v>
      </c>
      <c r="EW25" s="45">
        <v>1015.46</v>
      </c>
      <c r="EX25" s="45">
        <v>1023.958</v>
      </c>
      <c r="EY25" s="45">
        <v>1033.123</v>
      </c>
      <c r="EZ25" s="45">
        <v>1044.0229999999999</v>
      </c>
      <c r="FA25" s="82">
        <v>1052.23</v>
      </c>
      <c r="FB25" s="45">
        <v>1062.9369999999999</v>
      </c>
      <c r="FC25" s="45">
        <v>1076.4059999999999</v>
      </c>
      <c r="FD25" s="45">
        <v>1092.5360000000001</v>
      </c>
      <c r="FE25" s="45">
        <v>1106.6659999999999</v>
      </c>
      <c r="FF25" s="45">
        <v>1124.5160000000001</v>
      </c>
      <c r="FG25" s="45">
        <v>1145.002</v>
      </c>
      <c r="FH25" s="45">
        <v>1162.1600000000001</v>
      </c>
      <c r="FI25" s="45">
        <v>1179.3610000000001</v>
      </c>
      <c r="FJ25" s="45">
        <v>1198.623</v>
      </c>
      <c r="FK25" s="45">
        <v>1215.452</v>
      </c>
      <c r="FL25" s="45">
        <v>1232.577</v>
      </c>
      <c r="FM25" s="155">
        <v>1243.2270000000001</v>
      </c>
      <c r="FN25" s="69">
        <v>1258.175</v>
      </c>
      <c r="FO25" s="178">
        <v>1271.7670000000001</v>
      </c>
      <c r="FP25" s="178">
        <v>1287.646</v>
      </c>
      <c r="FQ25" s="178">
        <v>1303.779</v>
      </c>
      <c r="FR25" s="178">
        <v>1322.2149999999999</v>
      </c>
      <c r="FS25" s="178">
        <v>1339.499</v>
      </c>
      <c r="FT25" s="178">
        <v>1358.4079999999999</v>
      </c>
      <c r="FU25" s="178">
        <v>1376.3150000000001</v>
      </c>
      <c r="FV25" s="178">
        <v>1393.66</v>
      </c>
      <c r="FW25" s="178">
        <v>1411.38</v>
      </c>
      <c r="FX25" s="178">
        <v>1429.74</v>
      </c>
      <c r="FY25" s="180">
        <v>1442.2380000000001</v>
      </c>
      <c r="FZ25" s="178">
        <v>1459.4559999999999</v>
      </c>
      <c r="GA25" s="178">
        <v>1479.9870000000001</v>
      </c>
      <c r="GB25" s="178">
        <v>1502.1179999999999</v>
      </c>
      <c r="GC25" s="178">
        <v>1523.2760000000001</v>
      </c>
      <c r="GD25" s="178">
        <v>1546.634</v>
      </c>
      <c r="GE25" s="178">
        <v>1568.769</v>
      </c>
      <c r="GF25" s="178">
        <v>1592.6369999999999</v>
      </c>
      <c r="GG25" s="178">
        <v>1614.2809999999999</v>
      </c>
      <c r="GH25" s="178">
        <v>1638.932</v>
      </c>
      <c r="GI25" s="178">
        <v>1663.3050000000001</v>
      </c>
      <c r="GJ25" s="178">
        <v>1684.5219999999999</v>
      </c>
      <c r="GK25" s="180">
        <v>1702.682</v>
      </c>
      <c r="GL25" s="178">
        <v>1723.607</v>
      </c>
      <c r="GM25" s="178">
        <v>1747.9849999999999</v>
      </c>
      <c r="GN25" s="178">
        <v>1778.8240000000001</v>
      </c>
      <c r="GO25" s="178">
        <v>1806.123</v>
      </c>
      <c r="GP25" s="178">
        <v>1827.288</v>
      </c>
      <c r="GQ25" s="178">
        <v>1857.7550000000001</v>
      </c>
    </row>
    <row r="26" spans="1:200" s="1" customFormat="1" ht="20.149999999999999" customHeight="1" x14ac:dyDescent="0.35">
      <c r="A26" s="31" t="s">
        <v>1627</v>
      </c>
      <c r="B26" s="45">
        <v>1.133</v>
      </c>
      <c r="C26" s="45">
        <v>1.133</v>
      </c>
      <c r="D26" s="45">
        <v>1.133</v>
      </c>
      <c r="E26" s="45">
        <v>1.133</v>
      </c>
      <c r="F26" s="45">
        <v>1.3009999999999999</v>
      </c>
      <c r="G26" s="45">
        <v>2.101</v>
      </c>
      <c r="H26" s="45">
        <v>2.2509999999999999</v>
      </c>
      <c r="I26" s="45">
        <v>2.2509999999999999</v>
      </c>
      <c r="J26" s="45">
        <v>2.2509999999999999</v>
      </c>
      <c r="K26" s="45">
        <v>2.6989999999999998</v>
      </c>
      <c r="L26" s="45">
        <v>2.75</v>
      </c>
      <c r="M26" s="49">
        <v>2.8969999999999998</v>
      </c>
      <c r="N26" s="50">
        <v>2.8969999999999998</v>
      </c>
      <c r="O26" s="45">
        <v>3.4209999999999998</v>
      </c>
      <c r="P26" s="45">
        <v>4.2380000000000004</v>
      </c>
      <c r="Q26" s="45">
        <v>10.138999999999999</v>
      </c>
      <c r="R26" s="45">
        <v>11.798</v>
      </c>
      <c r="S26" s="45">
        <v>17.247</v>
      </c>
      <c r="T26" s="45">
        <v>139.82599999999999</v>
      </c>
      <c r="U26" s="45">
        <v>140.78100000000001</v>
      </c>
      <c r="V26" s="45">
        <v>156.404</v>
      </c>
      <c r="W26" s="45">
        <v>212.83099999999999</v>
      </c>
      <c r="X26" s="45">
        <v>214.464</v>
      </c>
      <c r="Y26" s="49">
        <v>222.828</v>
      </c>
      <c r="Z26" s="50">
        <v>222.98699999999999</v>
      </c>
      <c r="AA26" s="45">
        <v>226.87100000000001</v>
      </c>
      <c r="AB26" s="45">
        <v>237.54900000000001</v>
      </c>
      <c r="AC26" s="45">
        <v>238.36199999999999</v>
      </c>
      <c r="AD26" s="45">
        <v>239.48400000000001</v>
      </c>
      <c r="AE26" s="45">
        <v>255.54900000000001</v>
      </c>
      <c r="AF26" s="45">
        <v>332.488</v>
      </c>
      <c r="AG26" s="45">
        <v>335.31599999999997</v>
      </c>
      <c r="AH26" s="45">
        <v>336.98399999999998</v>
      </c>
      <c r="AI26" s="45">
        <v>340.91500000000002</v>
      </c>
      <c r="AJ26" s="45">
        <v>350.21899999999999</v>
      </c>
      <c r="AK26" s="49">
        <v>352.34800000000001</v>
      </c>
      <c r="AL26" s="50">
        <v>358.19799999999998</v>
      </c>
      <c r="AM26" s="45">
        <v>362.66199999999998</v>
      </c>
      <c r="AN26" s="45">
        <v>465.64400000000001</v>
      </c>
      <c r="AO26" s="45">
        <v>492.17200000000003</v>
      </c>
      <c r="AP26" s="45">
        <v>503.91</v>
      </c>
      <c r="AQ26" s="45">
        <v>518.42899999999997</v>
      </c>
      <c r="AR26" s="45">
        <v>533.10599999999999</v>
      </c>
      <c r="AS26" s="45">
        <v>550.12099999999998</v>
      </c>
      <c r="AT26" s="45">
        <v>560.89599999999996</v>
      </c>
      <c r="AU26" s="45">
        <v>573.43600000000004</v>
      </c>
      <c r="AV26" s="45">
        <v>581.77800000000002</v>
      </c>
      <c r="AW26" s="49">
        <v>597.53800000000001</v>
      </c>
      <c r="AX26" s="45">
        <v>611.97</v>
      </c>
      <c r="AY26" s="45">
        <v>631.83399999999995</v>
      </c>
      <c r="AZ26" s="45">
        <v>723.92499999999995</v>
      </c>
      <c r="BA26" s="45">
        <v>739.09699999999998</v>
      </c>
      <c r="BB26" s="45">
        <v>757.50099999999998</v>
      </c>
      <c r="BC26" s="45">
        <v>798.96</v>
      </c>
      <c r="BD26" s="45">
        <v>818.67499999999995</v>
      </c>
      <c r="BE26" s="45">
        <v>834.55799999999999</v>
      </c>
      <c r="BF26" s="45">
        <v>851.37699999999995</v>
      </c>
      <c r="BG26" s="45">
        <v>868.09500000000003</v>
      </c>
      <c r="BH26" s="45">
        <v>886.57600000000002</v>
      </c>
      <c r="BI26" s="49">
        <v>928.45</v>
      </c>
      <c r="BJ26" s="45">
        <v>939.26199999999994</v>
      </c>
      <c r="BK26" s="45">
        <v>958.29899999999998</v>
      </c>
      <c r="BL26" s="45">
        <v>1079.3620000000001</v>
      </c>
      <c r="BM26" s="45">
        <v>1089.9069999999999</v>
      </c>
      <c r="BN26" s="45">
        <v>1116.3689999999999</v>
      </c>
      <c r="BO26" s="45">
        <v>1181.6859999999999</v>
      </c>
      <c r="BP26" s="45">
        <v>1211.729</v>
      </c>
      <c r="BQ26" s="45">
        <v>1249.5809999999999</v>
      </c>
      <c r="BR26" s="45">
        <v>1295.8810000000001</v>
      </c>
      <c r="BS26" s="45">
        <v>1373.204</v>
      </c>
      <c r="BT26" s="45">
        <v>1457.037</v>
      </c>
      <c r="BU26" s="49">
        <v>1957.7750000000001</v>
      </c>
      <c r="BV26" s="45">
        <v>2027.3309999999999</v>
      </c>
      <c r="BW26" s="45">
        <v>2088.5410000000002</v>
      </c>
      <c r="BX26" s="45">
        <v>2606.6970000000001</v>
      </c>
      <c r="BY26" s="45">
        <v>2651.7359999999999</v>
      </c>
      <c r="BZ26" s="45">
        <v>2688.4609999999998</v>
      </c>
      <c r="CA26" s="45">
        <v>2846.585</v>
      </c>
      <c r="CB26" s="45">
        <v>2861.0590000000002</v>
      </c>
      <c r="CC26" s="45">
        <v>2889.5639999999999</v>
      </c>
      <c r="CD26" s="45">
        <v>2916.7820000000002</v>
      </c>
      <c r="CE26" s="45">
        <v>2942.7649999999999</v>
      </c>
      <c r="CF26" s="45">
        <v>2973.8</v>
      </c>
      <c r="CG26" s="49">
        <v>3014.3209999999999</v>
      </c>
      <c r="CH26" s="45">
        <v>3023.5320000000002</v>
      </c>
      <c r="CI26" s="45">
        <v>3076.1689999999999</v>
      </c>
      <c r="CJ26" s="45">
        <v>3442.9929999999999</v>
      </c>
      <c r="CK26" s="45">
        <v>3452.9189999999999</v>
      </c>
      <c r="CL26" s="45">
        <v>3459.654</v>
      </c>
      <c r="CM26" s="45">
        <v>3464.8809999999999</v>
      </c>
      <c r="CN26" s="45">
        <v>3474.163</v>
      </c>
      <c r="CO26" s="45">
        <v>3479.6219999999998</v>
      </c>
      <c r="CP26" s="45">
        <v>3483.1959999999999</v>
      </c>
      <c r="CQ26" s="45">
        <v>3485.6370000000002</v>
      </c>
      <c r="CR26" s="45">
        <v>3487.5569999999998</v>
      </c>
      <c r="CS26" s="49">
        <v>3488.692</v>
      </c>
      <c r="CT26" s="45">
        <v>3490.3359999999998</v>
      </c>
      <c r="CU26" s="45">
        <v>3491.0920000000001</v>
      </c>
      <c r="CV26" s="45">
        <v>3504.38</v>
      </c>
      <c r="CW26" s="45">
        <v>3507.1640000000002</v>
      </c>
      <c r="CX26" s="45">
        <v>3511.39</v>
      </c>
      <c r="CY26" s="45">
        <v>3517.8969999999999</v>
      </c>
      <c r="CZ26" s="45">
        <v>3520.62</v>
      </c>
      <c r="DA26" s="45">
        <v>3523.1210000000001</v>
      </c>
      <c r="DB26" s="45">
        <v>3525.5360000000001</v>
      </c>
      <c r="DC26" s="45">
        <v>3527.6329999999998</v>
      </c>
      <c r="DD26" s="45">
        <v>3536.6149999999998</v>
      </c>
      <c r="DE26" s="49">
        <v>3543.9189999999999</v>
      </c>
      <c r="DF26" s="45">
        <v>3546.8890000000001</v>
      </c>
      <c r="DG26" s="45">
        <v>3550.4760000000001</v>
      </c>
      <c r="DH26" s="45">
        <v>3554.5680000000002</v>
      </c>
      <c r="DI26" s="45">
        <v>3567.223</v>
      </c>
      <c r="DJ26" s="45">
        <v>3567.931</v>
      </c>
      <c r="DK26" s="45">
        <v>3570.1759999999999</v>
      </c>
      <c r="DL26" s="45">
        <v>3572.7669999999998</v>
      </c>
      <c r="DM26" s="45">
        <v>3579.5279999999998</v>
      </c>
      <c r="DN26" s="45">
        <v>3594.4059999999999</v>
      </c>
      <c r="DO26" s="45">
        <v>3595.54</v>
      </c>
      <c r="DP26" s="45">
        <v>3596.3</v>
      </c>
      <c r="DQ26" s="49">
        <v>3597.9259999999999</v>
      </c>
      <c r="DR26" s="45">
        <v>3606.6759999999999</v>
      </c>
      <c r="DS26" s="45">
        <v>3607.2759999999998</v>
      </c>
      <c r="DT26" s="45">
        <v>3609.6640000000002</v>
      </c>
      <c r="DU26" s="45">
        <v>3611.1149999999998</v>
      </c>
      <c r="DV26" s="45">
        <v>3611.3690000000001</v>
      </c>
      <c r="DW26" s="45">
        <v>3611.5189999999998</v>
      </c>
      <c r="DX26" s="45">
        <v>3618.3690000000001</v>
      </c>
      <c r="DY26" s="45">
        <v>3619.2190000000001</v>
      </c>
      <c r="DZ26" s="45">
        <v>3619.7190000000001</v>
      </c>
      <c r="EA26" s="45">
        <v>3623.6689999999999</v>
      </c>
      <c r="EB26" s="45">
        <v>3625.6190000000001</v>
      </c>
      <c r="EC26" s="49">
        <v>3628.9690000000001</v>
      </c>
      <c r="ED26" s="45">
        <v>3629.5439999999999</v>
      </c>
      <c r="EE26" s="45">
        <v>3631.3440000000001</v>
      </c>
      <c r="EF26" s="45">
        <v>3631.8939999999998</v>
      </c>
      <c r="EG26" s="45">
        <v>3632.2440000000001</v>
      </c>
      <c r="EH26" s="45">
        <v>3633.3939999999998</v>
      </c>
      <c r="EI26" s="45">
        <v>3634.7939999999999</v>
      </c>
      <c r="EJ26" s="45">
        <v>3640.9140000000002</v>
      </c>
      <c r="EK26" s="45">
        <v>3642.4929999999999</v>
      </c>
      <c r="EL26" s="45">
        <v>3649.6880000000001</v>
      </c>
      <c r="EM26" s="45">
        <v>3653.5529999999999</v>
      </c>
      <c r="EN26" s="45">
        <v>3656.0529999999999</v>
      </c>
      <c r="EO26" s="82">
        <v>3660.2370000000001</v>
      </c>
      <c r="EP26" s="45">
        <v>3680.3910000000001</v>
      </c>
      <c r="EQ26" s="45">
        <v>3683.866</v>
      </c>
      <c r="ER26" s="45">
        <v>3695.4380000000001</v>
      </c>
      <c r="ES26" s="45">
        <v>3702.8</v>
      </c>
      <c r="ET26" s="45">
        <v>3710.1790000000001</v>
      </c>
      <c r="EU26" s="45">
        <v>3713.8029999999999</v>
      </c>
      <c r="EV26" s="45">
        <v>3720.6410000000001</v>
      </c>
      <c r="EW26" s="45">
        <v>3722.002</v>
      </c>
      <c r="EX26" s="45">
        <v>3725.4250000000002</v>
      </c>
      <c r="EY26" s="45">
        <v>3731.337</v>
      </c>
      <c r="EZ26" s="45">
        <v>3736.4650000000001</v>
      </c>
      <c r="FA26" s="82">
        <v>3744.2020000000002</v>
      </c>
      <c r="FB26" s="45">
        <v>3747.1480000000001</v>
      </c>
      <c r="FC26" s="45">
        <v>3754.9029999999998</v>
      </c>
      <c r="FD26" s="45">
        <v>3768.9850000000001</v>
      </c>
      <c r="FE26" s="45">
        <v>3773.4430000000002</v>
      </c>
      <c r="FF26" s="45">
        <v>3778.4659999999999</v>
      </c>
      <c r="FG26" s="45">
        <v>3788.268</v>
      </c>
      <c r="FH26" s="45">
        <v>3795.9670000000001</v>
      </c>
      <c r="FI26" s="45">
        <v>3801.95</v>
      </c>
      <c r="FJ26" s="45">
        <v>3810.3209999999999</v>
      </c>
      <c r="FK26" s="45">
        <v>3821.9670000000001</v>
      </c>
      <c r="FL26" s="45">
        <v>3827.9929999999999</v>
      </c>
      <c r="FM26" s="155">
        <v>3831.625</v>
      </c>
      <c r="FN26" s="69">
        <v>3844.4110000000001</v>
      </c>
      <c r="FO26" s="178">
        <v>3849.6309999999999</v>
      </c>
      <c r="FP26" s="178">
        <v>3860.6550000000002</v>
      </c>
      <c r="FQ26" s="178">
        <v>3863.6350000000002</v>
      </c>
      <c r="FR26" s="178">
        <v>3871.7330000000002</v>
      </c>
      <c r="FS26" s="178">
        <v>3878.933</v>
      </c>
      <c r="FT26" s="178">
        <v>3887.9259999999999</v>
      </c>
      <c r="FU26" s="178">
        <v>3891.6950000000002</v>
      </c>
      <c r="FV26" s="178">
        <v>3895.3870000000002</v>
      </c>
      <c r="FW26" s="178">
        <v>3900.654</v>
      </c>
      <c r="FX26" s="178">
        <v>3905.7939999999999</v>
      </c>
      <c r="FY26" s="180">
        <v>3907.011</v>
      </c>
      <c r="FZ26" s="178">
        <v>3909.0369999999998</v>
      </c>
      <c r="GA26" s="178">
        <v>3911.875</v>
      </c>
      <c r="GB26" s="178">
        <v>3915.5070000000001</v>
      </c>
      <c r="GC26" s="178">
        <v>3918.5219999999999</v>
      </c>
      <c r="GD26" s="178">
        <v>3925.6729999999998</v>
      </c>
      <c r="GE26" s="178">
        <v>3930.6089999999999</v>
      </c>
      <c r="GF26" s="178">
        <v>3943.915</v>
      </c>
      <c r="GG26" s="178">
        <v>3948.5920000000001</v>
      </c>
      <c r="GH26" s="178">
        <v>3952.902</v>
      </c>
      <c r="GI26" s="178">
        <v>3960.5120000000002</v>
      </c>
      <c r="GJ26" s="178">
        <v>3967.7170000000001</v>
      </c>
      <c r="GK26" s="180">
        <v>3981.817</v>
      </c>
      <c r="GL26" s="178">
        <v>3984.5659999999998</v>
      </c>
      <c r="GM26" s="178">
        <v>3986.7449999999999</v>
      </c>
      <c r="GN26" s="178">
        <v>3988.8449999999998</v>
      </c>
      <c r="GO26" s="178">
        <v>3990.2950000000001</v>
      </c>
      <c r="GP26" s="178">
        <v>3991.0450000000001</v>
      </c>
      <c r="GQ26" s="178">
        <v>3992.4949999999999</v>
      </c>
    </row>
    <row r="27" spans="1:200" s="1" customFormat="1" ht="20.149999999999999" customHeight="1" x14ac:dyDescent="0.35">
      <c r="A27" s="31" t="s">
        <v>1624</v>
      </c>
      <c r="B27" s="45">
        <v>0</v>
      </c>
      <c r="C27" s="45">
        <v>0</v>
      </c>
      <c r="D27" s="45">
        <v>0</v>
      </c>
      <c r="E27" s="45">
        <v>0</v>
      </c>
      <c r="F27" s="45">
        <v>0</v>
      </c>
      <c r="G27" s="45">
        <v>0</v>
      </c>
      <c r="H27" s="45">
        <v>0</v>
      </c>
      <c r="I27" s="45">
        <v>0</v>
      </c>
      <c r="J27" s="45">
        <v>0</v>
      </c>
      <c r="K27" s="45">
        <v>0</v>
      </c>
      <c r="L27" s="45">
        <v>0</v>
      </c>
      <c r="M27" s="49">
        <v>0</v>
      </c>
      <c r="N27" s="50">
        <v>0</v>
      </c>
      <c r="O27" s="45">
        <v>0</v>
      </c>
      <c r="P27" s="45">
        <v>0</v>
      </c>
      <c r="Q27" s="45">
        <v>0</v>
      </c>
      <c r="R27" s="45">
        <v>0</v>
      </c>
      <c r="S27" s="45">
        <v>0</v>
      </c>
      <c r="T27" s="45">
        <v>0</v>
      </c>
      <c r="U27" s="45">
        <v>0</v>
      </c>
      <c r="V27" s="45">
        <v>0</v>
      </c>
      <c r="W27" s="45">
        <v>0</v>
      </c>
      <c r="X27" s="45">
        <v>0</v>
      </c>
      <c r="Y27" s="49">
        <v>0</v>
      </c>
      <c r="Z27" s="50">
        <v>6</v>
      </c>
      <c r="AA27" s="45">
        <v>6</v>
      </c>
      <c r="AB27" s="45">
        <v>6</v>
      </c>
      <c r="AC27" s="45">
        <v>6</v>
      </c>
      <c r="AD27" s="45">
        <v>6</v>
      </c>
      <c r="AE27" s="45">
        <v>6</v>
      </c>
      <c r="AF27" s="45">
        <v>6</v>
      </c>
      <c r="AG27" s="45">
        <v>6</v>
      </c>
      <c r="AH27" s="45">
        <v>6</v>
      </c>
      <c r="AI27" s="45">
        <v>6</v>
      </c>
      <c r="AJ27" s="45">
        <v>6</v>
      </c>
      <c r="AK27" s="49">
        <v>6</v>
      </c>
      <c r="AL27" s="50">
        <v>6</v>
      </c>
      <c r="AM27" s="45">
        <v>45.012</v>
      </c>
      <c r="AN27" s="45">
        <v>272.49900000000002</v>
      </c>
      <c r="AO27" s="45">
        <v>272.49900000000002</v>
      </c>
      <c r="AP27" s="45">
        <v>296.28300000000002</v>
      </c>
      <c r="AQ27" s="45">
        <v>349.51299999999998</v>
      </c>
      <c r="AR27" s="45">
        <v>349.51299999999998</v>
      </c>
      <c r="AS27" s="45">
        <v>368.68799999999999</v>
      </c>
      <c r="AT27" s="45">
        <v>368.68799999999999</v>
      </c>
      <c r="AU27" s="45">
        <v>368.68799999999999</v>
      </c>
      <c r="AV27" s="45">
        <v>423.68799999999999</v>
      </c>
      <c r="AW27" s="49">
        <v>445.23200000000003</v>
      </c>
      <c r="AX27" s="45">
        <v>522.36</v>
      </c>
      <c r="AY27" s="45">
        <v>554.51599999999996</v>
      </c>
      <c r="AZ27" s="45">
        <v>1400.913</v>
      </c>
      <c r="BA27" s="45">
        <v>1409.904</v>
      </c>
      <c r="BB27" s="45">
        <v>1460.3620000000001</v>
      </c>
      <c r="BC27" s="45">
        <v>1515.2339999999999</v>
      </c>
      <c r="BD27" s="45">
        <v>1588.1410000000001</v>
      </c>
      <c r="BE27" s="45">
        <v>1594.2139999999999</v>
      </c>
      <c r="BF27" s="45">
        <v>1661.1849999999999</v>
      </c>
      <c r="BG27" s="45">
        <v>1701.164</v>
      </c>
      <c r="BH27" s="45">
        <v>1774.3140000000001</v>
      </c>
      <c r="BI27" s="49">
        <v>1893.9839999999999</v>
      </c>
      <c r="BJ27" s="45">
        <v>1953.204</v>
      </c>
      <c r="BK27" s="45">
        <v>2058.9949999999999</v>
      </c>
      <c r="BL27" s="45">
        <v>3596.6210000000001</v>
      </c>
      <c r="BM27" s="45">
        <v>3596.6210000000001</v>
      </c>
      <c r="BN27" s="45">
        <v>3596.6210000000001</v>
      </c>
      <c r="BO27" s="45">
        <v>3602.241</v>
      </c>
      <c r="BP27" s="45">
        <v>3613.2919999999999</v>
      </c>
      <c r="BQ27" s="45">
        <v>3647.6060000000002</v>
      </c>
      <c r="BR27" s="45">
        <v>3647.6060000000002</v>
      </c>
      <c r="BS27" s="45">
        <v>3678.098</v>
      </c>
      <c r="BT27" s="45">
        <v>3720.444</v>
      </c>
      <c r="BU27" s="49">
        <v>3775.3470000000002</v>
      </c>
      <c r="BV27" s="45">
        <v>3802.4180000000001</v>
      </c>
      <c r="BW27" s="45">
        <v>3835.288</v>
      </c>
      <c r="BX27" s="45">
        <v>4065.373</v>
      </c>
      <c r="BY27" s="45">
        <v>4081.1179999999999</v>
      </c>
      <c r="BZ27" s="45">
        <v>4081.1179999999999</v>
      </c>
      <c r="CA27" s="45">
        <v>4126.9589999999998</v>
      </c>
      <c r="CB27" s="45">
        <v>4141.5590000000002</v>
      </c>
      <c r="CC27" s="45">
        <v>4160.9589999999998</v>
      </c>
      <c r="CD27" s="45">
        <v>4160.9589999999998</v>
      </c>
      <c r="CE27" s="45">
        <v>4165.9589999999998</v>
      </c>
      <c r="CF27" s="45">
        <v>4165.9589999999998</v>
      </c>
      <c r="CG27" s="49">
        <v>4190.9589999999998</v>
      </c>
      <c r="CH27" s="45">
        <v>4212.9589999999998</v>
      </c>
      <c r="CI27" s="45">
        <v>4244.4399999999996</v>
      </c>
      <c r="CJ27" s="45">
        <v>4378.28</v>
      </c>
      <c r="CK27" s="45">
        <v>4378.28</v>
      </c>
      <c r="CL27" s="45">
        <v>4378.28</v>
      </c>
      <c r="CM27" s="45">
        <v>4378.28</v>
      </c>
      <c r="CN27" s="45">
        <v>4386.82</v>
      </c>
      <c r="CO27" s="45">
        <v>4386.82</v>
      </c>
      <c r="CP27" s="45">
        <v>4386.82</v>
      </c>
      <c r="CQ27" s="45">
        <v>4397.5200000000004</v>
      </c>
      <c r="CR27" s="45">
        <v>4397.5200000000004</v>
      </c>
      <c r="CS27" s="49">
        <v>4409.4799999999996</v>
      </c>
      <c r="CT27" s="45">
        <v>4409.4799999999996</v>
      </c>
      <c r="CU27" s="45">
        <v>4415.9799999999996</v>
      </c>
      <c r="CV27" s="45">
        <v>4430.1819999999998</v>
      </c>
      <c r="CW27" s="45">
        <v>4443.1819999999998</v>
      </c>
      <c r="CX27" s="45">
        <v>4449.6819999999998</v>
      </c>
      <c r="CY27" s="45">
        <v>4449.6819999999998</v>
      </c>
      <c r="CZ27" s="45">
        <v>4449.6819999999998</v>
      </c>
      <c r="DA27" s="45">
        <v>4449.6819999999998</v>
      </c>
      <c r="DB27" s="45">
        <v>4449.6819999999998</v>
      </c>
      <c r="DC27" s="45">
        <v>4457.1819999999998</v>
      </c>
      <c r="DD27" s="45">
        <v>4457.1819999999998</v>
      </c>
      <c r="DE27" s="49">
        <v>4462.1819999999998</v>
      </c>
      <c r="DF27" s="45">
        <v>4462.1819999999998</v>
      </c>
      <c r="DG27" s="45">
        <v>4462.1819999999998</v>
      </c>
      <c r="DH27" s="45">
        <v>4462.1819999999998</v>
      </c>
      <c r="DI27" s="45">
        <v>4462.1819999999998</v>
      </c>
      <c r="DJ27" s="45">
        <v>4462.1819999999998</v>
      </c>
      <c r="DK27" s="45">
        <v>4462.1819999999998</v>
      </c>
      <c r="DL27" s="45">
        <v>4469.3819999999996</v>
      </c>
      <c r="DM27" s="45">
        <v>4469.3819999999996</v>
      </c>
      <c r="DN27" s="45">
        <v>4469.3819999999996</v>
      </c>
      <c r="DO27" s="45">
        <v>4469.3819999999996</v>
      </c>
      <c r="DP27" s="45">
        <v>4469.3819999999996</v>
      </c>
      <c r="DQ27" s="49">
        <v>4469.3819999999996</v>
      </c>
      <c r="DR27" s="45">
        <v>4488.6899999999996</v>
      </c>
      <c r="DS27" s="45">
        <v>4493.6899999999996</v>
      </c>
      <c r="DT27" s="45">
        <v>4493.6899999999996</v>
      </c>
      <c r="DU27" s="45">
        <v>4493.6899999999996</v>
      </c>
      <c r="DV27" s="45">
        <v>4502.59</v>
      </c>
      <c r="DW27" s="45">
        <v>4502.59</v>
      </c>
      <c r="DX27" s="45">
        <v>4502.59</v>
      </c>
      <c r="DY27" s="45">
        <v>4507.59</v>
      </c>
      <c r="DZ27" s="45">
        <v>4507.59</v>
      </c>
      <c r="EA27" s="45">
        <v>4507.59</v>
      </c>
      <c r="EB27" s="45">
        <v>4507.59</v>
      </c>
      <c r="EC27" s="49">
        <v>4519.6149999999998</v>
      </c>
      <c r="ED27" s="45">
        <v>4527.6149999999998</v>
      </c>
      <c r="EE27" s="45">
        <v>4527.6149999999998</v>
      </c>
      <c r="EF27" s="45">
        <v>4535.6149999999998</v>
      </c>
      <c r="EG27" s="45">
        <v>4535.6149999999998</v>
      </c>
      <c r="EH27" s="45">
        <v>4542.6149999999998</v>
      </c>
      <c r="EI27" s="45">
        <v>4556.6149999999998</v>
      </c>
      <c r="EJ27" s="45">
        <v>4556.6149999999998</v>
      </c>
      <c r="EK27" s="45">
        <v>4556.6149999999998</v>
      </c>
      <c r="EL27" s="45">
        <v>4556.6149999999998</v>
      </c>
      <c r="EM27" s="45">
        <v>4556.6149999999998</v>
      </c>
      <c r="EN27" s="45">
        <v>4556.6149999999998</v>
      </c>
      <c r="EO27" s="82">
        <v>4556.6149999999998</v>
      </c>
      <c r="EP27" s="45">
        <v>4599.2420000000002</v>
      </c>
      <c r="EQ27" s="45">
        <v>4599.2420000000002</v>
      </c>
      <c r="ER27" s="45">
        <v>4599.2420000000002</v>
      </c>
      <c r="ES27" s="45">
        <v>4599.2420000000002</v>
      </c>
      <c r="ET27" s="45">
        <v>4604.2420000000002</v>
      </c>
      <c r="EU27" s="45">
        <v>4604.2420000000002</v>
      </c>
      <c r="EV27" s="45">
        <v>4619.4120000000003</v>
      </c>
      <c r="EW27" s="45">
        <v>4619.4120000000003</v>
      </c>
      <c r="EX27" s="45">
        <v>4637.4120000000003</v>
      </c>
      <c r="EY27" s="45">
        <v>4680.4120000000003</v>
      </c>
      <c r="EZ27" s="45">
        <v>4680.4120000000003</v>
      </c>
      <c r="FA27" s="82">
        <v>4698.6419999999998</v>
      </c>
      <c r="FB27" s="45">
        <v>4769.9920000000002</v>
      </c>
      <c r="FC27" s="45">
        <v>4820.6980000000003</v>
      </c>
      <c r="FD27" s="45">
        <v>4858.348</v>
      </c>
      <c r="FE27" s="45">
        <v>4863.348</v>
      </c>
      <c r="FF27" s="45">
        <v>4885.1980000000003</v>
      </c>
      <c r="FG27" s="45">
        <v>4905.1980000000003</v>
      </c>
      <c r="FH27" s="45">
        <v>4905.1980000000003</v>
      </c>
      <c r="FI27" s="45">
        <v>4905.1980000000003</v>
      </c>
      <c r="FJ27" s="45">
        <v>4914.8879999999999</v>
      </c>
      <c r="FK27" s="45">
        <v>4952.0379999999996</v>
      </c>
      <c r="FL27" s="45">
        <v>4990.9380000000001</v>
      </c>
      <c r="FM27" s="155">
        <v>4990.9380000000001</v>
      </c>
      <c r="FN27" s="69">
        <v>5027.7129999999997</v>
      </c>
      <c r="FO27" s="178">
        <v>5027.7129999999997</v>
      </c>
      <c r="FP27" s="178">
        <v>5080.4470000000001</v>
      </c>
      <c r="FQ27" s="178">
        <v>5080.4470000000001</v>
      </c>
      <c r="FR27" s="178">
        <v>5080.4470000000001</v>
      </c>
      <c r="FS27" s="178">
        <v>5123.8370000000004</v>
      </c>
      <c r="FT27" s="178">
        <v>5123.8370000000004</v>
      </c>
      <c r="FU27" s="178">
        <v>5123.8370000000004</v>
      </c>
      <c r="FV27" s="178">
        <v>5123.8370000000004</v>
      </c>
      <c r="FW27" s="178">
        <v>5147.0690000000004</v>
      </c>
      <c r="FX27" s="178">
        <v>5147.0690000000004</v>
      </c>
      <c r="FY27" s="180">
        <v>5157.0690000000004</v>
      </c>
      <c r="FZ27" s="178">
        <v>5185.3389999999999</v>
      </c>
      <c r="GA27" s="178">
        <v>5195.3389999999999</v>
      </c>
      <c r="GB27" s="178">
        <v>5195.3389999999999</v>
      </c>
      <c r="GC27" s="178">
        <v>5195.3389999999999</v>
      </c>
      <c r="GD27" s="178">
        <v>5226.2889999999998</v>
      </c>
      <c r="GE27" s="178">
        <v>5245.2889999999998</v>
      </c>
      <c r="GF27" s="178">
        <v>5245.2889999999998</v>
      </c>
      <c r="GG27" s="178">
        <v>5263.2889999999998</v>
      </c>
      <c r="GH27" s="178">
        <v>5263.2889999999998</v>
      </c>
      <c r="GI27" s="178">
        <v>5270.2389999999996</v>
      </c>
      <c r="GJ27" s="178">
        <v>5270.2389999999996</v>
      </c>
      <c r="GK27" s="180">
        <v>5270.2389999999996</v>
      </c>
      <c r="GL27" s="178">
        <v>5270.2389999999996</v>
      </c>
      <c r="GM27" s="178">
        <v>5270.2389999999996</v>
      </c>
      <c r="GN27" s="178">
        <v>5270.2389999999996</v>
      </c>
      <c r="GO27" s="178">
        <v>5270.2389999999996</v>
      </c>
      <c r="GP27" s="178">
        <v>5270.2389999999996</v>
      </c>
      <c r="GQ27" s="178">
        <v>5270.2389999999996</v>
      </c>
    </row>
    <row r="28" spans="1:200" s="1" customFormat="1" ht="20.149999999999999" customHeight="1" x14ac:dyDescent="0.4">
      <c r="A28" s="31" t="s">
        <v>1628</v>
      </c>
      <c r="B28" s="87">
        <v>0</v>
      </c>
      <c r="C28" s="87">
        <v>0</v>
      </c>
      <c r="D28" s="87">
        <v>0</v>
      </c>
      <c r="E28" s="87">
        <v>0</v>
      </c>
      <c r="F28" s="87">
        <v>0</v>
      </c>
      <c r="G28" s="87">
        <v>0</v>
      </c>
      <c r="H28" s="87">
        <v>0</v>
      </c>
      <c r="I28" s="87">
        <v>0</v>
      </c>
      <c r="J28" s="87">
        <v>0</v>
      </c>
      <c r="K28" s="87">
        <v>0</v>
      </c>
      <c r="L28" s="87">
        <v>0</v>
      </c>
      <c r="M28" s="88">
        <v>0</v>
      </c>
      <c r="N28" s="86">
        <v>0</v>
      </c>
      <c r="O28" s="87">
        <v>0</v>
      </c>
      <c r="P28" s="87">
        <v>0</v>
      </c>
      <c r="Q28" s="87">
        <v>0</v>
      </c>
      <c r="R28" s="87">
        <v>0</v>
      </c>
      <c r="S28" s="87">
        <v>0</v>
      </c>
      <c r="T28" s="87">
        <v>0</v>
      </c>
      <c r="U28" s="87">
        <v>0</v>
      </c>
      <c r="V28" s="87">
        <v>0</v>
      </c>
      <c r="W28" s="87">
        <v>0</v>
      </c>
      <c r="X28" s="87">
        <v>0</v>
      </c>
      <c r="Y28" s="88">
        <v>0</v>
      </c>
      <c r="Z28" s="87">
        <v>0</v>
      </c>
      <c r="AA28" s="87">
        <v>0</v>
      </c>
      <c r="AB28" s="87">
        <v>0</v>
      </c>
      <c r="AC28" s="87">
        <v>0</v>
      </c>
      <c r="AD28" s="87">
        <v>0</v>
      </c>
      <c r="AE28" s="87">
        <v>0</v>
      </c>
      <c r="AF28" s="87">
        <v>0</v>
      </c>
      <c r="AG28" s="87">
        <v>0</v>
      </c>
      <c r="AH28" s="87">
        <v>0</v>
      </c>
      <c r="AI28" s="87">
        <v>0</v>
      </c>
      <c r="AJ28" s="87">
        <v>0</v>
      </c>
      <c r="AK28" s="87">
        <v>0</v>
      </c>
      <c r="AL28" s="47">
        <v>0</v>
      </c>
      <c r="AM28" s="87">
        <v>0</v>
      </c>
      <c r="AN28" s="161">
        <v>34.47</v>
      </c>
      <c r="AO28" s="161">
        <v>34.47</v>
      </c>
      <c r="AP28" s="161">
        <v>34.47</v>
      </c>
      <c r="AQ28" s="161">
        <v>34.47</v>
      </c>
      <c r="AR28" s="161">
        <v>34.47</v>
      </c>
      <c r="AS28" s="161">
        <v>34.47</v>
      </c>
      <c r="AT28" s="161">
        <v>34.47</v>
      </c>
      <c r="AU28" s="161">
        <v>34.47</v>
      </c>
      <c r="AV28" s="161">
        <v>34.47</v>
      </c>
      <c r="AW28" s="48">
        <v>34.47</v>
      </c>
      <c r="AX28" s="46">
        <v>34.47</v>
      </c>
      <c r="AY28" s="161">
        <v>66.171000000000006</v>
      </c>
      <c r="AZ28" s="161">
        <v>97.760999999999996</v>
      </c>
      <c r="BA28" s="161">
        <v>129.77099999999999</v>
      </c>
      <c r="BB28" s="161">
        <v>129.77099999999999</v>
      </c>
      <c r="BC28" s="161">
        <v>129.77099999999999</v>
      </c>
      <c r="BD28" s="161">
        <v>162.221</v>
      </c>
      <c r="BE28" s="161">
        <v>162.221</v>
      </c>
      <c r="BF28" s="161">
        <v>236.06399999999999</v>
      </c>
      <c r="BG28" s="161">
        <v>296.745</v>
      </c>
      <c r="BH28" s="161">
        <v>296.745</v>
      </c>
      <c r="BI28" s="48">
        <v>383.32100000000003</v>
      </c>
      <c r="BJ28" s="161">
        <v>383.32100000000003</v>
      </c>
      <c r="BK28" s="161">
        <v>383.32100000000003</v>
      </c>
      <c r="BL28" s="161">
        <v>1030.6369999999999</v>
      </c>
      <c r="BM28" s="161">
        <v>1030.6369999999999</v>
      </c>
      <c r="BN28" s="161">
        <v>1030.6369999999999</v>
      </c>
      <c r="BO28" s="161">
        <v>1030.6369999999999</v>
      </c>
      <c r="BP28" s="161">
        <v>1030.6369999999999</v>
      </c>
      <c r="BQ28" s="161">
        <v>1030.6369999999999</v>
      </c>
      <c r="BR28" s="161">
        <v>1030.6369999999999</v>
      </c>
      <c r="BS28" s="161">
        <v>1030.6369999999999</v>
      </c>
      <c r="BT28" s="161">
        <v>1030.6369999999999</v>
      </c>
      <c r="BU28" s="48">
        <v>1030.6369999999999</v>
      </c>
      <c r="BV28" s="161">
        <v>1030.6369999999999</v>
      </c>
      <c r="BW28" s="161">
        <v>1030.6369999999999</v>
      </c>
      <c r="BX28" s="161">
        <v>1435.4369999999999</v>
      </c>
      <c r="BY28" s="161">
        <v>1435.4369999999999</v>
      </c>
      <c r="BZ28" s="161">
        <v>1435.4369999999999</v>
      </c>
      <c r="CA28" s="161">
        <v>1435.4369999999999</v>
      </c>
      <c r="CB28" s="161">
        <v>1435.4369999999999</v>
      </c>
      <c r="CC28" s="161">
        <v>1435.4369999999999</v>
      </c>
      <c r="CD28" s="161">
        <v>1435.4369999999999</v>
      </c>
      <c r="CE28" s="161">
        <v>1435.4369999999999</v>
      </c>
      <c r="CF28" s="161">
        <v>1435.4369999999999</v>
      </c>
      <c r="CG28" s="48">
        <v>1435.4369999999999</v>
      </c>
      <c r="CH28" s="161">
        <v>1435.4369999999999</v>
      </c>
      <c r="CI28" s="161">
        <v>1435.4369999999999</v>
      </c>
      <c r="CJ28" s="161">
        <v>1481.19</v>
      </c>
      <c r="CK28" s="161">
        <v>1481.19</v>
      </c>
      <c r="CL28" s="161">
        <v>1481.19</v>
      </c>
      <c r="CM28" s="161">
        <v>1481.19</v>
      </c>
      <c r="CN28" s="161">
        <v>1481.19</v>
      </c>
      <c r="CO28" s="161">
        <v>1481.19</v>
      </c>
      <c r="CP28" s="161">
        <v>1481.19</v>
      </c>
      <c r="CQ28" s="161">
        <v>1481.19</v>
      </c>
      <c r="CR28" s="161">
        <v>1481.19</v>
      </c>
      <c r="CS28" s="49">
        <v>1481.19</v>
      </c>
      <c r="CT28" s="161">
        <v>1508.29</v>
      </c>
      <c r="CU28" s="161">
        <v>1508.29</v>
      </c>
      <c r="CV28" s="161">
        <v>1508.29</v>
      </c>
      <c r="CW28" s="161">
        <v>1508.29</v>
      </c>
      <c r="CX28" s="161">
        <v>1508.29</v>
      </c>
      <c r="CY28" s="161">
        <v>1508.29</v>
      </c>
      <c r="CZ28" s="161">
        <v>1508.29</v>
      </c>
      <c r="DA28" s="161">
        <v>1508.29</v>
      </c>
      <c r="DB28" s="161">
        <v>1508.29</v>
      </c>
      <c r="DC28" s="161">
        <v>1508.29</v>
      </c>
      <c r="DD28" s="161">
        <v>1508.29</v>
      </c>
      <c r="DE28" s="48">
        <v>1508.29</v>
      </c>
      <c r="DF28" s="161">
        <v>1508.29</v>
      </c>
      <c r="DG28" s="161">
        <v>1508.29</v>
      </c>
      <c r="DH28" s="161">
        <v>1508.29</v>
      </c>
      <c r="DI28" s="161">
        <v>1508.29</v>
      </c>
      <c r="DJ28" s="161">
        <v>1508.29</v>
      </c>
      <c r="DK28" s="161">
        <v>1508.29</v>
      </c>
      <c r="DL28" s="161">
        <v>1508.29</v>
      </c>
      <c r="DM28" s="161">
        <v>1508.29</v>
      </c>
      <c r="DN28" s="161">
        <v>1508.29</v>
      </c>
      <c r="DO28" s="161">
        <v>1508.29</v>
      </c>
      <c r="DP28" s="161">
        <v>1508.29</v>
      </c>
      <c r="DQ28" s="48">
        <v>1542.99</v>
      </c>
      <c r="DR28" s="161">
        <v>1586.21</v>
      </c>
      <c r="DS28" s="161">
        <v>1586.21</v>
      </c>
      <c r="DT28" s="161">
        <v>1586.21</v>
      </c>
      <c r="DU28" s="161">
        <v>1586.21</v>
      </c>
      <c r="DV28" s="161">
        <v>1586.21</v>
      </c>
      <c r="DW28" s="161">
        <v>1586.21</v>
      </c>
      <c r="DX28" s="161">
        <v>1586.21</v>
      </c>
      <c r="DY28" s="161">
        <v>1586.21</v>
      </c>
      <c r="DZ28" s="161">
        <v>1586.21</v>
      </c>
      <c r="EA28" s="161">
        <v>1586.21</v>
      </c>
      <c r="EB28" s="161">
        <v>1586.21</v>
      </c>
      <c r="EC28" s="49">
        <v>1636.21</v>
      </c>
      <c r="ED28" s="161">
        <v>1636.21</v>
      </c>
      <c r="EE28" s="161">
        <v>1636.21</v>
      </c>
      <c r="EF28" s="161">
        <v>1743.21</v>
      </c>
      <c r="EG28" s="161">
        <v>1793.11</v>
      </c>
      <c r="EH28" s="161">
        <v>1793.11</v>
      </c>
      <c r="EI28" s="161">
        <v>1793.11</v>
      </c>
      <c r="EJ28" s="161">
        <v>1793.11</v>
      </c>
      <c r="EK28" s="161">
        <v>1793.11</v>
      </c>
      <c r="EL28" s="161">
        <v>1793.11</v>
      </c>
      <c r="EM28" s="161">
        <v>1793.11</v>
      </c>
      <c r="EN28" s="161">
        <v>1793.11</v>
      </c>
      <c r="EO28" s="82">
        <v>1793.11</v>
      </c>
      <c r="EP28" s="161">
        <v>1793.11</v>
      </c>
      <c r="EQ28" s="161">
        <v>1793.11</v>
      </c>
      <c r="ER28" s="161">
        <v>1793.11</v>
      </c>
      <c r="ES28" s="161">
        <v>1793.11</v>
      </c>
      <c r="ET28" s="161">
        <v>1793.11</v>
      </c>
      <c r="EU28" s="161">
        <v>1793.11</v>
      </c>
      <c r="EV28" s="161">
        <v>1793.11</v>
      </c>
      <c r="EW28" s="161">
        <v>1793.11</v>
      </c>
      <c r="EX28" s="161">
        <v>1793.11</v>
      </c>
      <c r="EY28" s="161">
        <v>1793.11</v>
      </c>
      <c r="EZ28" s="161">
        <v>1793.11</v>
      </c>
      <c r="FA28" s="82">
        <v>1833.11</v>
      </c>
      <c r="FB28" s="161">
        <v>2105.91</v>
      </c>
      <c r="FC28" s="161">
        <v>2327.0169999999998</v>
      </c>
      <c r="FD28" s="161">
        <v>2717.3069999999998</v>
      </c>
      <c r="FE28" s="161">
        <v>2717.3069999999998</v>
      </c>
      <c r="FF28" s="161">
        <v>2767.2069999999999</v>
      </c>
      <c r="FG28" s="161">
        <v>2795.7069999999999</v>
      </c>
      <c r="FH28" s="161">
        <v>2795.7069999999999</v>
      </c>
      <c r="FI28" s="161">
        <v>2795.7069999999999</v>
      </c>
      <c r="FJ28" s="161">
        <v>2883.607</v>
      </c>
      <c r="FK28" s="161">
        <v>2883.607</v>
      </c>
      <c r="FL28" s="161">
        <v>2883.607</v>
      </c>
      <c r="FM28" s="161">
        <v>2883.607</v>
      </c>
      <c r="FN28" s="69">
        <v>2923.607</v>
      </c>
      <c r="FO28" s="161">
        <v>2949.607</v>
      </c>
      <c r="FP28" s="161">
        <v>3051.4070000000002</v>
      </c>
      <c r="FQ28" s="161">
        <v>3101.3069999999998</v>
      </c>
      <c r="FR28" s="161">
        <v>3151.2069999999999</v>
      </c>
      <c r="FS28" s="161">
        <v>3196.2069999999999</v>
      </c>
      <c r="FT28" s="161">
        <v>3252.6570000000002</v>
      </c>
      <c r="FU28" s="161">
        <v>3285.6570000000002</v>
      </c>
      <c r="FV28" s="161">
        <v>3285.6570000000002</v>
      </c>
      <c r="FW28" s="161">
        <v>3537.5569999999998</v>
      </c>
      <c r="FX28" s="161">
        <v>3587.4569999999999</v>
      </c>
      <c r="FY28" s="194">
        <v>3622.4569999999999</v>
      </c>
      <c r="FZ28" s="161">
        <v>3708.4470000000001</v>
      </c>
      <c r="GA28" s="161">
        <v>3708.4470000000001</v>
      </c>
      <c r="GB28" s="161">
        <v>3953.047</v>
      </c>
      <c r="GC28" s="161">
        <v>4003.047</v>
      </c>
      <c r="GD28" s="161">
        <v>4003.047</v>
      </c>
      <c r="GE28" s="161">
        <v>4051.047</v>
      </c>
      <c r="GF28" s="161">
        <v>4508.9470000000001</v>
      </c>
      <c r="GG28" s="161">
        <v>4586.8469999999998</v>
      </c>
      <c r="GH28" s="161">
        <v>4628.8469999999998</v>
      </c>
      <c r="GI28" s="161">
        <v>4776.5870000000004</v>
      </c>
      <c r="GJ28" s="161">
        <v>4842.5870000000004</v>
      </c>
      <c r="GK28" s="194">
        <v>4892.4870000000001</v>
      </c>
      <c r="GL28" s="161">
        <v>4892.4870000000001</v>
      </c>
      <c r="GM28" s="161">
        <v>4892.4870000000001</v>
      </c>
      <c r="GN28" s="161">
        <v>4942.3869999999997</v>
      </c>
      <c r="GO28" s="161">
        <v>4942.3869999999997</v>
      </c>
      <c r="GP28" s="161">
        <v>4942.3869999999997</v>
      </c>
      <c r="GQ28" s="161">
        <v>4942.3869999999997</v>
      </c>
    </row>
    <row r="29" spans="1:200" s="1" customFormat="1" ht="20.149999999999999" customHeight="1" x14ac:dyDescent="0.35">
      <c r="A29" s="207" t="s">
        <v>270</v>
      </c>
      <c r="B29" s="47">
        <v>14.6</v>
      </c>
      <c r="C29" s="46">
        <v>14.6</v>
      </c>
      <c r="D29" s="46">
        <v>14.6</v>
      </c>
      <c r="E29" s="46">
        <v>14.6</v>
      </c>
      <c r="F29" s="46">
        <v>14.6</v>
      </c>
      <c r="G29" s="46">
        <v>14.6</v>
      </c>
      <c r="H29" s="46">
        <v>14.6</v>
      </c>
      <c r="I29" s="46">
        <v>14.6</v>
      </c>
      <c r="J29" s="46">
        <v>14.6</v>
      </c>
      <c r="K29" s="46">
        <v>14.6</v>
      </c>
      <c r="L29" s="46">
        <v>14.6</v>
      </c>
      <c r="M29" s="46">
        <v>14.6</v>
      </c>
      <c r="N29" s="47">
        <v>14.6</v>
      </c>
      <c r="O29" s="46">
        <v>14.6</v>
      </c>
      <c r="P29" s="46">
        <v>14.6</v>
      </c>
      <c r="Q29" s="46">
        <v>14.6</v>
      </c>
      <c r="R29" s="46">
        <v>14.6</v>
      </c>
      <c r="S29" s="46">
        <v>14.6</v>
      </c>
      <c r="T29" s="46">
        <v>14.6</v>
      </c>
      <c r="U29" s="46">
        <v>14.6</v>
      </c>
      <c r="V29" s="46">
        <v>14.6</v>
      </c>
      <c r="W29" s="46">
        <v>14.6</v>
      </c>
      <c r="X29" s="46">
        <v>14.6</v>
      </c>
      <c r="Y29" s="48">
        <v>14.6</v>
      </c>
      <c r="Z29" s="46">
        <v>14.6</v>
      </c>
      <c r="AA29" s="46">
        <v>14.6</v>
      </c>
      <c r="AB29" s="46">
        <v>14.6</v>
      </c>
      <c r="AC29" s="46">
        <v>14.6</v>
      </c>
      <c r="AD29" s="46">
        <v>14.6</v>
      </c>
      <c r="AE29" s="46">
        <v>14.6</v>
      </c>
      <c r="AF29" s="46">
        <v>14.6</v>
      </c>
      <c r="AG29" s="46">
        <v>14.6</v>
      </c>
      <c r="AH29" s="46">
        <v>14.6</v>
      </c>
      <c r="AI29" s="46">
        <v>14.6</v>
      </c>
      <c r="AJ29" s="46">
        <v>14.6</v>
      </c>
      <c r="AK29" s="186">
        <v>14.6</v>
      </c>
      <c r="AL29" s="46">
        <v>14.6</v>
      </c>
      <c r="AM29" s="46">
        <v>14.6</v>
      </c>
      <c r="AN29" s="46">
        <v>14.6</v>
      </c>
      <c r="AO29" s="46">
        <v>14.6</v>
      </c>
      <c r="AP29" s="46">
        <v>14.6</v>
      </c>
      <c r="AQ29" s="46">
        <v>14.6</v>
      </c>
      <c r="AR29" s="46">
        <v>14.6</v>
      </c>
      <c r="AS29" s="46">
        <v>14.6</v>
      </c>
      <c r="AT29" s="46">
        <v>14.6</v>
      </c>
      <c r="AU29" s="46">
        <v>14.6</v>
      </c>
      <c r="AV29" s="46">
        <v>14.6</v>
      </c>
      <c r="AW29" s="188">
        <v>14.6</v>
      </c>
      <c r="AX29" s="46">
        <v>14.6</v>
      </c>
      <c r="AY29" s="46">
        <v>14.6</v>
      </c>
      <c r="AZ29" s="46">
        <v>14.6</v>
      </c>
      <c r="BA29" s="46">
        <v>14.6</v>
      </c>
      <c r="BB29" s="46">
        <v>14.6</v>
      </c>
      <c r="BC29" s="46">
        <v>14.6</v>
      </c>
      <c r="BD29" s="46">
        <v>14.6</v>
      </c>
      <c r="BE29" s="46">
        <v>14.6</v>
      </c>
      <c r="BF29" s="46">
        <v>14.6</v>
      </c>
      <c r="BG29" s="46">
        <v>14.6</v>
      </c>
      <c r="BH29" s="46">
        <v>14.6</v>
      </c>
      <c r="BI29" s="188">
        <v>14.6</v>
      </c>
      <c r="BJ29" s="46">
        <v>14.6</v>
      </c>
      <c r="BK29" s="46">
        <v>14.6</v>
      </c>
      <c r="BL29" s="46">
        <v>14.6</v>
      </c>
      <c r="BM29" s="46">
        <v>14.6</v>
      </c>
      <c r="BN29" s="46">
        <v>14.6</v>
      </c>
      <c r="BO29" s="46">
        <v>14.6</v>
      </c>
      <c r="BP29" s="46">
        <v>14.6</v>
      </c>
      <c r="BQ29" s="46">
        <v>14.6</v>
      </c>
      <c r="BR29" s="46">
        <v>14.6</v>
      </c>
      <c r="BS29" s="46">
        <v>14.6</v>
      </c>
      <c r="BT29" s="46">
        <v>14.6</v>
      </c>
      <c r="BU29" s="188">
        <v>14.6</v>
      </c>
      <c r="BV29" s="46">
        <v>14.6</v>
      </c>
      <c r="BW29" s="46">
        <v>14.6</v>
      </c>
      <c r="BX29" s="46">
        <v>14.6</v>
      </c>
      <c r="BY29" s="46">
        <v>14.6</v>
      </c>
      <c r="BZ29" s="46">
        <v>14.6</v>
      </c>
      <c r="CA29" s="46">
        <v>14.6</v>
      </c>
      <c r="CB29" s="46">
        <v>14.6</v>
      </c>
      <c r="CC29" s="46">
        <v>14.6</v>
      </c>
      <c r="CD29" s="46">
        <v>14.6</v>
      </c>
      <c r="CE29" s="46">
        <v>14.6</v>
      </c>
      <c r="CF29" s="46">
        <v>14.6</v>
      </c>
      <c r="CG29" s="188">
        <v>14.6</v>
      </c>
      <c r="CH29" s="46">
        <v>14.6</v>
      </c>
      <c r="CI29" s="46">
        <v>14.6</v>
      </c>
      <c r="CJ29" s="46">
        <v>14.6</v>
      </c>
      <c r="CK29" s="46">
        <v>14.6</v>
      </c>
      <c r="CL29" s="46">
        <v>14.6</v>
      </c>
      <c r="CM29" s="46">
        <v>14.6</v>
      </c>
      <c r="CN29" s="46">
        <v>14.6</v>
      </c>
      <c r="CO29" s="46">
        <v>14.6</v>
      </c>
      <c r="CP29" s="46">
        <v>14.6</v>
      </c>
      <c r="CQ29" s="46">
        <v>14.6</v>
      </c>
      <c r="CR29" s="46">
        <v>14.6</v>
      </c>
      <c r="CS29" s="186">
        <v>14.6</v>
      </c>
      <c r="CT29" s="46">
        <v>14.6</v>
      </c>
      <c r="CU29" s="46">
        <v>14.6</v>
      </c>
      <c r="CV29" s="46">
        <v>14.6</v>
      </c>
      <c r="CW29" s="46">
        <v>14.6</v>
      </c>
      <c r="CX29" s="46">
        <v>14.6</v>
      </c>
      <c r="CY29" s="46">
        <v>14.6</v>
      </c>
      <c r="CZ29" s="46">
        <v>14.6</v>
      </c>
      <c r="DA29" s="46">
        <v>14.6</v>
      </c>
      <c r="DB29" s="46">
        <v>14.6</v>
      </c>
      <c r="DC29" s="46">
        <v>14.6</v>
      </c>
      <c r="DD29" s="46">
        <v>14.6</v>
      </c>
      <c r="DE29" s="188">
        <v>14.6</v>
      </c>
      <c r="DF29" s="46">
        <v>14.6</v>
      </c>
      <c r="DG29" s="46">
        <v>14.6</v>
      </c>
      <c r="DH29" s="46">
        <v>14.6</v>
      </c>
      <c r="DI29" s="46">
        <v>14.6</v>
      </c>
      <c r="DJ29" s="46">
        <v>14.6</v>
      </c>
      <c r="DK29" s="46">
        <v>14.6</v>
      </c>
      <c r="DL29" s="46">
        <v>14.6</v>
      </c>
      <c r="DM29" s="46">
        <v>14.6</v>
      </c>
      <c r="DN29" s="46">
        <v>14.6</v>
      </c>
      <c r="DO29" s="46">
        <v>14.6</v>
      </c>
      <c r="DP29" s="46">
        <v>14.6</v>
      </c>
      <c r="DQ29" s="188">
        <v>14.6</v>
      </c>
      <c r="DR29" s="46">
        <v>14.6</v>
      </c>
      <c r="DS29" s="46">
        <v>14.6</v>
      </c>
      <c r="DT29" s="46">
        <v>14.6</v>
      </c>
      <c r="DU29" s="46">
        <v>14.6</v>
      </c>
      <c r="DV29" s="46">
        <v>14.6</v>
      </c>
      <c r="DW29" s="46">
        <v>14.6</v>
      </c>
      <c r="DX29" s="46">
        <v>14.6</v>
      </c>
      <c r="DY29" s="46">
        <v>14.6</v>
      </c>
      <c r="DZ29" s="46">
        <v>14.6</v>
      </c>
      <c r="EA29" s="46">
        <v>14.6</v>
      </c>
      <c r="EB29" s="46">
        <v>14.6</v>
      </c>
      <c r="EC29" s="186">
        <v>14.6</v>
      </c>
      <c r="ED29" s="46">
        <v>14.6</v>
      </c>
      <c r="EE29" s="46">
        <v>14.6</v>
      </c>
      <c r="EF29" s="46">
        <v>14.6</v>
      </c>
      <c r="EG29" s="46">
        <v>14.6</v>
      </c>
      <c r="EH29" s="46">
        <v>14.6</v>
      </c>
      <c r="EI29" s="46">
        <v>14.6</v>
      </c>
      <c r="EJ29" s="46">
        <v>14.6</v>
      </c>
      <c r="EK29" s="46">
        <v>14.6</v>
      </c>
      <c r="EL29" s="46">
        <v>14.6</v>
      </c>
      <c r="EM29" s="46">
        <v>14.6</v>
      </c>
      <c r="EN29" s="46">
        <v>14.6</v>
      </c>
      <c r="EO29" s="186">
        <v>14.6</v>
      </c>
      <c r="EP29" s="185">
        <v>14.6</v>
      </c>
      <c r="EQ29" s="46">
        <v>14.6</v>
      </c>
      <c r="ER29" s="46">
        <v>14.6</v>
      </c>
      <c r="ES29" s="46">
        <v>14.6</v>
      </c>
      <c r="ET29" s="46">
        <v>14.6</v>
      </c>
      <c r="EU29" s="46">
        <v>14.6</v>
      </c>
      <c r="EV29" s="46">
        <v>14.6</v>
      </c>
      <c r="EW29" s="46">
        <v>14.6</v>
      </c>
      <c r="EX29" s="46">
        <v>14.6</v>
      </c>
      <c r="EY29" s="46">
        <v>14.6</v>
      </c>
      <c r="EZ29" s="46">
        <v>14.6</v>
      </c>
      <c r="FA29" s="184">
        <v>14.6</v>
      </c>
      <c r="FB29" s="185">
        <v>14.6</v>
      </c>
      <c r="FC29" s="46">
        <v>14.6</v>
      </c>
      <c r="FD29" s="46">
        <v>14.6</v>
      </c>
      <c r="FE29" s="46">
        <v>14.6</v>
      </c>
      <c r="FF29" s="46">
        <v>14.6</v>
      </c>
      <c r="FG29" s="46">
        <v>14.6</v>
      </c>
      <c r="FH29" s="46">
        <v>14.6</v>
      </c>
      <c r="FI29" s="46">
        <v>14.6</v>
      </c>
      <c r="FJ29" s="46">
        <v>14.6</v>
      </c>
      <c r="FK29" s="46">
        <v>14.6</v>
      </c>
      <c r="FL29" s="46">
        <v>14.6</v>
      </c>
      <c r="FM29" s="46">
        <v>14.6</v>
      </c>
      <c r="FN29" s="183">
        <v>14.6</v>
      </c>
      <c r="FO29" s="178">
        <v>14.6</v>
      </c>
      <c r="FP29" s="178">
        <v>14.6</v>
      </c>
      <c r="FQ29" s="178">
        <v>14.6</v>
      </c>
      <c r="FR29" s="178">
        <v>14.6</v>
      </c>
      <c r="FS29" s="178">
        <v>14.6</v>
      </c>
      <c r="FT29" s="178">
        <v>14.6</v>
      </c>
      <c r="FU29" s="178">
        <v>14.6</v>
      </c>
      <c r="FV29" s="178">
        <v>14.6</v>
      </c>
      <c r="FW29" s="178">
        <v>14.6</v>
      </c>
      <c r="FX29" s="178">
        <v>14.6</v>
      </c>
      <c r="FY29" s="180">
        <v>14.6</v>
      </c>
      <c r="FZ29" s="178">
        <v>14.6</v>
      </c>
      <c r="GA29" s="178">
        <v>14.6</v>
      </c>
      <c r="GB29" s="178">
        <v>14.6</v>
      </c>
      <c r="GC29" s="178">
        <v>14.6</v>
      </c>
      <c r="GD29" s="178">
        <v>14.6</v>
      </c>
      <c r="GE29" s="178">
        <v>14.6</v>
      </c>
      <c r="GF29" s="178">
        <v>14.6</v>
      </c>
      <c r="GG29" s="178">
        <v>14.6</v>
      </c>
      <c r="GH29" s="178">
        <v>14.6</v>
      </c>
      <c r="GI29" s="178">
        <v>14.6</v>
      </c>
      <c r="GJ29" s="178">
        <v>14.6</v>
      </c>
      <c r="GK29" s="180">
        <v>14.6</v>
      </c>
      <c r="GL29" s="178">
        <v>14.6</v>
      </c>
      <c r="GM29" s="178">
        <v>14.6</v>
      </c>
      <c r="GN29" s="178">
        <v>14.6</v>
      </c>
      <c r="GO29" s="178">
        <v>14.6</v>
      </c>
      <c r="GP29" s="178">
        <v>14.6</v>
      </c>
      <c r="GQ29" s="178">
        <v>14.6</v>
      </c>
    </row>
    <row r="30" spans="1:200" s="25" customFormat="1" ht="20.149999999999999" customHeight="1" thickBot="1" x14ac:dyDescent="0.4">
      <c r="A30" s="32" t="s">
        <v>267</v>
      </c>
      <c r="B30" s="51">
        <f>SUM(B23:B29)</f>
        <v>29.872</v>
      </c>
      <c r="C30" s="52">
        <f t="shared" ref="C30:BN30" si="46">SUM(C23:C29)</f>
        <v>31.286999999999999</v>
      </c>
      <c r="D30" s="52">
        <f t="shared" si="46"/>
        <v>33.820999999999998</v>
      </c>
      <c r="E30" s="52">
        <f t="shared" si="46"/>
        <v>36.481000000000002</v>
      </c>
      <c r="F30" s="52">
        <f t="shared" si="46"/>
        <v>40.784999999999997</v>
      </c>
      <c r="G30" s="52">
        <f t="shared" si="46"/>
        <v>46.424999999999997</v>
      </c>
      <c r="H30" s="52">
        <f t="shared" si="46"/>
        <v>52.319000000000003</v>
      </c>
      <c r="I30" s="52">
        <f t="shared" si="46"/>
        <v>58.143999999999998</v>
      </c>
      <c r="J30" s="52">
        <f t="shared" si="46"/>
        <v>65.666999999999987</v>
      </c>
      <c r="K30" s="52">
        <f t="shared" si="46"/>
        <v>75.114999999999995</v>
      </c>
      <c r="L30" s="52">
        <f t="shared" si="46"/>
        <v>85.576999999999998</v>
      </c>
      <c r="M30" s="52">
        <f t="shared" si="46"/>
        <v>93.577999999999989</v>
      </c>
      <c r="N30" s="51">
        <f t="shared" si="46"/>
        <v>104.786</v>
      </c>
      <c r="O30" s="52">
        <f t="shared" si="46"/>
        <v>118.26700000000001</v>
      </c>
      <c r="P30" s="52">
        <f t="shared" si="46"/>
        <v>138.18700000000001</v>
      </c>
      <c r="Q30" s="52">
        <f t="shared" si="46"/>
        <v>162.62199999999999</v>
      </c>
      <c r="R30" s="52">
        <f t="shared" si="46"/>
        <v>186.316</v>
      </c>
      <c r="S30" s="52">
        <f t="shared" si="46"/>
        <v>220.309</v>
      </c>
      <c r="T30" s="52">
        <f t="shared" si="46"/>
        <v>378.154</v>
      </c>
      <c r="U30" s="52">
        <f t="shared" si="46"/>
        <v>424.12000000000006</v>
      </c>
      <c r="V30" s="52">
        <f t="shared" si="46"/>
        <v>496.08100000000002</v>
      </c>
      <c r="W30" s="52">
        <f t="shared" si="46"/>
        <v>617.72799999999995</v>
      </c>
      <c r="X30" s="52">
        <f t="shared" si="46"/>
        <v>816.34299999999996</v>
      </c>
      <c r="Y30" s="52">
        <f t="shared" si="46"/>
        <v>1010.0699999999999</v>
      </c>
      <c r="Z30" s="51">
        <f t="shared" si="46"/>
        <v>1040.6629999999998</v>
      </c>
      <c r="AA30" s="52">
        <f t="shared" si="46"/>
        <v>1215.289</v>
      </c>
      <c r="AB30" s="52">
        <f t="shared" si="46"/>
        <v>1327.5219999999999</v>
      </c>
      <c r="AC30" s="52">
        <f t="shared" si="46"/>
        <v>1344.915</v>
      </c>
      <c r="AD30" s="52">
        <f t="shared" si="46"/>
        <v>1381.1889999999999</v>
      </c>
      <c r="AE30" s="52">
        <f t="shared" si="46"/>
        <v>1446.4589999999998</v>
      </c>
      <c r="AF30" s="52">
        <f t="shared" si="46"/>
        <v>1642.3099999999997</v>
      </c>
      <c r="AG30" s="52">
        <f t="shared" si="46"/>
        <v>1657.7939999999999</v>
      </c>
      <c r="AH30" s="52">
        <f t="shared" si="46"/>
        <v>1677.1689999999999</v>
      </c>
      <c r="AI30" s="52">
        <f t="shared" si="46"/>
        <v>1722.36</v>
      </c>
      <c r="AJ30" s="52">
        <f t="shared" si="46"/>
        <v>1751.7710000000002</v>
      </c>
      <c r="AK30" s="53">
        <f t="shared" si="46"/>
        <v>1774.9309999999998</v>
      </c>
      <c r="AL30" s="52">
        <f t="shared" si="46"/>
        <v>1804.3809999999999</v>
      </c>
      <c r="AM30" s="52">
        <f t="shared" si="46"/>
        <v>1875.3409999999999</v>
      </c>
      <c r="AN30" s="52">
        <f t="shared" si="46"/>
        <v>2273.3919999999998</v>
      </c>
      <c r="AO30" s="52">
        <f t="shared" si="46"/>
        <v>2335.4160000000002</v>
      </c>
      <c r="AP30" s="52">
        <f t="shared" si="46"/>
        <v>2406.4329999999995</v>
      </c>
      <c r="AQ30" s="52">
        <f t="shared" si="46"/>
        <v>2535.5539999999996</v>
      </c>
      <c r="AR30" s="52">
        <f t="shared" si="46"/>
        <v>2576.5939999999996</v>
      </c>
      <c r="AS30" s="52">
        <f t="shared" si="46"/>
        <v>2646.0309999999999</v>
      </c>
      <c r="AT30" s="52">
        <f t="shared" si="46"/>
        <v>2692.1039999999998</v>
      </c>
      <c r="AU30" s="52">
        <f t="shared" si="46"/>
        <v>2741.0169999999998</v>
      </c>
      <c r="AV30" s="52">
        <f t="shared" si="46"/>
        <v>2846.0119999999997</v>
      </c>
      <c r="AW30" s="54">
        <f t="shared" si="46"/>
        <v>2919.1819999999998</v>
      </c>
      <c r="AX30" s="52">
        <f t="shared" si="46"/>
        <v>3045.377</v>
      </c>
      <c r="AY30" s="52">
        <f t="shared" si="46"/>
        <v>3173.2419999999997</v>
      </c>
      <c r="AZ30" s="52">
        <f t="shared" si="46"/>
        <v>4215.4900000000007</v>
      </c>
      <c r="BA30" s="52">
        <f t="shared" si="46"/>
        <v>4302.3650000000007</v>
      </c>
      <c r="BB30" s="52">
        <f t="shared" si="46"/>
        <v>4406.848</v>
      </c>
      <c r="BC30" s="52">
        <f t="shared" si="46"/>
        <v>4543.3550000000005</v>
      </c>
      <c r="BD30" s="52">
        <f t="shared" si="46"/>
        <v>4711.8899999999994</v>
      </c>
      <c r="BE30" s="52">
        <f t="shared" si="46"/>
        <v>4775.8970000000008</v>
      </c>
      <c r="BF30" s="52">
        <f t="shared" si="46"/>
        <v>4983.3020000000006</v>
      </c>
      <c r="BG30" s="52">
        <f t="shared" si="46"/>
        <v>5151.5439999999999</v>
      </c>
      <c r="BH30" s="52">
        <f t="shared" si="46"/>
        <v>5292.5780000000004</v>
      </c>
      <c r="BI30" s="54">
        <f t="shared" si="46"/>
        <v>5600.4889999999996</v>
      </c>
      <c r="BJ30" s="52">
        <f t="shared" si="46"/>
        <v>5700.5599999999995</v>
      </c>
      <c r="BK30" s="52">
        <f t="shared" si="46"/>
        <v>5865.4560000000001</v>
      </c>
      <c r="BL30" s="52">
        <f t="shared" si="46"/>
        <v>8236.5110000000004</v>
      </c>
      <c r="BM30" s="52">
        <f t="shared" si="46"/>
        <v>8288.5720000000001</v>
      </c>
      <c r="BN30" s="52">
        <f t="shared" si="46"/>
        <v>8359.4750000000004</v>
      </c>
      <c r="BO30" s="52">
        <f t="shared" ref="BO30:DZ30" si="47">SUM(BO23:BO29)</f>
        <v>8495.4619999999995</v>
      </c>
      <c r="BP30" s="52">
        <f t="shared" si="47"/>
        <v>8582.8950000000004</v>
      </c>
      <c r="BQ30" s="52">
        <f t="shared" si="47"/>
        <v>8704.8160000000007</v>
      </c>
      <c r="BR30" s="52">
        <f t="shared" si="47"/>
        <v>8843.8130000000019</v>
      </c>
      <c r="BS30" s="52">
        <f t="shared" si="47"/>
        <v>9014.7479999999996</v>
      </c>
      <c r="BT30" s="52">
        <f t="shared" si="47"/>
        <v>9226.1830000000009</v>
      </c>
      <c r="BU30" s="54">
        <f t="shared" si="47"/>
        <v>9909.3280000000013</v>
      </c>
      <c r="BV30" s="52">
        <f t="shared" si="47"/>
        <v>10074.852000000001</v>
      </c>
      <c r="BW30" s="52">
        <f t="shared" si="47"/>
        <v>10180.482000000002</v>
      </c>
      <c r="BX30" s="52">
        <f t="shared" si="47"/>
        <v>11350.251</v>
      </c>
      <c r="BY30" s="52">
        <f t="shared" si="47"/>
        <v>11423.095000000001</v>
      </c>
      <c r="BZ30" s="52">
        <f t="shared" si="47"/>
        <v>11472.439</v>
      </c>
      <c r="CA30" s="52">
        <f t="shared" si="47"/>
        <v>11692.072</v>
      </c>
      <c r="CB30" s="52">
        <f t="shared" si="47"/>
        <v>11734.670000000002</v>
      </c>
      <c r="CC30" s="52">
        <f t="shared" si="47"/>
        <v>11797.710999999999</v>
      </c>
      <c r="CD30" s="52">
        <f t="shared" si="47"/>
        <v>11848.583999999999</v>
      </c>
      <c r="CE30" s="52">
        <f t="shared" si="47"/>
        <v>11889.191999999999</v>
      </c>
      <c r="CF30" s="52">
        <f t="shared" si="47"/>
        <v>11931.339</v>
      </c>
      <c r="CG30" s="54">
        <f t="shared" si="47"/>
        <v>12007.915000000001</v>
      </c>
      <c r="CH30" s="52">
        <f t="shared" si="47"/>
        <v>12046.727999999999</v>
      </c>
      <c r="CI30" s="52">
        <f t="shared" si="47"/>
        <v>12140.292000000001</v>
      </c>
      <c r="CJ30" s="52">
        <f t="shared" si="47"/>
        <v>12701.838</v>
      </c>
      <c r="CK30" s="52">
        <f t="shared" si="47"/>
        <v>12720.862000000001</v>
      </c>
      <c r="CL30" s="52">
        <f t="shared" si="47"/>
        <v>12738.696</v>
      </c>
      <c r="CM30" s="52">
        <f t="shared" si="47"/>
        <v>12755.84</v>
      </c>
      <c r="CN30" s="52">
        <f t="shared" si="47"/>
        <v>12784.572</v>
      </c>
      <c r="CO30" s="52">
        <f t="shared" si="47"/>
        <v>12802.019</v>
      </c>
      <c r="CP30" s="52">
        <f t="shared" si="47"/>
        <v>12818.813</v>
      </c>
      <c r="CQ30" s="52">
        <f t="shared" si="47"/>
        <v>12843.501000000002</v>
      </c>
      <c r="CR30" s="52">
        <f t="shared" si="47"/>
        <v>12859.424000000001</v>
      </c>
      <c r="CS30" s="54">
        <f t="shared" si="47"/>
        <v>12882.91</v>
      </c>
      <c r="CT30" s="52">
        <f t="shared" si="47"/>
        <v>12922.321000000002</v>
      </c>
      <c r="CU30" s="52">
        <f t="shared" si="47"/>
        <v>12939.790999999999</v>
      </c>
      <c r="CV30" s="52">
        <f t="shared" si="47"/>
        <v>12980.749000000002</v>
      </c>
      <c r="CW30" s="52">
        <f t="shared" si="47"/>
        <v>13007.659000000001</v>
      </c>
      <c r="CX30" s="52">
        <f t="shared" si="47"/>
        <v>13030.486999999999</v>
      </c>
      <c r="CY30" s="52">
        <f t="shared" si="47"/>
        <v>13050.975</v>
      </c>
      <c r="CZ30" s="52">
        <f t="shared" si="47"/>
        <v>13066.464000000002</v>
      </c>
      <c r="DA30" s="52">
        <f t="shared" si="47"/>
        <v>13083.630999999999</v>
      </c>
      <c r="DB30" s="52">
        <f t="shared" si="47"/>
        <v>13100.922</v>
      </c>
      <c r="DC30" s="52">
        <f t="shared" si="47"/>
        <v>13127.018000000002</v>
      </c>
      <c r="DD30" s="52">
        <f t="shared" si="47"/>
        <v>13154.148999999999</v>
      </c>
      <c r="DE30" s="54">
        <f t="shared" si="47"/>
        <v>13183.578</v>
      </c>
      <c r="DF30" s="52">
        <f t="shared" si="47"/>
        <v>13207.521000000002</v>
      </c>
      <c r="DG30" s="52">
        <f t="shared" si="47"/>
        <v>13239.837000000001</v>
      </c>
      <c r="DH30" s="52">
        <f t="shared" si="47"/>
        <v>13327.347</v>
      </c>
      <c r="DI30" s="52">
        <f t="shared" si="47"/>
        <v>13345.643000000002</v>
      </c>
      <c r="DJ30" s="52">
        <f t="shared" si="47"/>
        <v>13353.325999999999</v>
      </c>
      <c r="DK30" s="52">
        <f t="shared" si="47"/>
        <v>13363.651</v>
      </c>
      <c r="DL30" s="52">
        <f t="shared" si="47"/>
        <v>13382.357999999998</v>
      </c>
      <c r="DM30" s="52">
        <f t="shared" si="47"/>
        <v>13399.243</v>
      </c>
      <c r="DN30" s="52">
        <f t="shared" si="47"/>
        <v>13425.635</v>
      </c>
      <c r="DO30" s="52">
        <f t="shared" si="47"/>
        <v>13438.847</v>
      </c>
      <c r="DP30" s="52">
        <f t="shared" si="47"/>
        <v>13451.722</v>
      </c>
      <c r="DQ30" s="54">
        <f t="shared" si="47"/>
        <v>13496.440999999999</v>
      </c>
      <c r="DR30" s="52">
        <f t="shared" si="47"/>
        <v>13579.003999999999</v>
      </c>
      <c r="DS30" s="52">
        <f t="shared" si="47"/>
        <v>13596.036999999998</v>
      </c>
      <c r="DT30" s="52">
        <f t="shared" si="47"/>
        <v>13612.189</v>
      </c>
      <c r="DU30" s="52">
        <f t="shared" si="47"/>
        <v>13617.221</v>
      </c>
      <c r="DV30" s="52">
        <f t="shared" si="47"/>
        <v>13631.22</v>
      </c>
      <c r="DW30" s="52">
        <f t="shared" si="47"/>
        <v>13641.646999999999</v>
      </c>
      <c r="DX30" s="52">
        <f t="shared" si="47"/>
        <v>13660.795</v>
      </c>
      <c r="DY30" s="52">
        <f t="shared" si="47"/>
        <v>13678.126000000002</v>
      </c>
      <c r="DZ30" s="52">
        <f t="shared" si="47"/>
        <v>13694.056000000002</v>
      </c>
      <c r="EA30" s="52">
        <f t="shared" ref="EA30:EN30" si="48">SUM(EA23:EA29)</f>
        <v>13713.003999999999</v>
      </c>
      <c r="EB30" s="52">
        <f t="shared" si="48"/>
        <v>13731.091999999999</v>
      </c>
      <c r="EC30" s="54">
        <f t="shared" si="48"/>
        <v>13808.258</v>
      </c>
      <c r="ED30" s="52">
        <f t="shared" si="48"/>
        <v>13830.134</v>
      </c>
      <c r="EE30" s="52">
        <f t="shared" si="48"/>
        <v>13845.579</v>
      </c>
      <c r="EF30" s="52">
        <f t="shared" si="48"/>
        <v>13980.430999999999</v>
      </c>
      <c r="EG30" s="52">
        <f t="shared" si="48"/>
        <v>14048.970000000001</v>
      </c>
      <c r="EH30" s="52">
        <f t="shared" si="48"/>
        <v>14075.834000000001</v>
      </c>
      <c r="EI30" s="52">
        <f t="shared" si="48"/>
        <v>14110.623000000001</v>
      </c>
      <c r="EJ30" s="52">
        <f t="shared" si="48"/>
        <v>14136.515000000001</v>
      </c>
      <c r="EK30" s="52">
        <f t="shared" si="48"/>
        <v>14158.265000000001</v>
      </c>
      <c r="EL30" s="52">
        <f t="shared" si="48"/>
        <v>14189.296</v>
      </c>
      <c r="EM30" s="52">
        <f t="shared" si="48"/>
        <v>14215.681000000002</v>
      </c>
      <c r="EN30" s="52">
        <f t="shared" si="48"/>
        <v>14246.974</v>
      </c>
      <c r="EO30" s="53">
        <f t="shared" ref="EO30:EP30" si="49">SUM(EO23:EO29)</f>
        <v>14270.968000000001</v>
      </c>
      <c r="EP30" s="52">
        <f t="shared" si="49"/>
        <v>14359.003000000001</v>
      </c>
      <c r="EQ30" s="52">
        <f t="shared" ref="EQ30:ER30" si="50">SUM(EQ23:EQ29)</f>
        <v>14392.366</v>
      </c>
      <c r="ER30" s="52">
        <f t="shared" si="50"/>
        <v>14445.737000000001</v>
      </c>
      <c r="ES30" s="52">
        <f t="shared" ref="ES30:ET30" si="51">SUM(ES23:ES29)</f>
        <v>14493.508</v>
      </c>
      <c r="ET30" s="52">
        <f t="shared" si="51"/>
        <v>14554.263000000001</v>
      </c>
      <c r="EU30" s="52">
        <f t="shared" ref="EU30:EW30" si="52">SUM(EU23:EU29)</f>
        <v>14605.994000000001</v>
      </c>
      <c r="EV30" s="52">
        <f t="shared" si="52"/>
        <v>14677.786000000002</v>
      </c>
      <c r="EW30" s="52">
        <f t="shared" si="52"/>
        <v>14734.210000000001</v>
      </c>
      <c r="EX30" s="52">
        <f t="shared" ref="EX30:FA30" si="53">SUM(EX23:EX29)</f>
        <v>14819.769000000002</v>
      </c>
      <c r="EY30" s="52">
        <f t="shared" si="53"/>
        <v>14934.389000000001</v>
      </c>
      <c r="EZ30" s="52">
        <f t="shared" si="53"/>
        <v>15015.110000000002</v>
      </c>
      <c r="FA30" s="53">
        <f t="shared" si="53"/>
        <v>15138.808999999999</v>
      </c>
      <c r="FB30" s="52">
        <f t="shared" ref="FB30:FG30" si="54">SUM(FB23:FB29)</f>
        <v>15565.103999999999</v>
      </c>
      <c r="FC30" s="52">
        <f t="shared" si="54"/>
        <v>15930.474</v>
      </c>
      <c r="FD30" s="52">
        <f t="shared" si="54"/>
        <v>16470.186999999998</v>
      </c>
      <c r="FE30" s="52">
        <f t="shared" si="54"/>
        <v>16559.557999999997</v>
      </c>
      <c r="FF30" s="52">
        <f t="shared" si="54"/>
        <v>16727.846999999998</v>
      </c>
      <c r="FG30" s="52">
        <f t="shared" si="54"/>
        <v>16880.574999999997</v>
      </c>
      <c r="FH30" s="52">
        <f t="shared" ref="FH30:FI30" si="55">SUM(FH23:FH29)</f>
        <v>16968.717999999997</v>
      </c>
      <c r="FI30" s="52">
        <f t="shared" si="55"/>
        <v>17056.305999999997</v>
      </c>
      <c r="FJ30" s="52">
        <f t="shared" ref="FJ30:FK30" si="56">SUM(FJ23:FJ29)</f>
        <v>17243.790999999997</v>
      </c>
      <c r="FK30" s="52">
        <f t="shared" si="56"/>
        <v>17371.196</v>
      </c>
      <c r="FL30" s="157">
        <f t="shared" ref="FL30" si="57">SUM(FL23:FL29)</f>
        <v>17495.227999999999</v>
      </c>
      <c r="FM30" s="157">
        <f t="shared" ref="FM30" si="58">SUM(FM23:FM29)</f>
        <v>17550.082999999999</v>
      </c>
      <c r="FN30" s="125">
        <f>(SUM(FN23:FN29))</f>
        <v>17705.712</v>
      </c>
      <c r="FO30" s="157">
        <f>(SUM(FO23:FO29))</f>
        <v>17804.562999999998</v>
      </c>
      <c r="FP30" s="157">
        <f t="shared" ref="FP30:FY30" si="59">(SUM(FP23:FP29))</f>
        <v>18042.651999999998</v>
      </c>
      <c r="FQ30" s="157">
        <f t="shared" si="59"/>
        <v>18170.999</v>
      </c>
      <c r="FR30" s="157">
        <f t="shared" si="59"/>
        <v>18307.892</v>
      </c>
      <c r="FS30" s="157">
        <f t="shared" si="59"/>
        <v>18477.046999999995</v>
      </c>
      <c r="FT30" s="157">
        <f t="shared" si="59"/>
        <v>18621.379999999997</v>
      </c>
      <c r="FU30" s="157">
        <f t="shared" si="59"/>
        <v>18731.3</v>
      </c>
      <c r="FV30" s="157">
        <f t="shared" si="59"/>
        <v>18812.144999999997</v>
      </c>
      <c r="FW30" s="157">
        <f t="shared" si="59"/>
        <v>19178.905999999999</v>
      </c>
      <c r="FX30" s="157">
        <f t="shared" si="59"/>
        <v>19320.446999999996</v>
      </c>
      <c r="FY30" s="191">
        <f t="shared" si="59"/>
        <v>19426.855999999996</v>
      </c>
      <c r="FZ30" s="157">
        <f t="shared" ref="FZ30:GA30" si="60">(SUM(FZ23:FZ29))</f>
        <v>19621.620999999999</v>
      </c>
      <c r="GA30" s="157">
        <f t="shared" si="60"/>
        <v>19724.814999999999</v>
      </c>
      <c r="GB30" s="157">
        <f t="shared" ref="GB30:GC30" si="61">(SUM(GB23:GB29))</f>
        <v>20079.564999999999</v>
      </c>
      <c r="GC30" s="157">
        <f t="shared" si="61"/>
        <v>20225.972999999998</v>
      </c>
      <c r="GD30" s="157">
        <f t="shared" ref="GD30:GE30" si="62">(SUM(GD23:GD29))</f>
        <v>20367.561999999998</v>
      </c>
      <c r="GE30" s="157">
        <f t="shared" si="62"/>
        <v>20542.704999999998</v>
      </c>
      <c r="GF30" s="157">
        <f t="shared" ref="GF30:GK30" si="63">(SUM(GF23:GF29))</f>
        <v>21120.300999999999</v>
      </c>
      <c r="GG30" s="157">
        <f t="shared" si="63"/>
        <v>21315.913</v>
      </c>
      <c r="GH30" s="157">
        <f t="shared" si="63"/>
        <v>21470.991999999998</v>
      </c>
      <c r="GI30" s="157">
        <f t="shared" si="63"/>
        <v>21748.025999999998</v>
      </c>
      <c r="GJ30" s="157">
        <f t="shared" si="63"/>
        <v>21923.195999999996</v>
      </c>
      <c r="GK30" s="191">
        <f t="shared" si="63"/>
        <v>22066.146000000001</v>
      </c>
      <c r="GL30" s="157">
        <f t="shared" ref="GL30:GM30" si="64">(SUM(GL23:GL29))</f>
        <v>22157.510999999999</v>
      </c>
      <c r="GM30" s="157">
        <f t="shared" si="64"/>
        <v>22261.542999999998</v>
      </c>
      <c r="GN30" s="157">
        <f t="shared" ref="GN30:GO30" si="65">(SUM(GN23:GN29))</f>
        <v>22438.536999999997</v>
      </c>
      <c r="GO30" s="157">
        <f t="shared" si="65"/>
        <v>22551.060999999998</v>
      </c>
      <c r="GP30" s="157">
        <f t="shared" ref="GP30:GQ30" si="66">(SUM(GP23:GP29))</f>
        <v>22639.912999999997</v>
      </c>
      <c r="GQ30" s="157">
        <f t="shared" si="66"/>
        <v>22771.668999999998</v>
      </c>
      <c r="GR30" s="214"/>
    </row>
    <row r="31" spans="1:200" s="25" customFormat="1" ht="20.149999999999999" customHeight="1" thickTop="1" x14ac:dyDescent="0.35">
      <c r="A31" s="189" t="s">
        <v>271</v>
      </c>
      <c r="B31" s="87">
        <v>10.222</v>
      </c>
      <c r="C31" s="87">
        <v>11.53</v>
      </c>
      <c r="D31" s="87">
        <v>13.821999999999999</v>
      </c>
      <c r="E31" s="87">
        <v>16.359000000000002</v>
      </c>
      <c r="F31" s="87">
        <v>20.379000000000001</v>
      </c>
      <c r="G31" s="87">
        <v>24.93</v>
      </c>
      <c r="H31" s="87">
        <v>30.547000000000001</v>
      </c>
      <c r="I31" s="87">
        <v>36.151000000000003</v>
      </c>
      <c r="J31" s="87">
        <v>43.375999999999998</v>
      </c>
      <c r="K31" s="87">
        <v>52.075000000000003</v>
      </c>
      <c r="L31" s="87">
        <v>62.179000000000002</v>
      </c>
      <c r="M31" s="187">
        <v>69.760000000000005</v>
      </c>
      <c r="N31" s="87">
        <v>80.492000000000004</v>
      </c>
      <c r="O31" s="87">
        <v>92.831999999999994</v>
      </c>
      <c r="P31" s="87">
        <v>111.121</v>
      </c>
      <c r="Q31" s="87">
        <v>128.696</v>
      </c>
      <c r="R31" s="87">
        <v>150.148</v>
      </c>
      <c r="S31" s="87">
        <v>177.53399999999999</v>
      </c>
      <c r="T31" s="87">
        <v>211.24</v>
      </c>
      <c r="U31" s="87">
        <v>253.804</v>
      </c>
      <c r="V31" s="87">
        <v>309.44499999999999</v>
      </c>
      <c r="W31" s="87">
        <v>371.786</v>
      </c>
      <c r="X31" s="87">
        <v>550.07600000000002</v>
      </c>
      <c r="Y31" s="187">
        <v>705.15200000000004</v>
      </c>
      <c r="Z31" s="87">
        <v>728.88900000000001</v>
      </c>
      <c r="AA31" s="87">
        <v>874.57500000000005</v>
      </c>
      <c r="AB31" s="87">
        <v>960.77300000000002</v>
      </c>
      <c r="AC31" s="87">
        <v>976.25300000000004</v>
      </c>
      <c r="AD31" s="87">
        <v>1008.802</v>
      </c>
      <c r="AE31" s="87">
        <v>1053.221</v>
      </c>
      <c r="AF31" s="87">
        <v>1153.807</v>
      </c>
      <c r="AG31" s="87">
        <v>1165.8689999999999</v>
      </c>
      <c r="AH31" s="87">
        <v>1182.4359999999999</v>
      </c>
      <c r="AI31" s="87">
        <v>1219.4069999999999</v>
      </c>
      <c r="AJ31" s="87">
        <v>1238.549</v>
      </c>
      <c r="AK31" s="187">
        <v>1258.309</v>
      </c>
      <c r="AL31" s="87">
        <v>1279.711</v>
      </c>
      <c r="AM31" s="87">
        <v>1304.3140000000001</v>
      </c>
      <c r="AN31" s="87">
        <v>1333.742</v>
      </c>
      <c r="AO31" s="87">
        <v>1365.3810000000001</v>
      </c>
      <c r="AP31" s="87">
        <v>1396.527</v>
      </c>
      <c r="AQ31" s="87">
        <v>1447.146</v>
      </c>
      <c r="AR31" s="87">
        <v>1470.981</v>
      </c>
      <c r="AS31" s="87">
        <v>1501.3330000000001</v>
      </c>
      <c r="AT31" s="87">
        <v>1532.94</v>
      </c>
      <c r="AU31" s="87">
        <v>1565.9169999999999</v>
      </c>
      <c r="AV31" s="87">
        <v>1604.952</v>
      </c>
      <c r="AW31" s="187">
        <v>1641.8520000000001</v>
      </c>
      <c r="AX31" s="87">
        <v>1674.0509999999999</v>
      </c>
      <c r="AY31" s="87">
        <v>1715.922</v>
      </c>
      <c r="AZ31" s="87">
        <v>1778.4059999999999</v>
      </c>
      <c r="BA31" s="87">
        <v>1807.3630000000001</v>
      </c>
      <c r="BB31" s="87">
        <v>1841.2940000000001</v>
      </c>
      <c r="BC31" s="87">
        <v>1878.463</v>
      </c>
      <c r="BD31" s="87">
        <v>1918.9749999999999</v>
      </c>
      <c r="BE31" s="87">
        <v>1957.866</v>
      </c>
      <c r="BF31" s="87">
        <v>2004.835</v>
      </c>
      <c r="BG31" s="87">
        <v>2052.1280000000002</v>
      </c>
      <c r="BH31" s="87">
        <v>2098.1880000000001</v>
      </c>
      <c r="BI31" s="187">
        <v>2151.9369999999999</v>
      </c>
      <c r="BJ31" s="87">
        <v>2180.6770000000001</v>
      </c>
      <c r="BK31" s="87">
        <v>2218.6849999999999</v>
      </c>
      <c r="BL31" s="87">
        <v>2279.5659999999998</v>
      </c>
      <c r="BM31" s="87">
        <v>2318.366</v>
      </c>
      <c r="BN31" s="87">
        <v>2360.4899999999998</v>
      </c>
      <c r="BO31" s="87">
        <v>2421.4079999999999</v>
      </c>
      <c r="BP31" s="87">
        <v>2463.7579999999998</v>
      </c>
      <c r="BQ31" s="87">
        <v>2509.7159999999999</v>
      </c>
      <c r="BR31" s="87">
        <v>2589.4090000000001</v>
      </c>
      <c r="BS31" s="87">
        <v>2646.8989999999999</v>
      </c>
      <c r="BT31" s="87">
        <v>2719.3850000000002</v>
      </c>
      <c r="BU31" s="187">
        <v>2820.2779999999998</v>
      </c>
      <c r="BV31" s="87">
        <v>2872.3470000000002</v>
      </c>
      <c r="BW31" s="87">
        <v>2880.9180000000001</v>
      </c>
      <c r="BX31" s="87">
        <v>2892.973</v>
      </c>
      <c r="BY31" s="87">
        <v>2901.8629999999998</v>
      </c>
      <c r="BZ31" s="87">
        <v>2911.42</v>
      </c>
      <c r="CA31" s="87">
        <v>2922.2269999999999</v>
      </c>
      <c r="CB31" s="87">
        <v>2931.2289999999998</v>
      </c>
      <c r="CC31" s="87">
        <v>2940.982</v>
      </c>
      <c r="CD31" s="87">
        <v>2954.3389999999999</v>
      </c>
      <c r="CE31" s="87">
        <v>2960.846</v>
      </c>
      <c r="CF31" s="87">
        <v>2968.7069999999999</v>
      </c>
      <c r="CG31" s="187">
        <v>2976.0929999999998</v>
      </c>
      <c r="CH31" s="87">
        <v>2981.5720000000001</v>
      </c>
      <c r="CI31" s="87">
        <v>2988.3249999999998</v>
      </c>
      <c r="CJ31" s="87">
        <v>2998.0970000000002</v>
      </c>
      <c r="CK31" s="87">
        <v>3004.2089999999998</v>
      </c>
      <c r="CL31" s="87">
        <v>3011.1179999999999</v>
      </c>
      <c r="CM31" s="87">
        <v>3018.712</v>
      </c>
      <c r="CN31" s="87">
        <v>3025.5059999999999</v>
      </c>
      <c r="CO31" s="87">
        <v>3033.027</v>
      </c>
      <c r="CP31" s="87">
        <v>3041.1</v>
      </c>
      <c r="CQ31" s="87">
        <v>3048.212</v>
      </c>
      <c r="CR31" s="87">
        <v>3056.462</v>
      </c>
      <c r="CS31" s="187">
        <v>3062.9059999999999</v>
      </c>
      <c r="CT31" s="87">
        <v>3069.4279999999999</v>
      </c>
      <c r="CU31" s="87">
        <v>3075.5320000000002</v>
      </c>
      <c r="CV31" s="87">
        <v>3083.5859999999998</v>
      </c>
      <c r="CW31" s="87">
        <v>3090.5949999999998</v>
      </c>
      <c r="CX31" s="87">
        <v>3098.7510000000002</v>
      </c>
      <c r="CY31" s="87">
        <v>3107.538</v>
      </c>
      <c r="CZ31" s="87">
        <v>3115.7530000000002</v>
      </c>
      <c r="DA31" s="87">
        <v>3124.81</v>
      </c>
      <c r="DB31" s="87">
        <v>3134.8829999999998</v>
      </c>
      <c r="DC31" s="87">
        <v>3145.7350000000001</v>
      </c>
      <c r="DD31" s="87">
        <v>3158.17</v>
      </c>
      <c r="DE31" s="187">
        <v>3169.962</v>
      </c>
      <c r="DF31" s="87">
        <v>3184.5680000000002</v>
      </c>
      <c r="DG31" s="87">
        <v>3203.6529999999998</v>
      </c>
      <c r="DH31" s="87">
        <v>3254.6439999999998</v>
      </c>
      <c r="DI31" s="87">
        <v>3256.5659999999998</v>
      </c>
      <c r="DJ31" s="87">
        <v>3259.2829999999999</v>
      </c>
      <c r="DK31" s="87">
        <v>3262.4749999999999</v>
      </c>
      <c r="DL31" s="87">
        <v>3266.8389999999999</v>
      </c>
      <c r="DM31" s="87">
        <v>3271.1950000000002</v>
      </c>
      <c r="DN31" s="87">
        <v>3276.8310000000001</v>
      </c>
      <c r="DO31" s="87">
        <v>3283.06</v>
      </c>
      <c r="DP31" s="87">
        <v>3288.7950000000001</v>
      </c>
      <c r="DQ31" s="187">
        <v>3293.0140000000001</v>
      </c>
      <c r="DR31" s="87">
        <v>3298.7829999999999</v>
      </c>
      <c r="DS31" s="87">
        <v>3304.72</v>
      </c>
      <c r="DT31" s="87">
        <v>3310.788</v>
      </c>
      <c r="DU31" s="87">
        <v>3312.9169999999999</v>
      </c>
      <c r="DV31" s="87">
        <v>3316.3159999999998</v>
      </c>
      <c r="DW31" s="87">
        <v>3322.61</v>
      </c>
      <c r="DX31" s="87">
        <v>3329.7739999999999</v>
      </c>
      <c r="DY31" s="87">
        <v>3336.2809999999999</v>
      </c>
      <c r="DZ31" s="87">
        <v>3344.9580000000001</v>
      </c>
      <c r="EA31" s="87">
        <v>3353.6759999999999</v>
      </c>
      <c r="EB31" s="87">
        <v>3363.35</v>
      </c>
      <c r="EC31" s="187">
        <v>3371.759</v>
      </c>
      <c r="ED31" s="87">
        <v>3381.7890000000002</v>
      </c>
      <c r="EE31" s="87">
        <v>3391.239</v>
      </c>
      <c r="EF31" s="87">
        <v>3405.4859999999999</v>
      </c>
      <c r="EG31" s="87">
        <v>3419.44</v>
      </c>
      <c r="EH31" s="87">
        <v>3433.962</v>
      </c>
      <c r="EI31" s="87">
        <v>3448.1640000000002</v>
      </c>
      <c r="EJ31" s="87">
        <v>3461.732</v>
      </c>
      <c r="EK31" s="87">
        <v>3475.1410000000001</v>
      </c>
      <c r="EL31" s="87">
        <v>3491.6309999999999</v>
      </c>
      <c r="EM31" s="87">
        <v>3507.2359999999999</v>
      </c>
      <c r="EN31" s="87">
        <v>3526.9380000000001</v>
      </c>
      <c r="EO31" s="89">
        <v>3541.4189999999999</v>
      </c>
      <c r="EP31" s="87">
        <v>3559.9569999999999</v>
      </c>
      <c r="EQ31" s="87">
        <v>3581.84</v>
      </c>
      <c r="ER31" s="87">
        <v>3613.2440000000001</v>
      </c>
      <c r="ES31" s="87">
        <v>3645.2689999999998</v>
      </c>
      <c r="ET31" s="87">
        <v>3683.377</v>
      </c>
      <c r="EU31" s="87">
        <v>3722.0839999999998</v>
      </c>
      <c r="EV31" s="87">
        <v>3762.096</v>
      </c>
      <c r="EW31" s="87">
        <v>3806.8969999999999</v>
      </c>
      <c r="EX31" s="87">
        <v>3861.1610000000001</v>
      </c>
      <c r="EY31" s="87">
        <v>3916.509</v>
      </c>
      <c r="EZ31" s="87">
        <v>3979.6419999999998</v>
      </c>
      <c r="FA31" s="89">
        <v>4028.1660000000002</v>
      </c>
      <c r="FB31" s="87">
        <v>4096.3100000000004</v>
      </c>
      <c r="FC31" s="87">
        <v>4168.3919999999998</v>
      </c>
      <c r="FD31" s="87">
        <v>4249.9549999999999</v>
      </c>
      <c r="FE31" s="87">
        <v>4316.201</v>
      </c>
      <c r="FF31" s="87">
        <v>4389.3410000000003</v>
      </c>
      <c r="FG31" s="87">
        <v>4463.6459999999997</v>
      </c>
      <c r="FH31" s="87">
        <v>4527.4960000000001</v>
      </c>
      <c r="FI31" s="87">
        <v>4591.3149999999996</v>
      </c>
      <c r="FJ31" s="87">
        <v>4654.16</v>
      </c>
      <c r="FK31" s="87">
        <v>4715.2700000000004</v>
      </c>
      <c r="FL31" s="161">
        <v>4776.5429999999997</v>
      </c>
      <c r="FM31" s="161">
        <v>4816.9809999999998</v>
      </c>
      <c r="FN31" s="170">
        <v>4868.6189999999997</v>
      </c>
      <c r="FO31" s="161">
        <v>4922.0940000000001</v>
      </c>
      <c r="FP31" s="161">
        <v>4978.1559999999999</v>
      </c>
      <c r="FQ31" s="161">
        <v>5037.5929999999998</v>
      </c>
      <c r="FR31" s="161">
        <v>5098.7910000000002</v>
      </c>
      <c r="FS31" s="161">
        <v>5154.7420000000002</v>
      </c>
      <c r="FT31" s="161">
        <v>5214.049</v>
      </c>
      <c r="FU31" s="161">
        <v>5268.7560000000003</v>
      </c>
      <c r="FV31" s="161">
        <v>5326.8069999999998</v>
      </c>
      <c r="FW31" s="161">
        <v>5392.7950000000001</v>
      </c>
      <c r="FX31" s="161">
        <v>5456.7510000000002</v>
      </c>
      <c r="FY31" s="194">
        <v>5502.5510000000004</v>
      </c>
      <c r="FZ31" s="161">
        <v>5562.8950000000004</v>
      </c>
      <c r="GA31" s="161">
        <v>5629.3130000000001</v>
      </c>
      <c r="GB31" s="161">
        <v>5707.2929999999997</v>
      </c>
      <c r="GC31" s="161">
        <v>5776.183</v>
      </c>
      <c r="GD31" s="161">
        <v>5853.3159999999998</v>
      </c>
      <c r="GE31" s="161">
        <v>5929.3850000000002</v>
      </c>
      <c r="GF31" s="161">
        <v>6010.9579999999996</v>
      </c>
      <c r="GG31" s="161">
        <v>6083.2089999999998</v>
      </c>
      <c r="GH31" s="161">
        <v>6164.8959999999997</v>
      </c>
      <c r="GI31" s="161">
        <v>6250.4660000000003</v>
      </c>
      <c r="GJ31" s="161">
        <v>6325.9340000000002</v>
      </c>
      <c r="GK31" s="194">
        <v>6383.8469999999998</v>
      </c>
      <c r="GL31" s="161">
        <v>6449.4750000000004</v>
      </c>
      <c r="GM31" s="161">
        <v>6522.8850000000002</v>
      </c>
      <c r="GN31" s="161">
        <v>6612.1139999999996</v>
      </c>
      <c r="GO31" s="161">
        <v>6697.57</v>
      </c>
      <c r="GP31" s="161">
        <v>6764.5349999999999</v>
      </c>
      <c r="GQ31" s="161">
        <v>6866.8109999999997</v>
      </c>
    </row>
    <row r="32" spans="1:200" customFormat="1" ht="20.149999999999999" customHeight="1" x14ac:dyDescent="0.35">
      <c r="EO32" s="209"/>
      <c r="EP32" s="178"/>
      <c r="ES32" s="178"/>
      <c r="ET32" s="178"/>
      <c r="EU32" s="178"/>
      <c r="EV32" s="178"/>
      <c r="EW32" s="178"/>
      <c r="EX32" s="178"/>
      <c r="EY32" s="178"/>
      <c r="EZ32" s="178"/>
      <c r="FA32" s="210"/>
      <c r="FB32" s="178"/>
      <c r="FC32" s="178"/>
      <c r="FD32" s="178"/>
      <c r="FE32" s="178"/>
      <c r="FF32" s="178"/>
      <c r="FG32" s="178"/>
      <c r="FH32" s="178"/>
      <c r="FI32" s="178"/>
      <c r="FJ32" s="178"/>
      <c r="FK32" s="178"/>
      <c r="FL32" s="178"/>
      <c r="FM32" s="209"/>
      <c r="FN32" s="124"/>
      <c r="FO32" s="178"/>
      <c r="FP32" s="178"/>
      <c r="FQ32" s="178"/>
      <c r="FR32" s="178"/>
      <c r="FS32" s="178"/>
      <c r="FT32" s="178"/>
      <c r="FU32" s="178"/>
      <c r="FV32" s="178"/>
      <c r="FW32" s="178"/>
      <c r="FX32" s="178"/>
      <c r="FY32" s="209"/>
      <c r="FZ32" s="178"/>
      <c r="GA32" s="178"/>
      <c r="GB32" s="178"/>
      <c r="GC32" s="178"/>
      <c r="GD32" s="178"/>
      <c r="GE32" s="178"/>
      <c r="GF32" s="178"/>
      <c r="GG32" s="178"/>
      <c r="GH32" s="178"/>
      <c r="GI32" s="178"/>
      <c r="GJ32" s="178"/>
      <c r="GK32" s="209"/>
      <c r="GL32" s="178"/>
      <c r="GM32" s="178"/>
      <c r="GN32" s="178"/>
      <c r="GO32" s="178"/>
    </row>
    <row r="33" spans="1:199" customFormat="1" ht="30.65" customHeight="1" x14ac:dyDescent="0.35">
      <c r="A33" s="21" t="s">
        <v>272</v>
      </c>
      <c r="B33" s="22" t="s">
        <v>76</v>
      </c>
      <c r="C33" s="23" t="s">
        <v>77</v>
      </c>
      <c r="D33" s="23" t="s">
        <v>78</v>
      </c>
      <c r="E33" s="23" t="s">
        <v>79</v>
      </c>
      <c r="F33" s="23" t="s">
        <v>80</v>
      </c>
      <c r="G33" s="23" t="s">
        <v>81</v>
      </c>
      <c r="H33" s="23" t="s">
        <v>82</v>
      </c>
      <c r="I33" s="23" t="s">
        <v>83</v>
      </c>
      <c r="J33" s="23" t="s">
        <v>84</v>
      </c>
      <c r="K33" s="23" t="s">
        <v>85</v>
      </c>
      <c r="L33" s="23" t="s">
        <v>86</v>
      </c>
      <c r="M33" s="23" t="s">
        <v>87</v>
      </c>
      <c r="N33" s="22" t="s">
        <v>88</v>
      </c>
      <c r="O33" s="23" t="s">
        <v>89</v>
      </c>
      <c r="P33" s="23" t="s">
        <v>90</v>
      </c>
      <c r="Q33" s="23" t="s">
        <v>91</v>
      </c>
      <c r="R33" s="23" t="s">
        <v>92</v>
      </c>
      <c r="S33" s="23" t="s">
        <v>93</v>
      </c>
      <c r="T33" s="23" t="s">
        <v>94</v>
      </c>
      <c r="U33" s="23" t="s">
        <v>95</v>
      </c>
      <c r="V33" s="23" t="s">
        <v>96</v>
      </c>
      <c r="W33" s="23" t="s">
        <v>97</v>
      </c>
      <c r="X33" s="23" t="s">
        <v>98</v>
      </c>
      <c r="Y33" s="23" t="s">
        <v>99</v>
      </c>
      <c r="Z33" s="22" t="s">
        <v>100</v>
      </c>
      <c r="AA33" s="23" t="s">
        <v>101</v>
      </c>
      <c r="AB33" s="23" t="s">
        <v>102</v>
      </c>
      <c r="AC33" s="23" t="s">
        <v>103</v>
      </c>
      <c r="AD33" s="23" t="s">
        <v>104</v>
      </c>
      <c r="AE33" s="23" t="s">
        <v>105</v>
      </c>
      <c r="AF33" s="23" t="s">
        <v>106</v>
      </c>
      <c r="AG33" s="23" t="s">
        <v>107</v>
      </c>
      <c r="AH33" s="23" t="s">
        <v>108</v>
      </c>
      <c r="AI33" s="23" t="s">
        <v>109</v>
      </c>
      <c r="AJ33" s="23" t="s">
        <v>110</v>
      </c>
      <c r="AK33" s="23" t="s">
        <v>111</v>
      </c>
      <c r="AL33" s="22" t="s">
        <v>112</v>
      </c>
      <c r="AM33" s="23" t="s">
        <v>113</v>
      </c>
      <c r="AN33" s="23" t="s">
        <v>114</v>
      </c>
      <c r="AO33" s="23" t="s">
        <v>115</v>
      </c>
      <c r="AP33" s="23" t="s">
        <v>116</v>
      </c>
      <c r="AQ33" s="23" t="s">
        <v>117</v>
      </c>
      <c r="AR33" s="23" t="s">
        <v>118</v>
      </c>
      <c r="AS33" s="23" t="s">
        <v>119</v>
      </c>
      <c r="AT33" s="23" t="s">
        <v>120</v>
      </c>
      <c r="AU33" s="23" t="s">
        <v>121</v>
      </c>
      <c r="AV33" s="23" t="s">
        <v>122</v>
      </c>
      <c r="AW33" s="24" t="s">
        <v>123</v>
      </c>
      <c r="AX33" s="23" t="s">
        <v>124</v>
      </c>
      <c r="AY33" s="23" t="s">
        <v>125</v>
      </c>
      <c r="AZ33" s="23" t="s">
        <v>126</v>
      </c>
      <c r="BA33" s="23" t="s">
        <v>127</v>
      </c>
      <c r="BB33" s="23" t="s">
        <v>128</v>
      </c>
      <c r="BC33" s="23" t="s">
        <v>129</v>
      </c>
      <c r="BD33" s="23" t="s">
        <v>130</v>
      </c>
      <c r="BE33" s="23" t="s">
        <v>131</v>
      </c>
      <c r="BF33" s="23" t="s">
        <v>132</v>
      </c>
      <c r="BG33" s="23" t="s">
        <v>133</v>
      </c>
      <c r="BH33" s="23" t="s">
        <v>134</v>
      </c>
      <c r="BI33" s="24" t="s">
        <v>135</v>
      </c>
      <c r="BJ33" s="23" t="s">
        <v>136</v>
      </c>
      <c r="BK33" s="23" t="s">
        <v>137</v>
      </c>
      <c r="BL33" s="23" t="s">
        <v>138</v>
      </c>
      <c r="BM33" s="23" t="s">
        <v>139</v>
      </c>
      <c r="BN33" s="23" t="s">
        <v>140</v>
      </c>
      <c r="BO33" s="23" t="s">
        <v>141</v>
      </c>
      <c r="BP33" s="23" t="s">
        <v>142</v>
      </c>
      <c r="BQ33" s="23" t="s">
        <v>143</v>
      </c>
      <c r="BR33" s="23" t="s">
        <v>144</v>
      </c>
      <c r="BS33" s="23" t="s">
        <v>145</v>
      </c>
      <c r="BT33" s="23" t="s">
        <v>146</v>
      </c>
      <c r="BU33" s="24" t="s">
        <v>147</v>
      </c>
      <c r="BV33" s="23" t="s">
        <v>148</v>
      </c>
      <c r="BW33" s="23" t="s">
        <v>149</v>
      </c>
      <c r="BX33" s="23" t="s">
        <v>150</v>
      </c>
      <c r="BY33" s="23" t="s">
        <v>151</v>
      </c>
      <c r="BZ33" s="23" t="s">
        <v>152</v>
      </c>
      <c r="CA33" s="23" t="s">
        <v>153</v>
      </c>
      <c r="CB33" s="23" t="s">
        <v>154</v>
      </c>
      <c r="CC33" s="23" t="s">
        <v>155</v>
      </c>
      <c r="CD33" s="23" t="s">
        <v>156</v>
      </c>
      <c r="CE33" s="23" t="s">
        <v>157</v>
      </c>
      <c r="CF33" s="23" t="s">
        <v>158</v>
      </c>
      <c r="CG33" s="24" t="s">
        <v>159</v>
      </c>
      <c r="CH33" s="23" t="s">
        <v>160</v>
      </c>
      <c r="CI33" s="23" t="s">
        <v>161</v>
      </c>
      <c r="CJ33" s="23" t="s">
        <v>162</v>
      </c>
      <c r="CK33" s="23" t="s">
        <v>163</v>
      </c>
      <c r="CL33" s="23" t="s">
        <v>164</v>
      </c>
      <c r="CM33" s="23" t="s">
        <v>165</v>
      </c>
      <c r="CN33" s="23" t="s">
        <v>166</v>
      </c>
      <c r="CO33" s="23" t="s">
        <v>167</v>
      </c>
      <c r="CP33" s="23" t="s">
        <v>168</v>
      </c>
      <c r="CQ33" s="23" t="s">
        <v>169</v>
      </c>
      <c r="CR33" s="23" t="s">
        <v>170</v>
      </c>
      <c r="CS33" s="24" t="s">
        <v>171</v>
      </c>
      <c r="CT33" s="23" t="s">
        <v>172</v>
      </c>
      <c r="CU33" s="23" t="s">
        <v>173</v>
      </c>
      <c r="CV33" s="23" t="s">
        <v>174</v>
      </c>
      <c r="CW33" s="23" t="s">
        <v>175</v>
      </c>
      <c r="CX33" s="23" t="s">
        <v>176</v>
      </c>
      <c r="CY33" s="23" t="s">
        <v>177</v>
      </c>
      <c r="CZ33" s="23" t="s">
        <v>178</v>
      </c>
      <c r="DA33" s="23" t="s">
        <v>179</v>
      </c>
      <c r="DB33" s="23" t="s">
        <v>180</v>
      </c>
      <c r="DC33" s="23" t="s">
        <v>181</v>
      </c>
      <c r="DD33" s="23" t="s">
        <v>182</v>
      </c>
      <c r="DE33" s="24" t="s">
        <v>183</v>
      </c>
      <c r="DF33" s="23" t="s">
        <v>184</v>
      </c>
      <c r="DG33" s="23" t="s">
        <v>185</v>
      </c>
      <c r="DH33" s="23" t="s">
        <v>186</v>
      </c>
      <c r="DI33" s="23" t="s">
        <v>187</v>
      </c>
      <c r="DJ33" s="23" t="s">
        <v>188</v>
      </c>
      <c r="DK33" s="23" t="s">
        <v>189</v>
      </c>
      <c r="DL33" s="23" t="s">
        <v>190</v>
      </c>
      <c r="DM33" s="23" t="s">
        <v>191</v>
      </c>
      <c r="DN33" s="23" t="s">
        <v>192</v>
      </c>
      <c r="DO33" s="23" t="s">
        <v>193</v>
      </c>
      <c r="DP33" s="23" t="s">
        <v>194</v>
      </c>
      <c r="DQ33" s="24" t="s">
        <v>195</v>
      </c>
      <c r="DR33" s="23" t="s">
        <v>196</v>
      </c>
      <c r="DS33" s="23" t="s">
        <v>197</v>
      </c>
      <c r="DT33" s="23" t="s">
        <v>198</v>
      </c>
      <c r="DU33" s="23" t="s">
        <v>199</v>
      </c>
      <c r="DV33" s="23" t="s">
        <v>200</v>
      </c>
      <c r="DW33" s="23" t="s">
        <v>201</v>
      </c>
      <c r="DX33" s="23" t="s">
        <v>202</v>
      </c>
      <c r="DY33" s="23" t="s">
        <v>203</v>
      </c>
      <c r="DZ33" s="23" t="s">
        <v>204</v>
      </c>
      <c r="EA33" s="23" t="s">
        <v>205</v>
      </c>
      <c r="EB33" s="23" t="s">
        <v>206</v>
      </c>
      <c r="EC33" s="24" t="s">
        <v>207</v>
      </c>
      <c r="ED33" s="23" t="s">
        <v>208</v>
      </c>
      <c r="EE33" s="23" t="s">
        <v>209</v>
      </c>
      <c r="EF33" s="23" t="s">
        <v>210</v>
      </c>
      <c r="EG33" s="23" t="s">
        <v>211</v>
      </c>
      <c r="EH33" s="23" t="s">
        <v>212</v>
      </c>
      <c r="EI33" s="23" t="s">
        <v>213</v>
      </c>
      <c r="EJ33" s="23" t="s">
        <v>214</v>
      </c>
      <c r="EK33" s="23" t="s">
        <v>215</v>
      </c>
      <c r="EL33" s="23" t="s">
        <v>273</v>
      </c>
      <c r="EM33" s="23" t="s">
        <v>217</v>
      </c>
      <c r="EN33" s="43" t="s">
        <v>218</v>
      </c>
      <c r="EO33" s="24" t="s">
        <v>219</v>
      </c>
      <c r="EP33" s="23" t="s">
        <v>220</v>
      </c>
      <c r="EQ33" s="43" t="s">
        <v>221</v>
      </c>
      <c r="ER33" s="43" t="s">
        <v>222</v>
      </c>
      <c r="ES33" s="43" t="s">
        <v>223</v>
      </c>
      <c r="ET33" s="43" t="s">
        <v>224</v>
      </c>
      <c r="EU33" s="43" t="s">
        <v>225</v>
      </c>
      <c r="EV33" s="43" t="s">
        <v>226</v>
      </c>
      <c r="EW33" s="43" t="s">
        <v>227</v>
      </c>
      <c r="EX33" s="43" t="s">
        <v>228</v>
      </c>
      <c r="EY33" s="43" t="s">
        <v>229</v>
      </c>
      <c r="EZ33" s="43" t="s">
        <v>230</v>
      </c>
      <c r="FA33" s="24" t="s">
        <v>231</v>
      </c>
      <c r="FB33" s="43" t="s">
        <v>232</v>
      </c>
      <c r="FC33" s="43" t="s">
        <v>233</v>
      </c>
      <c r="FD33" s="43" t="s">
        <v>234</v>
      </c>
      <c r="FE33" s="43" t="s">
        <v>235</v>
      </c>
      <c r="FF33" s="43" t="s">
        <v>236</v>
      </c>
      <c r="FG33" s="43" t="s">
        <v>237</v>
      </c>
      <c r="FH33" s="43" t="s">
        <v>238</v>
      </c>
      <c r="FI33" s="43" t="s">
        <v>239</v>
      </c>
      <c r="FJ33" s="43" t="s">
        <v>240</v>
      </c>
      <c r="FK33" s="43" t="s">
        <v>241</v>
      </c>
      <c r="FL33" s="43" t="s">
        <v>242</v>
      </c>
      <c r="FM33" s="43" t="s">
        <v>243</v>
      </c>
      <c r="FN33" s="147" t="s">
        <v>244</v>
      </c>
      <c r="FO33" s="43" t="s">
        <v>245</v>
      </c>
      <c r="FP33" s="43" t="s">
        <v>246</v>
      </c>
      <c r="FQ33" s="43" t="s">
        <v>247</v>
      </c>
      <c r="FR33" s="43" t="s">
        <v>248</v>
      </c>
      <c r="FS33" s="43" t="s">
        <v>249</v>
      </c>
      <c r="FT33" s="43" t="s">
        <v>250</v>
      </c>
      <c r="FU33" s="43" t="s">
        <v>251</v>
      </c>
      <c r="FV33" s="43" t="s">
        <v>252</v>
      </c>
      <c r="FW33" s="43" t="s">
        <v>253</v>
      </c>
      <c r="FX33" s="43" t="s">
        <v>254</v>
      </c>
      <c r="FY33" s="141" t="s">
        <v>255</v>
      </c>
      <c r="FZ33" s="43" t="s">
        <v>256</v>
      </c>
      <c r="GA33" s="43" t="s">
        <v>257</v>
      </c>
      <c r="GB33" s="43" t="s">
        <v>258</v>
      </c>
      <c r="GC33" s="43" t="s">
        <v>259</v>
      </c>
      <c r="GD33" s="43" t="s">
        <v>260</v>
      </c>
      <c r="GE33" s="43" t="s">
        <v>261</v>
      </c>
      <c r="GF33" s="43" t="s">
        <v>262</v>
      </c>
      <c r="GG33" s="43" t="s">
        <v>263</v>
      </c>
      <c r="GH33" s="43" t="s">
        <v>264</v>
      </c>
      <c r="GI33" s="43" t="s">
        <v>265</v>
      </c>
      <c r="GJ33" s="43" t="s">
        <v>1622</v>
      </c>
      <c r="GK33" s="141" t="s">
        <v>1629</v>
      </c>
      <c r="GL33" s="43" t="s">
        <v>1630</v>
      </c>
      <c r="GM33" s="43" t="s">
        <v>1635</v>
      </c>
      <c r="GN33" s="43" t="s">
        <v>1638</v>
      </c>
      <c r="GO33" s="43" t="s">
        <v>1645</v>
      </c>
      <c r="GP33" s="43" t="s">
        <v>1649</v>
      </c>
      <c r="GQ33" s="43" t="s">
        <v>1663</v>
      </c>
    </row>
    <row r="34" spans="1:199" s="37" customFormat="1" ht="36" customHeight="1" x14ac:dyDescent="0.35">
      <c r="A34" s="26" t="s">
        <v>266</v>
      </c>
      <c r="B34" s="27"/>
      <c r="C34" s="27"/>
      <c r="D34" s="27"/>
      <c r="E34" s="27"/>
      <c r="F34" s="27"/>
      <c r="G34" s="27"/>
      <c r="H34" s="27"/>
      <c r="I34" s="27"/>
      <c r="J34" s="27"/>
      <c r="K34" s="27"/>
      <c r="L34" s="27"/>
      <c r="M34" s="28"/>
      <c r="N34" s="29"/>
      <c r="O34" s="27"/>
      <c r="P34" s="27"/>
      <c r="Q34" s="27"/>
      <c r="R34" s="27"/>
      <c r="S34" s="27"/>
      <c r="T34" s="27"/>
      <c r="U34" s="27"/>
      <c r="V34" s="27"/>
      <c r="W34" s="27"/>
      <c r="X34" s="27"/>
      <c r="Y34" s="28"/>
      <c r="Z34" s="29"/>
      <c r="AA34" s="27"/>
      <c r="AB34" s="27"/>
      <c r="AC34" s="27"/>
      <c r="AD34" s="27"/>
      <c r="AE34" s="27"/>
      <c r="AF34" s="27"/>
      <c r="AG34" s="27"/>
      <c r="AH34" s="27"/>
      <c r="AI34" s="27"/>
      <c r="AJ34" s="27"/>
      <c r="AK34" s="28"/>
      <c r="AL34" s="29"/>
      <c r="AM34" s="27"/>
      <c r="AN34" s="27"/>
      <c r="AO34" s="27"/>
      <c r="AP34" s="27"/>
      <c r="AQ34" s="27"/>
      <c r="AR34" s="27"/>
      <c r="AS34" s="27"/>
      <c r="AT34" s="27"/>
      <c r="AU34" s="27"/>
      <c r="AV34" s="27"/>
      <c r="AW34" s="28"/>
      <c r="AX34" s="27"/>
      <c r="AY34" s="27"/>
      <c r="AZ34" s="27"/>
      <c r="BA34" s="27"/>
      <c r="BB34" s="27"/>
      <c r="BC34" s="27"/>
      <c r="BD34" s="27"/>
      <c r="BE34" s="27"/>
      <c r="BF34" s="27"/>
      <c r="BG34" s="27"/>
      <c r="BH34" s="27"/>
      <c r="BI34" s="28"/>
      <c r="BJ34" s="27"/>
      <c r="BK34" s="27"/>
      <c r="BL34" s="27"/>
      <c r="BM34" s="27"/>
      <c r="BN34" s="27"/>
      <c r="BO34" s="27"/>
      <c r="BP34" s="27"/>
      <c r="BQ34" s="27"/>
      <c r="BR34" s="27"/>
      <c r="BS34" s="27"/>
      <c r="BT34" s="27"/>
      <c r="BU34" s="28"/>
      <c r="BV34" s="27"/>
      <c r="BW34" s="27"/>
      <c r="BX34" s="27"/>
      <c r="BY34" s="27"/>
      <c r="BZ34" s="27"/>
      <c r="CA34" s="27"/>
      <c r="CB34" s="27"/>
      <c r="CC34" s="27"/>
      <c r="CD34" s="27"/>
      <c r="CE34" s="27"/>
      <c r="CF34" s="27"/>
      <c r="CG34" s="28"/>
      <c r="CH34" s="27"/>
      <c r="CI34" s="27"/>
      <c r="CJ34" s="27"/>
      <c r="CK34" s="27"/>
      <c r="CL34" s="27"/>
      <c r="CM34" s="27"/>
      <c r="CN34" s="27"/>
      <c r="CO34" s="27"/>
      <c r="CP34" s="27"/>
      <c r="CQ34" s="27"/>
      <c r="CR34" s="27"/>
      <c r="CS34" s="28"/>
      <c r="CT34" s="27"/>
      <c r="CU34" s="27"/>
      <c r="CV34" s="27"/>
      <c r="CW34" s="27"/>
      <c r="CX34" s="27"/>
      <c r="CY34" s="27"/>
      <c r="CZ34" s="27"/>
      <c r="DA34" s="27"/>
      <c r="DB34" s="27"/>
      <c r="DC34" s="27"/>
      <c r="DD34" s="27"/>
      <c r="DE34" s="28"/>
      <c r="DF34" s="27"/>
      <c r="DG34" s="27"/>
      <c r="DH34" s="27"/>
      <c r="DI34" s="27"/>
      <c r="DJ34" s="27"/>
      <c r="DK34" s="27"/>
      <c r="DL34" s="27"/>
      <c r="DM34" s="27"/>
      <c r="DN34" s="27"/>
      <c r="DO34" s="27"/>
      <c r="DP34" s="27"/>
      <c r="DQ34" s="28"/>
      <c r="DR34" s="27"/>
      <c r="DS34" s="27"/>
      <c r="DT34" s="27"/>
      <c r="DU34" s="27"/>
      <c r="DV34" s="27"/>
      <c r="DW34" s="27"/>
      <c r="DX34" s="27"/>
      <c r="DY34" s="27"/>
      <c r="DZ34" s="27"/>
      <c r="EA34" s="27"/>
      <c r="EB34" s="27"/>
      <c r="EC34" s="28"/>
      <c r="ED34" s="27"/>
      <c r="EE34" s="27"/>
      <c r="EF34" s="27"/>
      <c r="EG34" s="27"/>
      <c r="EH34" s="27"/>
      <c r="EI34" s="27"/>
      <c r="EJ34" s="27"/>
      <c r="EK34" s="27"/>
      <c r="EL34" s="38"/>
      <c r="EM34" s="30"/>
      <c r="EN34" s="30"/>
      <c r="EO34" s="28"/>
      <c r="EP34" s="27"/>
      <c r="EQ34" s="38"/>
      <c r="ER34" s="38"/>
      <c r="ES34" s="38"/>
      <c r="ET34" s="38"/>
      <c r="EU34" s="38"/>
      <c r="EV34" s="38"/>
      <c r="EW34" s="39"/>
      <c r="EX34" s="39"/>
      <c r="EY34" s="38"/>
      <c r="EZ34" s="38"/>
      <c r="FA34" s="28"/>
      <c r="FB34" s="38"/>
      <c r="FC34" s="38"/>
      <c r="FD34" s="38"/>
      <c r="FE34" s="38"/>
      <c r="FF34" s="38"/>
      <c r="FG34" s="38"/>
      <c r="FH34" s="38"/>
      <c r="FI34" s="38"/>
      <c r="FJ34" s="38"/>
      <c r="FK34" s="38"/>
      <c r="FL34" s="38"/>
      <c r="FM34" s="38"/>
      <c r="FN34" s="166"/>
      <c r="FO34" s="38"/>
      <c r="FP34" s="38"/>
      <c r="FQ34" s="38"/>
      <c r="FR34" s="38"/>
      <c r="FS34" s="38"/>
      <c r="FT34" s="38"/>
      <c r="FU34" s="179"/>
      <c r="FV34" s="179"/>
      <c r="FW34" s="179"/>
      <c r="FX34" s="179"/>
      <c r="FY34" s="195"/>
      <c r="FZ34" s="179"/>
      <c r="GA34" s="179"/>
      <c r="GB34" s="179"/>
      <c r="GC34" s="179"/>
      <c r="GD34" s="179"/>
      <c r="GE34" s="179"/>
      <c r="GF34" s="179"/>
      <c r="GG34" s="179"/>
      <c r="GH34" s="179"/>
      <c r="GI34" s="179"/>
      <c r="GJ34" s="179"/>
      <c r="GK34" s="195"/>
      <c r="GL34" s="179"/>
      <c r="GM34" s="179"/>
      <c r="GN34" s="179"/>
      <c r="GO34" s="179"/>
      <c r="GP34" s="179"/>
      <c r="GQ34" s="179"/>
    </row>
    <row r="35" spans="1:199" s="30" customFormat="1" ht="20.149999999999999" customHeight="1" x14ac:dyDescent="0.35">
      <c r="A35" s="31" t="s">
        <v>1623</v>
      </c>
      <c r="B35" s="55">
        <v>4202</v>
      </c>
      <c r="C35" s="55">
        <v>4757</v>
      </c>
      <c r="D35" s="55">
        <v>5723</v>
      </c>
      <c r="E35" s="55">
        <v>6729</v>
      </c>
      <c r="F35" s="55">
        <v>8182</v>
      </c>
      <c r="G35" s="55">
        <v>10024</v>
      </c>
      <c r="H35" s="55">
        <v>12267</v>
      </c>
      <c r="I35" s="55">
        <v>14477</v>
      </c>
      <c r="J35" s="55">
        <v>17237</v>
      </c>
      <c r="K35" s="55">
        <v>20581</v>
      </c>
      <c r="L35" s="55">
        <v>24424</v>
      </c>
      <c r="M35" s="56">
        <v>27391</v>
      </c>
      <c r="N35" s="57">
        <v>31392</v>
      </c>
      <c r="O35" s="55">
        <v>35895</v>
      </c>
      <c r="P35" s="55">
        <v>42731</v>
      </c>
      <c r="Q35" s="55">
        <v>48787</v>
      </c>
      <c r="R35" s="55">
        <v>55725</v>
      </c>
      <c r="S35" s="55">
        <v>64759</v>
      </c>
      <c r="T35" s="55">
        <v>75126</v>
      </c>
      <c r="U35" s="55">
        <v>88147</v>
      </c>
      <c r="V35" s="55">
        <v>103885</v>
      </c>
      <c r="W35" s="55">
        <v>122089</v>
      </c>
      <c r="X35" s="55">
        <v>172218</v>
      </c>
      <c r="Y35" s="56">
        <v>212254</v>
      </c>
      <c r="Z35" s="57">
        <v>220176</v>
      </c>
      <c r="AA35" s="55">
        <v>257164</v>
      </c>
      <c r="AB35" s="55">
        <v>281336</v>
      </c>
      <c r="AC35" s="55">
        <v>286303</v>
      </c>
      <c r="AD35" s="55">
        <v>295067</v>
      </c>
      <c r="AE35" s="55">
        <v>305640</v>
      </c>
      <c r="AF35" s="55">
        <v>325003</v>
      </c>
      <c r="AG35" s="55">
        <v>328456</v>
      </c>
      <c r="AH35" s="55">
        <v>332749</v>
      </c>
      <c r="AI35" s="55">
        <v>340622</v>
      </c>
      <c r="AJ35" s="55">
        <v>345369</v>
      </c>
      <c r="AK35" s="56">
        <v>350178</v>
      </c>
      <c r="AL35" s="57">
        <v>355249</v>
      </c>
      <c r="AM35" s="55">
        <v>360506</v>
      </c>
      <c r="AN35" s="55">
        <v>366335</v>
      </c>
      <c r="AO35" s="55">
        <v>372119</v>
      </c>
      <c r="AP35" s="55">
        <v>377846</v>
      </c>
      <c r="AQ35" s="55">
        <v>385645</v>
      </c>
      <c r="AR35" s="55">
        <v>390465</v>
      </c>
      <c r="AS35" s="55">
        <v>395885</v>
      </c>
      <c r="AT35" s="55">
        <v>401498</v>
      </c>
      <c r="AU35" s="55">
        <v>407532</v>
      </c>
      <c r="AV35" s="55">
        <v>414249</v>
      </c>
      <c r="AW35" s="56">
        <v>419776</v>
      </c>
      <c r="AX35" s="55">
        <v>425255</v>
      </c>
      <c r="AY35" s="55">
        <v>431250</v>
      </c>
      <c r="AZ35" s="55">
        <v>440410</v>
      </c>
      <c r="BA35" s="55">
        <v>445918</v>
      </c>
      <c r="BB35" s="55">
        <v>451747</v>
      </c>
      <c r="BC35" s="55">
        <v>458099</v>
      </c>
      <c r="BD35" s="55">
        <v>465456</v>
      </c>
      <c r="BE35" s="55">
        <v>472546</v>
      </c>
      <c r="BF35" s="55">
        <v>481170</v>
      </c>
      <c r="BG35" s="55">
        <v>490103</v>
      </c>
      <c r="BH35" s="55">
        <v>498289</v>
      </c>
      <c r="BI35" s="56">
        <v>506389</v>
      </c>
      <c r="BJ35" s="55">
        <v>512683</v>
      </c>
      <c r="BK35" s="55">
        <v>520145</v>
      </c>
      <c r="BL35" s="55">
        <v>531293</v>
      </c>
      <c r="BM35" s="55">
        <v>539019</v>
      </c>
      <c r="BN35" s="55">
        <v>546989</v>
      </c>
      <c r="BO35" s="55">
        <v>558205</v>
      </c>
      <c r="BP35" s="55">
        <v>566503</v>
      </c>
      <c r="BQ35" s="55">
        <v>574639</v>
      </c>
      <c r="BR35" s="55">
        <v>587712</v>
      </c>
      <c r="BS35" s="55">
        <v>599993</v>
      </c>
      <c r="BT35" s="55">
        <v>616015</v>
      </c>
      <c r="BU35" s="56">
        <v>633400</v>
      </c>
      <c r="BV35" s="55">
        <v>644414</v>
      </c>
      <c r="BW35" s="55">
        <v>647153</v>
      </c>
      <c r="BX35" s="55">
        <v>650405</v>
      </c>
      <c r="BY35" s="55">
        <v>653049</v>
      </c>
      <c r="BZ35" s="55">
        <v>655777</v>
      </c>
      <c r="CA35" s="55">
        <v>658939</v>
      </c>
      <c r="CB35" s="55">
        <v>661447</v>
      </c>
      <c r="CC35" s="55">
        <v>663726</v>
      </c>
      <c r="CD35" s="55">
        <v>666540</v>
      </c>
      <c r="CE35" s="55">
        <v>668770</v>
      </c>
      <c r="CF35" s="55">
        <v>671549</v>
      </c>
      <c r="CG35" s="56">
        <v>673458</v>
      </c>
      <c r="CH35" s="55">
        <v>675478</v>
      </c>
      <c r="CI35" s="55">
        <v>677641</v>
      </c>
      <c r="CJ35" s="55">
        <v>680397</v>
      </c>
      <c r="CK35" s="55">
        <v>682273</v>
      </c>
      <c r="CL35" s="55">
        <v>684822</v>
      </c>
      <c r="CM35" s="55">
        <v>687235</v>
      </c>
      <c r="CN35" s="55">
        <v>689372</v>
      </c>
      <c r="CO35" s="55">
        <v>691880</v>
      </c>
      <c r="CP35" s="55">
        <v>694380</v>
      </c>
      <c r="CQ35" s="55">
        <v>696795</v>
      </c>
      <c r="CR35" s="55">
        <v>699739</v>
      </c>
      <c r="CS35" s="56">
        <v>701553</v>
      </c>
      <c r="CT35" s="55">
        <v>703754</v>
      </c>
      <c r="CU35" s="55">
        <v>705838</v>
      </c>
      <c r="CV35" s="55">
        <v>708292</v>
      </c>
      <c r="CW35" s="55">
        <v>710565</v>
      </c>
      <c r="CX35" s="55">
        <v>713106</v>
      </c>
      <c r="CY35" s="55">
        <v>715612</v>
      </c>
      <c r="CZ35" s="55">
        <v>718035</v>
      </c>
      <c r="DA35" s="55">
        <v>720842</v>
      </c>
      <c r="DB35" s="55">
        <v>723622</v>
      </c>
      <c r="DC35" s="55">
        <v>726960</v>
      </c>
      <c r="DD35" s="55">
        <v>730468</v>
      </c>
      <c r="DE35" s="56">
        <v>733228</v>
      </c>
      <c r="DF35" s="55">
        <v>736946</v>
      </c>
      <c r="DG35" s="55">
        <v>741029</v>
      </c>
      <c r="DH35" s="55">
        <v>750625</v>
      </c>
      <c r="DI35" s="55">
        <v>752485</v>
      </c>
      <c r="DJ35" s="55">
        <v>754804</v>
      </c>
      <c r="DK35" s="55">
        <v>757245</v>
      </c>
      <c r="DL35" s="55">
        <v>759594</v>
      </c>
      <c r="DM35" s="55">
        <v>762072</v>
      </c>
      <c r="DN35" s="55">
        <v>764664</v>
      </c>
      <c r="DO35" s="55">
        <v>767313</v>
      </c>
      <c r="DP35" s="55">
        <v>770139</v>
      </c>
      <c r="DQ35" s="56">
        <v>771999</v>
      </c>
      <c r="DR35" s="55">
        <v>774341</v>
      </c>
      <c r="DS35" s="55">
        <v>776557</v>
      </c>
      <c r="DT35" s="55">
        <v>778825</v>
      </c>
      <c r="DU35" s="55">
        <v>779154</v>
      </c>
      <c r="DV35" s="55">
        <v>779705</v>
      </c>
      <c r="DW35" s="55">
        <v>781085</v>
      </c>
      <c r="DX35" s="55">
        <v>783278</v>
      </c>
      <c r="DY35" s="55">
        <v>785514</v>
      </c>
      <c r="DZ35" s="55">
        <v>788345</v>
      </c>
      <c r="EA35" s="55">
        <v>791033</v>
      </c>
      <c r="EB35" s="55">
        <v>794014</v>
      </c>
      <c r="EC35" s="56">
        <v>796154</v>
      </c>
      <c r="ED35" s="55">
        <v>798740</v>
      </c>
      <c r="EE35" s="55">
        <v>801153</v>
      </c>
      <c r="EF35" s="55">
        <v>804410</v>
      </c>
      <c r="EG35" s="55">
        <v>807805</v>
      </c>
      <c r="EH35" s="55">
        <v>811248</v>
      </c>
      <c r="EI35" s="55">
        <v>814701</v>
      </c>
      <c r="EJ35" s="55">
        <v>817853</v>
      </c>
      <c r="EK35" s="55">
        <v>821281</v>
      </c>
      <c r="EL35" s="55">
        <v>825065</v>
      </c>
      <c r="EM35" s="55">
        <v>828586</v>
      </c>
      <c r="EN35" s="55">
        <v>833050</v>
      </c>
      <c r="EO35" s="56">
        <v>836334</v>
      </c>
      <c r="EP35" s="55">
        <v>840045</v>
      </c>
      <c r="EQ35" s="55">
        <v>844803</v>
      </c>
      <c r="ER35" s="55">
        <v>851069</v>
      </c>
      <c r="ES35" s="55">
        <v>856931</v>
      </c>
      <c r="ET35" s="55">
        <v>863181</v>
      </c>
      <c r="EU35" s="55">
        <v>869756</v>
      </c>
      <c r="EV35" s="55">
        <v>875629</v>
      </c>
      <c r="EW35" s="55">
        <v>882082</v>
      </c>
      <c r="EX35" s="55">
        <v>889662</v>
      </c>
      <c r="EY35" s="55">
        <v>896429</v>
      </c>
      <c r="EZ35" s="55">
        <v>903951</v>
      </c>
      <c r="FA35" s="56">
        <v>909559</v>
      </c>
      <c r="FB35" s="55">
        <v>916707</v>
      </c>
      <c r="FC35" s="55">
        <v>924469</v>
      </c>
      <c r="FD35" s="55">
        <v>933320</v>
      </c>
      <c r="FE35" s="55">
        <v>940223</v>
      </c>
      <c r="FF35" s="55">
        <v>947871</v>
      </c>
      <c r="FG35" s="55">
        <v>955974</v>
      </c>
      <c r="FH35" s="55">
        <v>962977</v>
      </c>
      <c r="FI35" s="55">
        <v>969894</v>
      </c>
      <c r="FJ35" s="39">
        <v>976873</v>
      </c>
      <c r="FK35" s="39">
        <v>983782</v>
      </c>
      <c r="FL35" s="39">
        <v>991287</v>
      </c>
      <c r="FM35" s="39">
        <v>995935</v>
      </c>
      <c r="FN35" s="77">
        <v>1002254</v>
      </c>
      <c r="FO35" s="39">
        <v>1009035</v>
      </c>
      <c r="FP35" s="39">
        <v>1016774</v>
      </c>
      <c r="FQ35" s="39">
        <v>1024308</v>
      </c>
      <c r="FR35" s="39">
        <v>1032503</v>
      </c>
      <c r="FS35" s="39">
        <v>1040976</v>
      </c>
      <c r="FT35" s="39">
        <v>1049538</v>
      </c>
      <c r="FU35" s="38">
        <v>1058114</v>
      </c>
      <c r="FV35" s="38">
        <v>1067914</v>
      </c>
      <c r="FW35" s="38">
        <v>1079711</v>
      </c>
      <c r="FX35" s="38">
        <v>1092983</v>
      </c>
      <c r="FY35" s="196">
        <v>1101538</v>
      </c>
      <c r="FZ35" s="38">
        <v>1112033</v>
      </c>
      <c r="GA35" s="38">
        <v>1124353</v>
      </c>
      <c r="GB35" s="38">
        <v>1139516</v>
      </c>
      <c r="GC35" s="38">
        <v>1151147</v>
      </c>
      <c r="GD35" s="38">
        <v>1164701</v>
      </c>
      <c r="GE35" s="38">
        <v>1178770</v>
      </c>
      <c r="GF35" s="38">
        <v>1191377</v>
      </c>
      <c r="GG35" s="38">
        <v>1202634</v>
      </c>
      <c r="GH35" s="38">
        <v>1216171</v>
      </c>
      <c r="GI35" s="38">
        <v>1231608</v>
      </c>
      <c r="GJ35" s="38">
        <v>1246089</v>
      </c>
      <c r="GK35" s="196">
        <v>1257446</v>
      </c>
      <c r="GL35" s="38">
        <v>1269315</v>
      </c>
      <c r="GM35" s="38">
        <v>1283800</v>
      </c>
      <c r="GN35" s="38">
        <v>1302103</v>
      </c>
      <c r="GO35" s="38">
        <v>1315311</v>
      </c>
      <c r="GP35" s="38">
        <v>1325999</v>
      </c>
      <c r="GQ35" s="38">
        <v>1340340</v>
      </c>
    </row>
    <row r="36" spans="1:199" s="1" customFormat="1" ht="20.149999999999999" customHeight="1" x14ac:dyDescent="0.35">
      <c r="A36" s="31" t="s">
        <v>1626</v>
      </c>
      <c r="B36" s="55">
        <v>484</v>
      </c>
      <c r="C36" s="55">
        <v>514</v>
      </c>
      <c r="D36" s="55">
        <v>559</v>
      </c>
      <c r="E36" s="55">
        <v>589</v>
      </c>
      <c r="F36" s="55">
        <v>643</v>
      </c>
      <c r="G36" s="55">
        <v>704</v>
      </c>
      <c r="H36" s="55">
        <v>773</v>
      </c>
      <c r="I36" s="55">
        <v>840</v>
      </c>
      <c r="J36" s="55">
        <v>919</v>
      </c>
      <c r="K36" s="55">
        <v>1017</v>
      </c>
      <c r="L36" s="55">
        <v>1114</v>
      </c>
      <c r="M36" s="56">
        <v>1180</v>
      </c>
      <c r="N36" s="57">
        <v>1313</v>
      </c>
      <c r="O36" s="55">
        <v>1455</v>
      </c>
      <c r="P36" s="55">
        <v>1676</v>
      </c>
      <c r="Q36" s="55">
        <v>1979</v>
      </c>
      <c r="R36" s="55">
        <v>2339</v>
      </c>
      <c r="S36" s="55">
        <v>2779</v>
      </c>
      <c r="T36" s="55">
        <v>3408</v>
      </c>
      <c r="U36" s="55">
        <v>4515</v>
      </c>
      <c r="V36" s="55">
        <v>6119</v>
      </c>
      <c r="W36" s="55">
        <v>8216</v>
      </c>
      <c r="X36" s="55">
        <v>14505</v>
      </c>
      <c r="Y36" s="56">
        <v>19353</v>
      </c>
      <c r="Z36" s="57">
        <v>19826</v>
      </c>
      <c r="AA36" s="55">
        <v>25683</v>
      </c>
      <c r="AB36" s="55">
        <v>27665</v>
      </c>
      <c r="AC36" s="55">
        <v>28129</v>
      </c>
      <c r="AD36" s="55">
        <v>29681</v>
      </c>
      <c r="AE36" s="55">
        <v>32031</v>
      </c>
      <c r="AF36" s="55">
        <v>37899</v>
      </c>
      <c r="AG36" s="55">
        <v>38281</v>
      </c>
      <c r="AH36" s="55">
        <v>39124</v>
      </c>
      <c r="AI36" s="55">
        <v>41655</v>
      </c>
      <c r="AJ36" s="55">
        <v>42595</v>
      </c>
      <c r="AK36" s="56">
        <v>43720</v>
      </c>
      <c r="AL36" s="57">
        <v>44952</v>
      </c>
      <c r="AM36" s="55">
        <v>46451</v>
      </c>
      <c r="AN36" s="55">
        <v>48367</v>
      </c>
      <c r="AO36" s="55">
        <v>50598</v>
      </c>
      <c r="AP36" s="55">
        <v>53086</v>
      </c>
      <c r="AQ36" s="55">
        <v>57156</v>
      </c>
      <c r="AR36" s="55">
        <v>58875</v>
      </c>
      <c r="AS36" s="55">
        <v>61005</v>
      </c>
      <c r="AT36" s="55">
        <v>63446</v>
      </c>
      <c r="AU36" s="55">
        <v>66130</v>
      </c>
      <c r="AV36" s="55">
        <v>69352</v>
      </c>
      <c r="AW36" s="56">
        <v>72067</v>
      </c>
      <c r="AX36" s="55">
        <v>74575</v>
      </c>
      <c r="AY36" s="55">
        <v>77326</v>
      </c>
      <c r="AZ36" s="55">
        <v>82934</v>
      </c>
      <c r="BA36" s="55">
        <v>85465</v>
      </c>
      <c r="BB36" s="55">
        <v>88407</v>
      </c>
      <c r="BC36" s="55">
        <v>91760</v>
      </c>
      <c r="BD36" s="55">
        <v>95315</v>
      </c>
      <c r="BE36" s="55">
        <v>98670</v>
      </c>
      <c r="BF36" s="55">
        <v>102494</v>
      </c>
      <c r="BG36" s="55">
        <v>106577</v>
      </c>
      <c r="BH36" s="55">
        <v>110674</v>
      </c>
      <c r="BI36" s="56">
        <v>115166</v>
      </c>
      <c r="BJ36" s="55">
        <v>117212</v>
      </c>
      <c r="BK36" s="55">
        <v>119897</v>
      </c>
      <c r="BL36" s="55">
        <v>124742</v>
      </c>
      <c r="BM36" s="55">
        <v>127632</v>
      </c>
      <c r="BN36" s="55">
        <v>130911</v>
      </c>
      <c r="BO36" s="55">
        <v>135781</v>
      </c>
      <c r="BP36" s="55">
        <v>138707</v>
      </c>
      <c r="BQ36" s="55">
        <v>141712</v>
      </c>
      <c r="BR36" s="55">
        <v>146993</v>
      </c>
      <c r="BS36" s="55">
        <v>150878</v>
      </c>
      <c r="BT36" s="55">
        <v>155673</v>
      </c>
      <c r="BU36" s="56">
        <v>161662</v>
      </c>
      <c r="BV36" s="55">
        <v>164575</v>
      </c>
      <c r="BW36" s="55">
        <v>165008</v>
      </c>
      <c r="BX36" s="55">
        <v>165729</v>
      </c>
      <c r="BY36" s="55">
        <v>166320</v>
      </c>
      <c r="BZ36" s="55">
        <v>166912</v>
      </c>
      <c r="CA36" s="55">
        <v>167645</v>
      </c>
      <c r="CB36" s="55">
        <v>168215</v>
      </c>
      <c r="CC36" s="55">
        <v>168767</v>
      </c>
      <c r="CD36" s="55">
        <v>169426</v>
      </c>
      <c r="CE36" s="55">
        <v>169879</v>
      </c>
      <c r="CF36" s="55">
        <v>170381</v>
      </c>
      <c r="CG36" s="56">
        <v>170847</v>
      </c>
      <c r="CH36" s="55">
        <v>171214</v>
      </c>
      <c r="CI36" s="55">
        <v>171600</v>
      </c>
      <c r="CJ36" s="55">
        <v>172148</v>
      </c>
      <c r="CK36" s="55">
        <v>172542</v>
      </c>
      <c r="CL36" s="55">
        <v>173068</v>
      </c>
      <c r="CM36" s="55">
        <v>173677</v>
      </c>
      <c r="CN36" s="55">
        <v>174222</v>
      </c>
      <c r="CO36" s="55">
        <v>174727</v>
      </c>
      <c r="CP36" s="55">
        <v>175366</v>
      </c>
      <c r="CQ36" s="55">
        <v>175926</v>
      </c>
      <c r="CR36" s="55">
        <v>176521</v>
      </c>
      <c r="CS36" s="56">
        <v>177006</v>
      </c>
      <c r="CT36" s="55">
        <v>177434</v>
      </c>
      <c r="CU36" s="55">
        <v>177907</v>
      </c>
      <c r="CV36" s="55">
        <v>178550</v>
      </c>
      <c r="CW36" s="55">
        <v>179127</v>
      </c>
      <c r="CX36" s="55">
        <v>179787</v>
      </c>
      <c r="CY36" s="55">
        <v>180549</v>
      </c>
      <c r="CZ36" s="55">
        <v>181203</v>
      </c>
      <c r="DA36" s="55">
        <v>181892</v>
      </c>
      <c r="DB36" s="55">
        <v>182772</v>
      </c>
      <c r="DC36" s="55">
        <v>183589</v>
      </c>
      <c r="DD36" s="55">
        <v>184686</v>
      </c>
      <c r="DE36" s="56">
        <v>185700</v>
      </c>
      <c r="DF36" s="55">
        <v>186718</v>
      </c>
      <c r="DG36" s="55">
        <v>188255</v>
      </c>
      <c r="DH36" s="55">
        <v>192070</v>
      </c>
      <c r="DI36" s="55">
        <v>192219</v>
      </c>
      <c r="DJ36" s="55">
        <v>192470</v>
      </c>
      <c r="DK36" s="55">
        <v>192790</v>
      </c>
      <c r="DL36" s="55">
        <v>193243</v>
      </c>
      <c r="DM36" s="55">
        <v>193702</v>
      </c>
      <c r="DN36" s="55">
        <v>194343</v>
      </c>
      <c r="DO36" s="55">
        <v>195110</v>
      </c>
      <c r="DP36" s="55">
        <v>195768</v>
      </c>
      <c r="DQ36" s="56">
        <v>196288</v>
      </c>
      <c r="DR36" s="55">
        <v>196939</v>
      </c>
      <c r="DS36" s="55">
        <v>197608</v>
      </c>
      <c r="DT36" s="55">
        <v>198353</v>
      </c>
      <c r="DU36" s="55">
        <v>198636</v>
      </c>
      <c r="DV36" s="55">
        <v>199113</v>
      </c>
      <c r="DW36" s="55">
        <v>199989</v>
      </c>
      <c r="DX36" s="55">
        <v>200932</v>
      </c>
      <c r="DY36" s="55">
        <v>201793</v>
      </c>
      <c r="DZ36" s="55">
        <v>202890</v>
      </c>
      <c r="EA36" s="55">
        <v>204002</v>
      </c>
      <c r="EB36" s="55">
        <v>205163</v>
      </c>
      <c r="EC36" s="56">
        <v>206024</v>
      </c>
      <c r="ED36" s="55">
        <v>206932</v>
      </c>
      <c r="EE36" s="55">
        <v>207923</v>
      </c>
      <c r="EF36" s="55">
        <v>209387</v>
      </c>
      <c r="EG36" s="55">
        <v>210777</v>
      </c>
      <c r="EH36" s="55">
        <v>212170</v>
      </c>
      <c r="EI36" s="55">
        <v>213735</v>
      </c>
      <c r="EJ36" s="55">
        <v>215228</v>
      </c>
      <c r="EK36" s="55">
        <v>216588</v>
      </c>
      <c r="EL36" s="55">
        <v>218422</v>
      </c>
      <c r="EM36" s="55">
        <v>220199</v>
      </c>
      <c r="EN36" s="55">
        <v>222451</v>
      </c>
      <c r="EO36" s="56">
        <v>224130</v>
      </c>
      <c r="EP36" s="55">
        <v>226231</v>
      </c>
      <c r="EQ36" s="55">
        <v>228716</v>
      </c>
      <c r="ER36" s="55">
        <v>232129</v>
      </c>
      <c r="ES36" s="55">
        <v>235788</v>
      </c>
      <c r="ET36" s="55">
        <v>240248</v>
      </c>
      <c r="EU36" s="55">
        <v>244748</v>
      </c>
      <c r="EV36" s="55">
        <v>249696</v>
      </c>
      <c r="EW36" s="55">
        <v>255223</v>
      </c>
      <c r="EX36" s="55">
        <v>261717</v>
      </c>
      <c r="EY36" s="55">
        <v>268745</v>
      </c>
      <c r="EZ36" s="55">
        <v>276953</v>
      </c>
      <c r="FA36" s="56">
        <v>283266</v>
      </c>
      <c r="FB36" s="55">
        <v>292051</v>
      </c>
      <c r="FC36" s="55">
        <v>301261</v>
      </c>
      <c r="FD36" s="55">
        <v>311717</v>
      </c>
      <c r="FE36" s="55">
        <v>320162</v>
      </c>
      <c r="FF36" s="55">
        <v>329729</v>
      </c>
      <c r="FG36" s="55">
        <v>339199</v>
      </c>
      <c r="FH36" s="55">
        <v>347192</v>
      </c>
      <c r="FI36" s="55">
        <v>355472</v>
      </c>
      <c r="FJ36" s="39">
        <v>363321</v>
      </c>
      <c r="FK36" s="39">
        <v>371156</v>
      </c>
      <c r="FL36" s="39">
        <v>378871</v>
      </c>
      <c r="FM36" s="39">
        <v>383912</v>
      </c>
      <c r="FN36" s="77">
        <v>390073</v>
      </c>
      <c r="FO36" s="39">
        <v>396541</v>
      </c>
      <c r="FP36" s="39">
        <v>403101</v>
      </c>
      <c r="FQ36" s="39">
        <v>410154</v>
      </c>
      <c r="FR36" s="39">
        <v>417166</v>
      </c>
      <c r="FS36" s="39">
        <v>423494</v>
      </c>
      <c r="FT36" s="39">
        <v>430346</v>
      </c>
      <c r="FU36" s="39">
        <v>436364</v>
      </c>
      <c r="FV36" s="39">
        <v>442771</v>
      </c>
      <c r="FW36" s="39">
        <v>449979</v>
      </c>
      <c r="FX36" s="39">
        <v>456769</v>
      </c>
      <c r="FY36" s="197">
        <v>461658</v>
      </c>
      <c r="FZ36" s="39">
        <v>467806</v>
      </c>
      <c r="GA36" s="39">
        <v>474802</v>
      </c>
      <c r="GB36" s="39">
        <v>483051</v>
      </c>
      <c r="GC36" s="39">
        <v>490660</v>
      </c>
      <c r="GD36" s="39">
        <v>498933</v>
      </c>
      <c r="GE36" s="39">
        <v>507226</v>
      </c>
      <c r="GF36" s="39">
        <v>516181</v>
      </c>
      <c r="GG36" s="39">
        <v>524108</v>
      </c>
      <c r="GH36" s="39">
        <v>533126</v>
      </c>
      <c r="GI36" s="39">
        <v>542520</v>
      </c>
      <c r="GJ36" s="39">
        <v>550744</v>
      </c>
      <c r="GK36" s="197">
        <v>556755</v>
      </c>
      <c r="GL36" s="39">
        <v>563332</v>
      </c>
      <c r="GM36" s="39">
        <v>570506</v>
      </c>
      <c r="GN36" s="39">
        <v>578854</v>
      </c>
      <c r="GO36" s="39">
        <v>587335</v>
      </c>
      <c r="GP36" s="39">
        <v>594311</v>
      </c>
      <c r="GQ36" s="39">
        <v>604924</v>
      </c>
    </row>
    <row r="37" spans="1:199" s="1" customFormat="1" ht="20.149999999999999" customHeight="1" x14ac:dyDescent="0.35">
      <c r="A37" s="31" t="s">
        <v>1625</v>
      </c>
      <c r="B37" s="55">
        <v>139</v>
      </c>
      <c r="C37" s="55">
        <v>145</v>
      </c>
      <c r="D37" s="55">
        <v>161</v>
      </c>
      <c r="E37" s="55">
        <v>172</v>
      </c>
      <c r="F37" s="55">
        <v>190</v>
      </c>
      <c r="G37" s="55">
        <v>202</v>
      </c>
      <c r="H37" s="55">
        <v>211</v>
      </c>
      <c r="I37" s="55">
        <v>225</v>
      </c>
      <c r="J37" s="55">
        <v>252</v>
      </c>
      <c r="K37" s="55">
        <v>273</v>
      </c>
      <c r="L37" s="55">
        <v>298</v>
      </c>
      <c r="M37" s="56">
        <v>311</v>
      </c>
      <c r="N37" s="57">
        <v>338</v>
      </c>
      <c r="O37" s="55">
        <v>376</v>
      </c>
      <c r="P37" s="55">
        <v>415</v>
      </c>
      <c r="Q37" s="55">
        <v>463</v>
      </c>
      <c r="R37" s="55">
        <v>517</v>
      </c>
      <c r="S37" s="55">
        <v>572</v>
      </c>
      <c r="T37" s="55">
        <v>688</v>
      </c>
      <c r="U37" s="55">
        <v>799</v>
      </c>
      <c r="V37" s="55">
        <v>945</v>
      </c>
      <c r="W37" s="55">
        <v>1092</v>
      </c>
      <c r="X37" s="55">
        <v>1869</v>
      </c>
      <c r="Y37" s="56">
        <v>3345</v>
      </c>
      <c r="Z37" s="57">
        <v>3390</v>
      </c>
      <c r="AA37" s="55">
        <v>4565</v>
      </c>
      <c r="AB37" s="55">
        <v>5409</v>
      </c>
      <c r="AC37" s="55">
        <v>5478</v>
      </c>
      <c r="AD37" s="55">
        <v>5640</v>
      </c>
      <c r="AE37" s="55">
        <v>5954</v>
      </c>
      <c r="AF37" s="55">
        <v>7251</v>
      </c>
      <c r="AG37" s="55">
        <v>7312</v>
      </c>
      <c r="AH37" s="55">
        <v>7401</v>
      </c>
      <c r="AI37" s="55">
        <v>7702</v>
      </c>
      <c r="AJ37" s="55">
        <v>7806</v>
      </c>
      <c r="AK37" s="56">
        <v>7927</v>
      </c>
      <c r="AL37" s="57">
        <v>8066</v>
      </c>
      <c r="AM37" s="55">
        <v>8306</v>
      </c>
      <c r="AN37" s="55">
        <v>8637</v>
      </c>
      <c r="AO37" s="55">
        <v>8966</v>
      </c>
      <c r="AP37" s="55">
        <v>9268</v>
      </c>
      <c r="AQ37" s="55">
        <v>10004</v>
      </c>
      <c r="AR37" s="55">
        <v>10174</v>
      </c>
      <c r="AS37" s="55">
        <v>10426</v>
      </c>
      <c r="AT37" s="55">
        <v>10695</v>
      </c>
      <c r="AU37" s="55">
        <v>10935</v>
      </c>
      <c r="AV37" s="55">
        <v>11194</v>
      </c>
      <c r="AW37" s="56">
        <v>11454</v>
      </c>
      <c r="AX37" s="55">
        <v>11696</v>
      </c>
      <c r="AY37" s="55">
        <v>11933</v>
      </c>
      <c r="AZ37" s="55">
        <v>12791</v>
      </c>
      <c r="BA37" s="55">
        <v>12959</v>
      </c>
      <c r="BB37" s="55">
        <v>13190</v>
      </c>
      <c r="BC37" s="55">
        <v>13493</v>
      </c>
      <c r="BD37" s="55">
        <v>13785</v>
      </c>
      <c r="BE37" s="55">
        <v>14083</v>
      </c>
      <c r="BF37" s="55">
        <v>14422</v>
      </c>
      <c r="BG37" s="55">
        <v>14742</v>
      </c>
      <c r="BH37" s="55">
        <v>15075</v>
      </c>
      <c r="BI37" s="56">
        <v>15726</v>
      </c>
      <c r="BJ37" s="55">
        <v>15870</v>
      </c>
      <c r="BK37" s="55">
        <v>16142</v>
      </c>
      <c r="BL37" s="55">
        <v>16634</v>
      </c>
      <c r="BM37" s="55">
        <v>16906</v>
      </c>
      <c r="BN37" s="55">
        <v>17181</v>
      </c>
      <c r="BO37" s="55">
        <v>17645</v>
      </c>
      <c r="BP37" s="55">
        <v>18007</v>
      </c>
      <c r="BQ37" s="55">
        <v>18403</v>
      </c>
      <c r="BR37" s="55">
        <v>19256</v>
      </c>
      <c r="BS37" s="55">
        <v>19716</v>
      </c>
      <c r="BT37" s="55">
        <v>20442</v>
      </c>
      <c r="BU37" s="56">
        <v>22446</v>
      </c>
      <c r="BV37" s="55">
        <v>23388</v>
      </c>
      <c r="BW37" s="55">
        <v>23472</v>
      </c>
      <c r="BX37" s="55">
        <v>23660</v>
      </c>
      <c r="BY37" s="55">
        <v>23777</v>
      </c>
      <c r="BZ37" s="55">
        <v>23894</v>
      </c>
      <c r="CA37" s="55">
        <v>24059</v>
      </c>
      <c r="CB37" s="55">
        <v>24214</v>
      </c>
      <c r="CC37" s="55">
        <v>24415</v>
      </c>
      <c r="CD37" s="55">
        <v>24713</v>
      </c>
      <c r="CE37" s="55">
        <v>24841</v>
      </c>
      <c r="CF37" s="55">
        <v>24986</v>
      </c>
      <c r="CG37" s="56">
        <v>25167</v>
      </c>
      <c r="CH37" s="55">
        <v>25251</v>
      </c>
      <c r="CI37" s="55">
        <v>25351</v>
      </c>
      <c r="CJ37" s="55">
        <v>25554</v>
      </c>
      <c r="CK37" s="55">
        <v>25679</v>
      </c>
      <c r="CL37" s="55">
        <v>25830</v>
      </c>
      <c r="CM37" s="55">
        <v>26015</v>
      </c>
      <c r="CN37" s="55">
        <v>26171</v>
      </c>
      <c r="CO37" s="55">
        <v>26336</v>
      </c>
      <c r="CP37" s="55">
        <v>26535</v>
      </c>
      <c r="CQ37" s="55">
        <v>26699</v>
      </c>
      <c r="CR37" s="55">
        <v>26895</v>
      </c>
      <c r="CS37" s="56">
        <v>27051</v>
      </c>
      <c r="CT37" s="55">
        <v>27216</v>
      </c>
      <c r="CU37" s="55">
        <v>27374</v>
      </c>
      <c r="CV37" s="55">
        <v>27596</v>
      </c>
      <c r="CW37" s="55">
        <v>27736</v>
      </c>
      <c r="CX37" s="55">
        <v>27888</v>
      </c>
      <c r="CY37" s="55">
        <v>28083</v>
      </c>
      <c r="CZ37" s="55">
        <v>28266</v>
      </c>
      <c r="DA37" s="55">
        <v>28473</v>
      </c>
      <c r="DB37" s="55">
        <v>28655</v>
      </c>
      <c r="DC37" s="55">
        <v>28871</v>
      </c>
      <c r="DD37" s="55">
        <v>29084</v>
      </c>
      <c r="DE37" s="56">
        <v>29313</v>
      </c>
      <c r="DF37" s="55">
        <v>29582</v>
      </c>
      <c r="DG37" s="55">
        <v>29985</v>
      </c>
      <c r="DH37" s="55">
        <v>31580</v>
      </c>
      <c r="DI37" s="55">
        <v>31651</v>
      </c>
      <c r="DJ37" s="55">
        <v>31720</v>
      </c>
      <c r="DK37" s="55">
        <v>31816</v>
      </c>
      <c r="DL37" s="55">
        <v>31924</v>
      </c>
      <c r="DM37" s="55">
        <v>32061</v>
      </c>
      <c r="DN37" s="55">
        <v>32197</v>
      </c>
      <c r="DO37" s="55">
        <v>32336</v>
      </c>
      <c r="DP37" s="55">
        <v>32490</v>
      </c>
      <c r="DQ37" s="56">
        <v>32601</v>
      </c>
      <c r="DR37" s="55">
        <v>32759</v>
      </c>
      <c r="DS37" s="55">
        <v>32919</v>
      </c>
      <c r="DT37" s="55">
        <v>33134</v>
      </c>
      <c r="DU37" s="55">
        <v>33185</v>
      </c>
      <c r="DV37" s="55">
        <v>33236</v>
      </c>
      <c r="DW37" s="55">
        <v>33359</v>
      </c>
      <c r="DX37" s="55">
        <v>33504</v>
      </c>
      <c r="DY37" s="55">
        <v>33618</v>
      </c>
      <c r="DZ37" s="55">
        <v>33789</v>
      </c>
      <c r="EA37" s="55">
        <v>33963</v>
      </c>
      <c r="EB37" s="55">
        <v>34152</v>
      </c>
      <c r="EC37" s="56">
        <v>34291</v>
      </c>
      <c r="ED37" s="55">
        <v>34431</v>
      </c>
      <c r="EE37" s="55">
        <v>34593</v>
      </c>
      <c r="EF37" s="55">
        <v>34822</v>
      </c>
      <c r="EG37" s="55">
        <v>35003</v>
      </c>
      <c r="EH37" s="55">
        <v>35181</v>
      </c>
      <c r="EI37" s="55">
        <v>35348</v>
      </c>
      <c r="EJ37" s="55">
        <v>35572</v>
      </c>
      <c r="EK37" s="55">
        <v>35820</v>
      </c>
      <c r="EL37" s="55">
        <v>36058</v>
      </c>
      <c r="EM37" s="55">
        <v>36305</v>
      </c>
      <c r="EN37" s="55">
        <v>36608</v>
      </c>
      <c r="EO37" s="56">
        <v>36774</v>
      </c>
      <c r="EP37" s="55">
        <v>36997</v>
      </c>
      <c r="EQ37" s="55">
        <v>37239</v>
      </c>
      <c r="ER37" s="55">
        <v>37610</v>
      </c>
      <c r="ES37" s="55">
        <v>37889</v>
      </c>
      <c r="ET37" s="55">
        <v>38261</v>
      </c>
      <c r="EU37" s="55">
        <v>38610</v>
      </c>
      <c r="EV37" s="55">
        <v>38975</v>
      </c>
      <c r="EW37" s="55">
        <v>39365</v>
      </c>
      <c r="EX37" s="55">
        <v>39774</v>
      </c>
      <c r="EY37" s="55">
        <v>40212</v>
      </c>
      <c r="EZ37" s="55">
        <v>40740</v>
      </c>
      <c r="FA37" s="56">
        <v>41146</v>
      </c>
      <c r="FB37" s="55">
        <v>41681</v>
      </c>
      <c r="FC37" s="55">
        <v>42384</v>
      </c>
      <c r="FD37" s="55">
        <v>43188</v>
      </c>
      <c r="FE37" s="55">
        <v>43905</v>
      </c>
      <c r="FF37" s="55">
        <v>44807</v>
      </c>
      <c r="FG37" s="55">
        <v>45788</v>
      </c>
      <c r="FH37" s="55">
        <v>46636</v>
      </c>
      <c r="FI37" s="55">
        <v>47471</v>
      </c>
      <c r="FJ37" s="39">
        <v>48392</v>
      </c>
      <c r="FK37" s="39">
        <v>49200</v>
      </c>
      <c r="FL37" s="39">
        <v>50024</v>
      </c>
      <c r="FM37" s="39">
        <v>50543</v>
      </c>
      <c r="FN37" s="77">
        <v>51299</v>
      </c>
      <c r="FO37" s="39">
        <v>51975</v>
      </c>
      <c r="FP37" s="39">
        <v>52748</v>
      </c>
      <c r="FQ37" s="39">
        <v>53551</v>
      </c>
      <c r="FR37" s="39">
        <v>54496</v>
      </c>
      <c r="FS37" s="39">
        <v>55380</v>
      </c>
      <c r="FT37" s="39">
        <v>56344</v>
      </c>
      <c r="FU37" s="39">
        <v>57259</v>
      </c>
      <c r="FV37" s="39">
        <v>58146</v>
      </c>
      <c r="FW37" s="39">
        <v>59090</v>
      </c>
      <c r="FX37" s="39">
        <v>60057</v>
      </c>
      <c r="FY37" s="197">
        <v>60738</v>
      </c>
      <c r="FZ37" s="39">
        <v>61681</v>
      </c>
      <c r="GA37" s="39">
        <v>62771</v>
      </c>
      <c r="GB37" s="39">
        <v>63991</v>
      </c>
      <c r="GC37" s="39">
        <v>65186</v>
      </c>
      <c r="GD37" s="39">
        <v>66520</v>
      </c>
      <c r="GE37" s="39">
        <v>67809</v>
      </c>
      <c r="GF37" s="39">
        <v>69197</v>
      </c>
      <c r="GG37" s="39">
        <v>70452</v>
      </c>
      <c r="GH37" s="39">
        <v>71890</v>
      </c>
      <c r="GI37" s="39">
        <v>73296</v>
      </c>
      <c r="GJ37" s="39">
        <v>74536</v>
      </c>
      <c r="GK37" s="197">
        <v>75635</v>
      </c>
      <c r="GL37" s="39">
        <v>76864</v>
      </c>
      <c r="GM37" s="39">
        <v>78242</v>
      </c>
      <c r="GN37" s="39">
        <v>79977</v>
      </c>
      <c r="GO37" s="39">
        <v>81670</v>
      </c>
      <c r="GP37" s="39">
        <v>82991</v>
      </c>
      <c r="GQ37" s="39">
        <v>84919</v>
      </c>
    </row>
    <row r="38" spans="1:199" s="1" customFormat="1" ht="20.149999999999999" customHeight="1" x14ac:dyDescent="0.35">
      <c r="A38" s="31" t="s">
        <v>1627</v>
      </c>
      <c r="B38" s="55">
        <v>17</v>
      </c>
      <c r="C38" s="55">
        <v>17</v>
      </c>
      <c r="D38" s="55">
        <v>17</v>
      </c>
      <c r="E38" s="55">
        <v>17</v>
      </c>
      <c r="F38" s="55">
        <v>19</v>
      </c>
      <c r="G38" s="55">
        <v>21</v>
      </c>
      <c r="H38" s="55">
        <v>23</v>
      </c>
      <c r="I38" s="55">
        <v>23</v>
      </c>
      <c r="J38" s="55">
        <v>23</v>
      </c>
      <c r="K38" s="55">
        <v>27</v>
      </c>
      <c r="L38" s="55">
        <v>28</v>
      </c>
      <c r="M38" s="56">
        <v>30</v>
      </c>
      <c r="N38" s="57">
        <v>30</v>
      </c>
      <c r="O38" s="55">
        <v>33</v>
      </c>
      <c r="P38" s="55">
        <v>36</v>
      </c>
      <c r="Q38" s="55">
        <v>45</v>
      </c>
      <c r="R38" s="55">
        <v>57</v>
      </c>
      <c r="S38" s="55">
        <v>93</v>
      </c>
      <c r="T38" s="55">
        <v>304</v>
      </c>
      <c r="U38" s="55">
        <v>309</v>
      </c>
      <c r="V38" s="55">
        <v>325</v>
      </c>
      <c r="W38" s="55">
        <v>353</v>
      </c>
      <c r="X38" s="55">
        <v>371</v>
      </c>
      <c r="Y38" s="56">
        <v>430</v>
      </c>
      <c r="Z38" s="57">
        <v>432</v>
      </c>
      <c r="AA38" s="55">
        <v>496</v>
      </c>
      <c r="AB38" s="55">
        <v>544</v>
      </c>
      <c r="AC38" s="55">
        <v>550</v>
      </c>
      <c r="AD38" s="55">
        <v>564</v>
      </c>
      <c r="AE38" s="55">
        <v>600</v>
      </c>
      <c r="AF38" s="55">
        <v>811</v>
      </c>
      <c r="AG38" s="55">
        <v>832</v>
      </c>
      <c r="AH38" s="55">
        <v>849</v>
      </c>
      <c r="AI38" s="55">
        <v>895</v>
      </c>
      <c r="AJ38" s="55">
        <v>912</v>
      </c>
      <c r="AK38" s="56">
        <v>933</v>
      </c>
      <c r="AL38" s="57">
        <v>955</v>
      </c>
      <c r="AM38" s="55">
        <v>984</v>
      </c>
      <c r="AN38" s="55">
        <v>1050</v>
      </c>
      <c r="AO38" s="55">
        <v>1168</v>
      </c>
      <c r="AP38" s="55">
        <v>1226</v>
      </c>
      <c r="AQ38" s="55">
        <v>1344</v>
      </c>
      <c r="AR38" s="55">
        <v>1405</v>
      </c>
      <c r="AS38" s="55">
        <v>1480</v>
      </c>
      <c r="AT38" s="55">
        <v>1541</v>
      </c>
      <c r="AU38" s="55">
        <v>1589</v>
      </c>
      <c r="AV38" s="55">
        <v>1658</v>
      </c>
      <c r="AW38" s="56">
        <v>1765</v>
      </c>
      <c r="AX38" s="55">
        <v>1810</v>
      </c>
      <c r="AY38" s="55">
        <v>1873</v>
      </c>
      <c r="AZ38" s="55">
        <v>2067</v>
      </c>
      <c r="BA38" s="55">
        <v>2102</v>
      </c>
      <c r="BB38" s="55">
        <v>2154</v>
      </c>
      <c r="BC38" s="55">
        <v>2294</v>
      </c>
      <c r="BD38" s="55">
        <v>2372</v>
      </c>
      <c r="BE38" s="55">
        <v>2444</v>
      </c>
      <c r="BF38" s="55">
        <v>2566</v>
      </c>
      <c r="BG38" s="55">
        <v>2681</v>
      </c>
      <c r="BH38" s="55">
        <v>2788</v>
      </c>
      <c r="BI38" s="56">
        <v>2945</v>
      </c>
      <c r="BJ38" s="55">
        <v>3013</v>
      </c>
      <c r="BK38" s="55">
        <v>3075</v>
      </c>
      <c r="BL38" s="55">
        <v>3326</v>
      </c>
      <c r="BM38" s="55">
        <v>3402</v>
      </c>
      <c r="BN38" s="55">
        <v>3484</v>
      </c>
      <c r="BO38" s="55">
        <v>3707</v>
      </c>
      <c r="BP38" s="55">
        <v>3814</v>
      </c>
      <c r="BQ38" s="55">
        <v>3926</v>
      </c>
      <c r="BR38" s="55">
        <v>4126</v>
      </c>
      <c r="BS38" s="55">
        <v>4286</v>
      </c>
      <c r="BT38" s="55">
        <v>4522</v>
      </c>
      <c r="BU38" s="56">
        <v>5178</v>
      </c>
      <c r="BV38" s="55">
        <v>5382</v>
      </c>
      <c r="BW38" s="55">
        <v>5440</v>
      </c>
      <c r="BX38" s="55">
        <v>5677</v>
      </c>
      <c r="BY38" s="55">
        <v>5703</v>
      </c>
      <c r="BZ38" s="55">
        <v>5737</v>
      </c>
      <c r="CA38" s="55">
        <v>5797</v>
      </c>
      <c r="CB38" s="55">
        <v>5814</v>
      </c>
      <c r="CC38" s="55">
        <v>5840</v>
      </c>
      <c r="CD38" s="55">
        <v>5881</v>
      </c>
      <c r="CE38" s="55">
        <v>5909</v>
      </c>
      <c r="CF38" s="55">
        <v>5932</v>
      </c>
      <c r="CG38" s="56">
        <v>5971</v>
      </c>
      <c r="CH38" s="55">
        <v>5977</v>
      </c>
      <c r="CI38" s="55">
        <v>6000</v>
      </c>
      <c r="CJ38" s="55">
        <v>6105</v>
      </c>
      <c r="CK38" s="55">
        <v>6125</v>
      </c>
      <c r="CL38" s="55">
        <v>6138</v>
      </c>
      <c r="CM38" s="55">
        <v>6161</v>
      </c>
      <c r="CN38" s="55">
        <v>6179</v>
      </c>
      <c r="CO38" s="55">
        <v>6203</v>
      </c>
      <c r="CP38" s="55">
        <v>6227</v>
      </c>
      <c r="CQ38" s="55">
        <v>6242</v>
      </c>
      <c r="CR38" s="55">
        <v>6260</v>
      </c>
      <c r="CS38" s="56">
        <v>6268</v>
      </c>
      <c r="CT38" s="55">
        <v>6278</v>
      </c>
      <c r="CU38" s="55">
        <v>6286</v>
      </c>
      <c r="CV38" s="55">
        <v>6301</v>
      </c>
      <c r="CW38" s="55">
        <v>6315</v>
      </c>
      <c r="CX38" s="55">
        <v>6328</v>
      </c>
      <c r="CY38" s="55">
        <v>6339</v>
      </c>
      <c r="CZ38" s="55">
        <v>6350</v>
      </c>
      <c r="DA38" s="55">
        <v>6370</v>
      </c>
      <c r="DB38" s="55">
        <v>6387</v>
      </c>
      <c r="DC38" s="55">
        <v>6399</v>
      </c>
      <c r="DD38" s="55">
        <v>6425</v>
      </c>
      <c r="DE38" s="56">
        <v>6455</v>
      </c>
      <c r="DF38" s="55">
        <v>6466</v>
      </c>
      <c r="DG38" s="55">
        <v>6480</v>
      </c>
      <c r="DH38" s="55">
        <v>6516</v>
      </c>
      <c r="DI38" s="55">
        <v>6532</v>
      </c>
      <c r="DJ38" s="55">
        <v>6538</v>
      </c>
      <c r="DK38" s="55">
        <v>6547</v>
      </c>
      <c r="DL38" s="55">
        <v>6557</v>
      </c>
      <c r="DM38" s="55">
        <v>6572</v>
      </c>
      <c r="DN38" s="55">
        <v>6587</v>
      </c>
      <c r="DO38" s="55">
        <v>6597</v>
      </c>
      <c r="DP38" s="55">
        <v>6602</v>
      </c>
      <c r="DQ38" s="56">
        <v>6608</v>
      </c>
      <c r="DR38" s="55">
        <v>6618</v>
      </c>
      <c r="DS38" s="55">
        <v>6623</v>
      </c>
      <c r="DT38" s="55">
        <v>6640</v>
      </c>
      <c r="DU38" s="55">
        <v>6648</v>
      </c>
      <c r="DV38" s="55">
        <v>6651</v>
      </c>
      <c r="DW38" s="55">
        <v>6654</v>
      </c>
      <c r="DX38" s="55">
        <v>6661</v>
      </c>
      <c r="DY38" s="55">
        <v>6673</v>
      </c>
      <c r="DZ38" s="55">
        <v>6683</v>
      </c>
      <c r="EA38" s="55">
        <v>6687</v>
      </c>
      <c r="EB38" s="55">
        <v>6691</v>
      </c>
      <c r="EC38" s="56">
        <v>6700</v>
      </c>
      <c r="ED38" s="55">
        <v>6706</v>
      </c>
      <c r="EE38" s="55">
        <v>6711</v>
      </c>
      <c r="EF38" s="55">
        <v>6719</v>
      </c>
      <c r="EG38" s="55">
        <v>6725</v>
      </c>
      <c r="EH38" s="55">
        <v>6731</v>
      </c>
      <c r="EI38" s="55">
        <v>6740</v>
      </c>
      <c r="EJ38" s="55">
        <v>6751</v>
      </c>
      <c r="EK38" s="55">
        <v>6758</v>
      </c>
      <c r="EL38" s="55">
        <v>6775</v>
      </c>
      <c r="EM38" s="55">
        <v>6789</v>
      </c>
      <c r="EN38" s="55">
        <v>6805</v>
      </c>
      <c r="EO38" s="56">
        <v>6819</v>
      </c>
      <c r="EP38" s="55">
        <v>6837</v>
      </c>
      <c r="EQ38" s="55">
        <v>6851</v>
      </c>
      <c r="ER38" s="55">
        <v>6870</v>
      </c>
      <c r="ES38" s="55">
        <v>6887</v>
      </c>
      <c r="ET38" s="55">
        <v>6907</v>
      </c>
      <c r="EU38" s="55">
        <v>6929</v>
      </c>
      <c r="EV38" s="55">
        <v>6943</v>
      </c>
      <c r="EW38" s="55">
        <v>6956</v>
      </c>
      <c r="EX38" s="55">
        <v>6974</v>
      </c>
      <c r="EY38" s="55">
        <v>7003</v>
      </c>
      <c r="EZ38" s="55">
        <v>7028</v>
      </c>
      <c r="FA38" s="56">
        <v>7048</v>
      </c>
      <c r="FB38" s="55">
        <v>7076</v>
      </c>
      <c r="FC38" s="55">
        <v>7105</v>
      </c>
      <c r="FD38" s="55">
        <v>7163</v>
      </c>
      <c r="FE38" s="55">
        <v>7202</v>
      </c>
      <c r="FF38" s="55">
        <v>7254</v>
      </c>
      <c r="FG38" s="55">
        <v>7314</v>
      </c>
      <c r="FH38" s="55">
        <v>7359</v>
      </c>
      <c r="FI38" s="55">
        <v>7410</v>
      </c>
      <c r="FJ38" s="39">
        <v>7457</v>
      </c>
      <c r="FK38" s="39">
        <v>7500</v>
      </c>
      <c r="FL38" s="39">
        <v>7541</v>
      </c>
      <c r="FM38" s="39">
        <v>7565</v>
      </c>
      <c r="FN38" s="77">
        <v>7599</v>
      </c>
      <c r="FO38" s="39">
        <v>7636</v>
      </c>
      <c r="FP38" s="39">
        <v>7676</v>
      </c>
      <c r="FQ38" s="39">
        <v>7718</v>
      </c>
      <c r="FR38" s="39">
        <v>7762</v>
      </c>
      <c r="FS38" s="39">
        <v>7794</v>
      </c>
      <c r="FT38" s="39">
        <v>7840</v>
      </c>
      <c r="FU38" s="39">
        <v>7877</v>
      </c>
      <c r="FV38" s="39">
        <v>7900</v>
      </c>
      <c r="FW38" s="39">
        <v>7930</v>
      </c>
      <c r="FX38" s="39">
        <v>7969</v>
      </c>
      <c r="FY38" s="197">
        <v>7989</v>
      </c>
      <c r="FZ38" s="39">
        <v>8013</v>
      </c>
      <c r="GA38" s="39">
        <v>8048</v>
      </c>
      <c r="GB38" s="39">
        <v>8077</v>
      </c>
      <c r="GC38" s="39">
        <v>8106</v>
      </c>
      <c r="GD38" s="39">
        <v>8158</v>
      </c>
      <c r="GE38" s="39">
        <v>8197</v>
      </c>
      <c r="GF38" s="39">
        <v>8250</v>
      </c>
      <c r="GG38" s="39">
        <v>8290</v>
      </c>
      <c r="GH38" s="39">
        <v>8336</v>
      </c>
      <c r="GI38" s="39">
        <v>8389</v>
      </c>
      <c r="GJ38" s="39">
        <v>8424</v>
      </c>
      <c r="GK38" s="197">
        <v>8457</v>
      </c>
      <c r="GL38" s="39">
        <v>8479</v>
      </c>
      <c r="GM38" s="39">
        <v>8511</v>
      </c>
      <c r="GN38" s="39">
        <v>8549</v>
      </c>
      <c r="GO38" s="39">
        <v>8578</v>
      </c>
      <c r="GP38" s="39">
        <v>8593</v>
      </c>
      <c r="GQ38" s="39">
        <v>8622</v>
      </c>
    </row>
    <row r="39" spans="1:199" s="1" customFormat="1" ht="20.149999999999999" customHeight="1" x14ac:dyDescent="0.35">
      <c r="A39" s="31" t="s">
        <v>1624</v>
      </c>
      <c r="B39" s="55">
        <v>0</v>
      </c>
      <c r="C39" s="55">
        <v>0</v>
      </c>
      <c r="D39" s="55">
        <v>0</v>
      </c>
      <c r="E39" s="55">
        <v>0</v>
      </c>
      <c r="F39" s="55">
        <v>0</v>
      </c>
      <c r="G39" s="55">
        <v>0</v>
      </c>
      <c r="H39" s="55">
        <v>0</v>
      </c>
      <c r="I39" s="55">
        <v>0</v>
      </c>
      <c r="J39" s="55">
        <v>0</v>
      </c>
      <c r="K39" s="55">
        <v>0</v>
      </c>
      <c r="L39" s="55">
        <v>0</v>
      </c>
      <c r="M39" s="56">
        <v>0</v>
      </c>
      <c r="N39" s="57">
        <v>0</v>
      </c>
      <c r="O39" s="55">
        <v>0</v>
      </c>
      <c r="P39" s="55">
        <v>0</v>
      </c>
      <c r="Q39" s="55">
        <v>0</v>
      </c>
      <c r="R39" s="55">
        <v>0</v>
      </c>
      <c r="S39" s="55">
        <v>0</v>
      </c>
      <c r="T39" s="55">
        <v>0</v>
      </c>
      <c r="U39" s="55">
        <v>0</v>
      </c>
      <c r="V39" s="55">
        <v>0</v>
      </c>
      <c r="W39" s="55">
        <v>0</v>
      </c>
      <c r="X39" s="55">
        <v>0</v>
      </c>
      <c r="Y39" s="56">
        <v>0</v>
      </c>
      <c r="Z39" s="57">
        <v>1</v>
      </c>
      <c r="AA39" s="55">
        <v>1</v>
      </c>
      <c r="AB39" s="55">
        <v>1</v>
      </c>
      <c r="AC39" s="55">
        <v>1</v>
      </c>
      <c r="AD39" s="55">
        <v>1</v>
      </c>
      <c r="AE39" s="55">
        <v>1</v>
      </c>
      <c r="AF39" s="55">
        <v>1</v>
      </c>
      <c r="AG39" s="55">
        <v>1</v>
      </c>
      <c r="AH39" s="55">
        <v>1</v>
      </c>
      <c r="AI39" s="55">
        <v>1</v>
      </c>
      <c r="AJ39" s="55">
        <v>1</v>
      </c>
      <c r="AK39" s="56">
        <v>1</v>
      </c>
      <c r="AL39" s="57">
        <v>1</v>
      </c>
      <c r="AM39" s="55">
        <v>7</v>
      </c>
      <c r="AN39" s="55">
        <v>41</v>
      </c>
      <c r="AO39" s="55">
        <v>41</v>
      </c>
      <c r="AP39" s="55">
        <v>44</v>
      </c>
      <c r="AQ39" s="55">
        <v>51</v>
      </c>
      <c r="AR39" s="55">
        <v>51</v>
      </c>
      <c r="AS39" s="55">
        <v>54</v>
      </c>
      <c r="AT39" s="55">
        <v>54</v>
      </c>
      <c r="AU39" s="55">
        <v>54</v>
      </c>
      <c r="AV39" s="55">
        <v>58</v>
      </c>
      <c r="AW39" s="56">
        <v>60</v>
      </c>
      <c r="AX39" s="55">
        <v>68</v>
      </c>
      <c r="AY39" s="55">
        <v>72</v>
      </c>
      <c r="AZ39" s="55">
        <v>144</v>
      </c>
      <c r="BA39" s="55">
        <v>145</v>
      </c>
      <c r="BB39" s="55">
        <v>149</v>
      </c>
      <c r="BC39" s="55">
        <v>154</v>
      </c>
      <c r="BD39" s="55">
        <v>161</v>
      </c>
      <c r="BE39" s="55">
        <v>162</v>
      </c>
      <c r="BF39" s="55">
        <v>170</v>
      </c>
      <c r="BG39" s="55">
        <v>175</v>
      </c>
      <c r="BH39" s="55">
        <v>181</v>
      </c>
      <c r="BI39" s="56">
        <v>190</v>
      </c>
      <c r="BJ39" s="55">
        <v>196</v>
      </c>
      <c r="BK39" s="55">
        <v>206</v>
      </c>
      <c r="BL39" s="55">
        <v>337</v>
      </c>
      <c r="BM39" s="55">
        <v>337</v>
      </c>
      <c r="BN39" s="55">
        <v>337</v>
      </c>
      <c r="BO39" s="55">
        <v>338</v>
      </c>
      <c r="BP39" s="55">
        <v>339</v>
      </c>
      <c r="BQ39" s="55">
        <v>343</v>
      </c>
      <c r="BR39" s="55">
        <v>343</v>
      </c>
      <c r="BS39" s="55">
        <v>346</v>
      </c>
      <c r="BT39" s="55">
        <v>350</v>
      </c>
      <c r="BU39" s="56">
        <v>358</v>
      </c>
      <c r="BV39" s="55">
        <v>362</v>
      </c>
      <c r="BW39" s="55">
        <v>364</v>
      </c>
      <c r="BX39" s="55">
        <v>389</v>
      </c>
      <c r="BY39" s="55">
        <v>390</v>
      </c>
      <c r="BZ39" s="55">
        <v>390</v>
      </c>
      <c r="CA39" s="55">
        <v>397</v>
      </c>
      <c r="CB39" s="55">
        <v>398</v>
      </c>
      <c r="CC39" s="55">
        <v>400</v>
      </c>
      <c r="CD39" s="55">
        <v>400</v>
      </c>
      <c r="CE39" s="55">
        <v>401</v>
      </c>
      <c r="CF39" s="55">
        <v>401</v>
      </c>
      <c r="CG39" s="56">
        <v>406</v>
      </c>
      <c r="CH39" s="55">
        <v>409</v>
      </c>
      <c r="CI39" s="55">
        <v>410</v>
      </c>
      <c r="CJ39" s="55">
        <v>426</v>
      </c>
      <c r="CK39" s="55">
        <v>426</v>
      </c>
      <c r="CL39" s="55">
        <v>426</v>
      </c>
      <c r="CM39" s="55">
        <v>426</v>
      </c>
      <c r="CN39" s="55">
        <v>427</v>
      </c>
      <c r="CO39" s="55">
        <v>427</v>
      </c>
      <c r="CP39" s="55">
        <v>427</v>
      </c>
      <c r="CQ39" s="55">
        <v>428</v>
      </c>
      <c r="CR39" s="55">
        <v>428</v>
      </c>
      <c r="CS39" s="56">
        <v>428</v>
      </c>
      <c r="CT39" s="55">
        <v>428</v>
      </c>
      <c r="CU39" s="55">
        <v>428</v>
      </c>
      <c r="CV39" s="55">
        <v>428</v>
      </c>
      <c r="CW39" s="55">
        <v>428</v>
      </c>
      <c r="CX39" s="55">
        <v>428</v>
      </c>
      <c r="CY39" s="55">
        <v>428</v>
      </c>
      <c r="CZ39" s="55">
        <v>428</v>
      </c>
      <c r="DA39" s="55">
        <v>428</v>
      </c>
      <c r="DB39" s="55">
        <v>428</v>
      </c>
      <c r="DC39" s="55">
        <v>429</v>
      </c>
      <c r="DD39" s="55">
        <v>429</v>
      </c>
      <c r="DE39" s="56">
        <v>430</v>
      </c>
      <c r="DF39" s="55">
        <v>430</v>
      </c>
      <c r="DG39" s="55">
        <v>430</v>
      </c>
      <c r="DH39" s="55">
        <v>430</v>
      </c>
      <c r="DI39" s="55">
        <v>430</v>
      </c>
      <c r="DJ39" s="55">
        <v>430</v>
      </c>
      <c r="DK39" s="55">
        <v>430</v>
      </c>
      <c r="DL39" s="55">
        <v>431</v>
      </c>
      <c r="DM39" s="55">
        <v>431</v>
      </c>
      <c r="DN39" s="55">
        <v>431</v>
      </c>
      <c r="DO39" s="55">
        <v>431</v>
      </c>
      <c r="DP39" s="55">
        <v>431</v>
      </c>
      <c r="DQ39" s="56">
        <v>431</v>
      </c>
      <c r="DR39" s="55">
        <v>433</v>
      </c>
      <c r="DS39" s="55">
        <v>434</v>
      </c>
      <c r="DT39" s="55">
        <v>434</v>
      </c>
      <c r="DU39" s="55">
        <v>434</v>
      </c>
      <c r="DV39" s="55">
        <v>435</v>
      </c>
      <c r="DW39" s="55">
        <v>435</v>
      </c>
      <c r="DX39" s="55">
        <v>435</v>
      </c>
      <c r="DY39" s="55">
        <v>436</v>
      </c>
      <c r="DZ39" s="55">
        <v>436</v>
      </c>
      <c r="EA39" s="55">
        <v>436</v>
      </c>
      <c r="EB39" s="55">
        <v>436</v>
      </c>
      <c r="EC39" s="56">
        <v>437</v>
      </c>
      <c r="ED39" s="55">
        <v>438</v>
      </c>
      <c r="EE39" s="55">
        <v>438</v>
      </c>
      <c r="EF39" s="55">
        <v>439</v>
      </c>
      <c r="EG39" s="55">
        <v>439</v>
      </c>
      <c r="EH39" s="55">
        <v>440</v>
      </c>
      <c r="EI39" s="55">
        <v>442</v>
      </c>
      <c r="EJ39" s="55">
        <v>442</v>
      </c>
      <c r="EK39" s="55">
        <v>442</v>
      </c>
      <c r="EL39" s="55">
        <v>442</v>
      </c>
      <c r="EM39" s="55">
        <v>442</v>
      </c>
      <c r="EN39" s="55">
        <v>442</v>
      </c>
      <c r="EO39" s="56">
        <v>442</v>
      </c>
      <c r="EP39" s="55">
        <v>445</v>
      </c>
      <c r="EQ39" s="55">
        <v>445</v>
      </c>
      <c r="ER39" s="55">
        <v>445</v>
      </c>
      <c r="ES39" s="55">
        <v>445</v>
      </c>
      <c r="ET39" s="55">
        <v>446</v>
      </c>
      <c r="EU39" s="55">
        <v>446</v>
      </c>
      <c r="EV39" s="55">
        <v>447</v>
      </c>
      <c r="EW39" s="55">
        <v>447</v>
      </c>
      <c r="EX39" s="55">
        <v>448</v>
      </c>
      <c r="EY39" s="55">
        <v>450</v>
      </c>
      <c r="EZ39" s="55">
        <v>450</v>
      </c>
      <c r="FA39" s="56">
        <v>452</v>
      </c>
      <c r="FB39" s="55">
        <v>461</v>
      </c>
      <c r="FC39" s="55">
        <v>464</v>
      </c>
      <c r="FD39" s="55">
        <v>466</v>
      </c>
      <c r="FE39" s="55">
        <v>467</v>
      </c>
      <c r="FF39" s="55">
        <v>468</v>
      </c>
      <c r="FG39" s="55">
        <v>469</v>
      </c>
      <c r="FH39" s="55">
        <v>469</v>
      </c>
      <c r="FI39" s="55">
        <v>469</v>
      </c>
      <c r="FJ39" s="39">
        <v>470</v>
      </c>
      <c r="FK39" s="39">
        <v>473</v>
      </c>
      <c r="FL39" s="39">
        <v>475</v>
      </c>
      <c r="FM39" s="39">
        <v>475</v>
      </c>
      <c r="FN39" s="77">
        <v>477</v>
      </c>
      <c r="FO39" s="39">
        <v>477</v>
      </c>
      <c r="FP39" s="39">
        <v>480</v>
      </c>
      <c r="FQ39" s="39">
        <v>480</v>
      </c>
      <c r="FR39" s="39">
        <v>480</v>
      </c>
      <c r="FS39" s="39">
        <v>482</v>
      </c>
      <c r="FT39" s="39">
        <v>482</v>
      </c>
      <c r="FU39" s="39">
        <v>482</v>
      </c>
      <c r="FV39" s="39">
        <v>482</v>
      </c>
      <c r="FW39" s="39">
        <v>483</v>
      </c>
      <c r="FX39" s="39">
        <v>483</v>
      </c>
      <c r="FY39" s="197">
        <v>485</v>
      </c>
      <c r="FZ39" s="39">
        <v>488</v>
      </c>
      <c r="GA39" s="39">
        <v>489</v>
      </c>
      <c r="GB39" s="39">
        <v>489</v>
      </c>
      <c r="GC39" s="39">
        <v>489</v>
      </c>
      <c r="GD39" s="39">
        <v>491</v>
      </c>
      <c r="GE39" s="39">
        <v>492</v>
      </c>
      <c r="GF39" s="39">
        <v>492</v>
      </c>
      <c r="GG39" s="39">
        <v>493</v>
      </c>
      <c r="GH39" s="39">
        <v>493</v>
      </c>
      <c r="GI39" s="39">
        <v>494</v>
      </c>
      <c r="GJ39" s="39">
        <v>494</v>
      </c>
      <c r="GK39" s="197">
        <v>494</v>
      </c>
      <c r="GL39" s="39">
        <v>494</v>
      </c>
      <c r="GM39" s="39">
        <v>494</v>
      </c>
      <c r="GN39" s="39">
        <v>494</v>
      </c>
      <c r="GO39" s="39">
        <v>494</v>
      </c>
      <c r="GP39" s="39">
        <v>494</v>
      </c>
      <c r="GQ39" s="39">
        <v>494</v>
      </c>
    </row>
    <row r="40" spans="1:199" s="1" customFormat="1" ht="20.149999999999999" customHeight="1" x14ac:dyDescent="0.4">
      <c r="A40" s="31" t="s">
        <v>1628</v>
      </c>
      <c r="B40" s="58">
        <v>0</v>
      </c>
      <c r="C40" s="58">
        <v>0</v>
      </c>
      <c r="D40" s="58">
        <v>0</v>
      </c>
      <c r="E40" s="58">
        <v>0</v>
      </c>
      <c r="F40" s="58">
        <v>0</v>
      </c>
      <c r="G40" s="58">
        <v>0</v>
      </c>
      <c r="H40" s="58">
        <v>0</v>
      </c>
      <c r="I40" s="58">
        <v>0</v>
      </c>
      <c r="J40" s="58">
        <v>0</v>
      </c>
      <c r="K40" s="58">
        <v>0</v>
      </c>
      <c r="L40" s="58">
        <v>0</v>
      </c>
      <c r="M40" s="59">
        <v>0</v>
      </c>
      <c r="N40" s="60">
        <v>0</v>
      </c>
      <c r="O40" s="58">
        <v>0</v>
      </c>
      <c r="P40" s="58">
        <v>0</v>
      </c>
      <c r="Q40" s="58">
        <v>0</v>
      </c>
      <c r="R40" s="58">
        <v>0</v>
      </c>
      <c r="S40" s="58">
        <v>0</v>
      </c>
      <c r="T40" s="58">
        <v>0</v>
      </c>
      <c r="U40" s="58">
        <v>0</v>
      </c>
      <c r="V40" s="58">
        <v>0</v>
      </c>
      <c r="W40" s="58">
        <v>0</v>
      </c>
      <c r="X40" s="58">
        <v>0</v>
      </c>
      <c r="Y40" s="59">
        <v>0</v>
      </c>
      <c r="Z40" s="60">
        <v>0</v>
      </c>
      <c r="AA40" s="58">
        <v>0</v>
      </c>
      <c r="AB40" s="58">
        <v>0</v>
      </c>
      <c r="AC40" s="58">
        <v>0</v>
      </c>
      <c r="AD40" s="58">
        <v>0</v>
      </c>
      <c r="AE40" s="58">
        <v>0</v>
      </c>
      <c r="AF40" s="58">
        <v>0</v>
      </c>
      <c r="AG40" s="58">
        <v>0</v>
      </c>
      <c r="AH40" s="58">
        <v>0</v>
      </c>
      <c r="AI40" s="58">
        <v>0</v>
      </c>
      <c r="AJ40" s="58">
        <v>0</v>
      </c>
      <c r="AK40" s="59">
        <v>0</v>
      </c>
      <c r="AL40" s="60">
        <v>0</v>
      </c>
      <c r="AM40" s="58">
        <v>0</v>
      </c>
      <c r="AN40" s="58">
        <v>1</v>
      </c>
      <c r="AO40" s="58">
        <v>1</v>
      </c>
      <c r="AP40" s="58">
        <v>1</v>
      </c>
      <c r="AQ40" s="58">
        <v>1</v>
      </c>
      <c r="AR40" s="58">
        <v>1</v>
      </c>
      <c r="AS40" s="58">
        <v>1</v>
      </c>
      <c r="AT40" s="58">
        <v>1</v>
      </c>
      <c r="AU40" s="58">
        <v>1</v>
      </c>
      <c r="AV40" s="58">
        <v>1</v>
      </c>
      <c r="AW40" s="59">
        <v>1</v>
      </c>
      <c r="AX40" s="58">
        <v>1</v>
      </c>
      <c r="AY40" s="58">
        <v>2</v>
      </c>
      <c r="AZ40" s="58">
        <v>3</v>
      </c>
      <c r="BA40" s="58">
        <v>4</v>
      </c>
      <c r="BB40" s="58">
        <v>4</v>
      </c>
      <c r="BC40" s="58">
        <v>4</v>
      </c>
      <c r="BD40" s="58">
        <v>5</v>
      </c>
      <c r="BE40" s="58">
        <v>5</v>
      </c>
      <c r="BF40" s="58">
        <v>7</v>
      </c>
      <c r="BG40" s="58">
        <v>9</v>
      </c>
      <c r="BH40" s="58">
        <v>9</v>
      </c>
      <c r="BI40" s="59">
        <v>11</v>
      </c>
      <c r="BJ40" s="58">
        <v>11</v>
      </c>
      <c r="BK40" s="58">
        <v>11</v>
      </c>
      <c r="BL40" s="58">
        <v>28</v>
      </c>
      <c r="BM40" s="58">
        <v>28</v>
      </c>
      <c r="BN40" s="58">
        <v>28</v>
      </c>
      <c r="BO40" s="58">
        <v>28</v>
      </c>
      <c r="BP40" s="58">
        <v>28</v>
      </c>
      <c r="BQ40" s="58">
        <v>28</v>
      </c>
      <c r="BR40" s="58">
        <v>28</v>
      </c>
      <c r="BS40" s="58">
        <v>28</v>
      </c>
      <c r="BT40" s="58">
        <v>28</v>
      </c>
      <c r="BU40" s="59">
        <v>28</v>
      </c>
      <c r="BV40" s="58">
        <v>28</v>
      </c>
      <c r="BW40" s="58">
        <v>28</v>
      </c>
      <c r="BX40" s="58">
        <v>37</v>
      </c>
      <c r="BY40" s="58">
        <v>37</v>
      </c>
      <c r="BZ40" s="58">
        <v>37</v>
      </c>
      <c r="CA40" s="58">
        <v>37</v>
      </c>
      <c r="CB40" s="58">
        <v>37</v>
      </c>
      <c r="CC40" s="58">
        <v>37</v>
      </c>
      <c r="CD40" s="58">
        <v>37</v>
      </c>
      <c r="CE40" s="58">
        <v>37</v>
      </c>
      <c r="CF40" s="58">
        <v>37</v>
      </c>
      <c r="CG40" s="59">
        <v>37</v>
      </c>
      <c r="CH40" s="55">
        <v>37</v>
      </c>
      <c r="CI40" s="55">
        <v>37</v>
      </c>
      <c r="CJ40" s="55">
        <v>37</v>
      </c>
      <c r="CK40" s="55">
        <v>37</v>
      </c>
      <c r="CL40" s="55">
        <v>37</v>
      </c>
      <c r="CM40" s="55">
        <v>37</v>
      </c>
      <c r="CN40" s="55">
        <v>37</v>
      </c>
      <c r="CO40" s="55">
        <v>37</v>
      </c>
      <c r="CP40" s="55">
        <v>37</v>
      </c>
      <c r="CQ40" s="55">
        <v>37</v>
      </c>
      <c r="CR40" s="55">
        <v>37</v>
      </c>
      <c r="CS40" s="56">
        <v>37</v>
      </c>
      <c r="CT40" s="55">
        <v>37</v>
      </c>
      <c r="CU40" s="55">
        <v>37</v>
      </c>
      <c r="CV40" s="55">
        <v>37</v>
      </c>
      <c r="CW40" s="55">
        <v>37</v>
      </c>
      <c r="CX40" s="55">
        <v>37</v>
      </c>
      <c r="CY40" s="55">
        <v>37</v>
      </c>
      <c r="CZ40" s="55">
        <v>37</v>
      </c>
      <c r="DA40" s="55">
        <v>37</v>
      </c>
      <c r="DB40" s="55">
        <v>37</v>
      </c>
      <c r="DC40" s="55">
        <v>37</v>
      </c>
      <c r="DD40" s="58">
        <v>37</v>
      </c>
      <c r="DE40" s="59">
        <v>37</v>
      </c>
      <c r="DF40" s="55">
        <v>37</v>
      </c>
      <c r="DG40" s="55">
        <v>37</v>
      </c>
      <c r="DH40" s="58">
        <v>37</v>
      </c>
      <c r="DI40" s="55">
        <v>37</v>
      </c>
      <c r="DJ40" s="55">
        <v>37</v>
      </c>
      <c r="DK40" s="55">
        <v>37</v>
      </c>
      <c r="DL40" s="58">
        <v>37</v>
      </c>
      <c r="DM40" s="55">
        <v>37</v>
      </c>
      <c r="DN40" s="55">
        <v>37</v>
      </c>
      <c r="DO40" s="55">
        <v>37</v>
      </c>
      <c r="DP40" s="55">
        <v>37</v>
      </c>
      <c r="DQ40" s="59">
        <v>38</v>
      </c>
      <c r="DR40" s="55">
        <v>39</v>
      </c>
      <c r="DS40" s="55">
        <v>39</v>
      </c>
      <c r="DT40" s="55">
        <v>39</v>
      </c>
      <c r="DU40" s="55">
        <v>39</v>
      </c>
      <c r="DV40" s="55">
        <v>39</v>
      </c>
      <c r="DW40" s="55">
        <v>39</v>
      </c>
      <c r="DX40" s="55">
        <v>39</v>
      </c>
      <c r="DY40" s="55">
        <v>39</v>
      </c>
      <c r="DZ40" s="55">
        <v>39</v>
      </c>
      <c r="EA40" s="55">
        <v>39</v>
      </c>
      <c r="EB40" s="55">
        <v>39</v>
      </c>
      <c r="EC40" s="56">
        <v>40</v>
      </c>
      <c r="ED40" s="55">
        <v>40</v>
      </c>
      <c r="EE40" s="55">
        <v>40</v>
      </c>
      <c r="EF40" s="55">
        <v>42</v>
      </c>
      <c r="EG40" s="55">
        <v>43</v>
      </c>
      <c r="EH40" s="55">
        <v>43</v>
      </c>
      <c r="EI40" s="55">
        <v>43</v>
      </c>
      <c r="EJ40" s="55">
        <v>43</v>
      </c>
      <c r="EK40" s="55">
        <v>43</v>
      </c>
      <c r="EL40" s="55">
        <v>43</v>
      </c>
      <c r="EM40" s="55">
        <v>43</v>
      </c>
      <c r="EN40" s="55">
        <v>43</v>
      </c>
      <c r="EO40" s="56">
        <v>43</v>
      </c>
      <c r="EP40" s="55">
        <v>43</v>
      </c>
      <c r="EQ40" s="55">
        <v>43</v>
      </c>
      <c r="ER40" s="55">
        <v>43</v>
      </c>
      <c r="ES40" s="55">
        <v>43</v>
      </c>
      <c r="ET40" s="55">
        <v>43</v>
      </c>
      <c r="EU40" s="55">
        <v>43</v>
      </c>
      <c r="EV40" s="55">
        <v>43</v>
      </c>
      <c r="EW40" s="55">
        <v>43</v>
      </c>
      <c r="EX40" s="55">
        <v>43</v>
      </c>
      <c r="EY40" s="55">
        <v>43</v>
      </c>
      <c r="EZ40" s="55">
        <v>43</v>
      </c>
      <c r="FA40" s="56">
        <v>44</v>
      </c>
      <c r="FB40" s="160">
        <v>50</v>
      </c>
      <c r="FC40" s="160">
        <v>55</v>
      </c>
      <c r="FD40" s="160">
        <v>64</v>
      </c>
      <c r="FE40" s="160">
        <v>64</v>
      </c>
      <c r="FF40" s="160">
        <v>65</v>
      </c>
      <c r="FG40" s="160">
        <v>66</v>
      </c>
      <c r="FH40" s="160">
        <v>66</v>
      </c>
      <c r="FI40" s="160">
        <v>66</v>
      </c>
      <c r="FJ40" s="160">
        <v>68</v>
      </c>
      <c r="FK40" s="160">
        <v>68</v>
      </c>
      <c r="FL40" s="160">
        <v>68</v>
      </c>
      <c r="FM40" s="39">
        <v>68</v>
      </c>
      <c r="FN40" s="77">
        <v>69</v>
      </c>
      <c r="FO40" s="39">
        <v>70</v>
      </c>
      <c r="FP40" s="39">
        <v>73</v>
      </c>
      <c r="FQ40" s="39">
        <v>74</v>
      </c>
      <c r="FR40" s="39">
        <v>75</v>
      </c>
      <c r="FS40" s="39">
        <v>76</v>
      </c>
      <c r="FT40" s="39">
        <v>78</v>
      </c>
      <c r="FU40" s="39">
        <v>79</v>
      </c>
      <c r="FV40" s="39">
        <v>79</v>
      </c>
      <c r="FW40" s="39">
        <v>85</v>
      </c>
      <c r="FX40" s="39">
        <v>86</v>
      </c>
      <c r="FY40" s="197">
        <v>87</v>
      </c>
      <c r="FZ40" s="39">
        <v>89</v>
      </c>
      <c r="GA40" s="39">
        <v>89</v>
      </c>
      <c r="GB40" s="39">
        <v>94</v>
      </c>
      <c r="GC40" s="39">
        <v>96</v>
      </c>
      <c r="GD40" s="39">
        <v>96</v>
      </c>
      <c r="GE40" s="39">
        <v>97</v>
      </c>
      <c r="GF40" s="39">
        <v>100</v>
      </c>
      <c r="GG40" s="39">
        <v>102</v>
      </c>
      <c r="GH40" s="39">
        <v>103</v>
      </c>
      <c r="GI40" s="39">
        <v>106</v>
      </c>
      <c r="GJ40" s="39">
        <v>107</v>
      </c>
      <c r="GK40" s="197">
        <v>108</v>
      </c>
      <c r="GL40" s="39">
        <v>108</v>
      </c>
      <c r="GM40" s="39">
        <v>108</v>
      </c>
      <c r="GN40" s="39">
        <v>109</v>
      </c>
      <c r="GO40" s="39">
        <v>109</v>
      </c>
      <c r="GP40" s="39">
        <v>109</v>
      </c>
      <c r="GQ40" s="39">
        <v>109</v>
      </c>
    </row>
    <row r="41" spans="1:199" s="1" customFormat="1" ht="20.149999999999999" customHeight="1" thickBot="1" x14ac:dyDescent="0.4">
      <c r="A41" s="32" t="s">
        <v>267</v>
      </c>
      <c r="B41" s="61">
        <f>SUM(B35:B40)</f>
        <v>4842</v>
      </c>
      <c r="C41" s="62">
        <f t="shared" ref="C41:BN41" si="67">SUM(C35:C40)</f>
        <v>5433</v>
      </c>
      <c r="D41" s="62">
        <f t="shared" si="67"/>
        <v>6460</v>
      </c>
      <c r="E41" s="62">
        <f t="shared" si="67"/>
        <v>7507</v>
      </c>
      <c r="F41" s="62">
        <f t="shared" si="67"/>
        <v>9034</v>
      </c>
      <c r="G41" s="62">
        <f t="shared" si="67"/>
        <v>10951</v>
      </c>
      <c r="H41" s="62">
        <f t="shared" si="67"/>
        <v>13274</v>
      </c>
      <c r="I41" s="62">
        <f t="shared" si="67"/>
        <v>15565</v>
      </c>
      <c r="J41" s="62">
        <f t="shared" si="67"/>
        <v>18431</v>
      </c>
      <c r="K41" s="62">
        <f t="shared" si="67"/>
        <v>21898</v>
      </c>
      <c r="L41" s="62">
        <f t="shared" si="67"/>
        <v>25864</v>
      </c>
      <c r="M41" s="62">
        <f t="shared" si="67"/>
        <v>28912</v>
      </c>
      <c r="N41" s="61">
        <f t="shared" si="67"/>
        <v>33073</v>
      </c>
      <c r="O41" s="62">
        <f t="shared" si="67"/>
        <v>37759</v>
      </c>
      <c r="P41" s="62">
        <f t="shared" si="67"/>
        <v>44858</v>
      </c>
      <c r="Q41" s="62">
        <f t="shared" si="67"/>
        <v>51274</v>
      </c>
      <c r="R41" s="62">
        <f t="shared" si="67"/>
        <v>58638</v>
      </c>
      <c r="S41" s="62">
        <f t="shared" si="67"/>
        <v>68203</v>
      </c>
      <c r="T41" s="62">
        <f t="shared" si="67"/>
        <v>79526</v>
      </c>
      <c r="U41" s="62">
        <f t="shared" si="67"/>
        <v>93770</v>
      </c>
      <c r="V41" s="62">
        <f t="shared" si="67"/>
        <v>111274</v>
      </c>
      <c r="W41" s="62">
        <f t="shared" si="67"/>
        <v>131750</v>
      </c>
      <c r="X41" s="62">
        <f t="shared" si="67"/>
        <v>188963</v>
      </c>
      <c r="Y41" s="62">
        <f t="shared" si="67"/>
        <v>235382</v>
      </c>
      <c r="Z41" s="61">
        <f t="shared" si="67"/>
        <v>243825</v>
      </c>
      <c r="AA41" s="62">
        <f t="shared" si="67"/>
        <v>287909</v>
      </c>
      <c r="AB41" s="62">
        <f t="shared" si="67"/>
        <v>314955</v>
      </c>
      <c r="AC41" s="62">
        <f t="shared" si="67"/>
        <v>320461</v>
      </c>
      <c r="AD41" s="62">
        <f t="shared" si="67"/>
        <v>330953</v>
      </c>
      <c r="AE41" s="62">
        <f t="shared" si="67"/>
        <v>344226</v>
      </c>
      <c r="AF41" s="62">
        <f t="shared" si="67"/>
        <v>370965</v>
      </c>
      <c r="AG41" s="62">
        <f t="shared" si="67"/>
        <v>374882</v>
      </c>
      <c r="AH41" s="62">
        <f t="shared" si="67"/>
        <v>380124</v>
      </c>
      <c r="AI41" s="62">
        <f t="shared" si="67"/>
        <v>390875</v>
      </c>
      <c r="AJ41" s="62">
        <f t="shared" si="67"/>
        <v>396683</v>
      </c>
      <c r="AK41" s="127">
        <f t="shared" si="67"/>
        <v>402759</v>
      </c>
      <c r="AL41" s="62">
        <f t="shared" si="67"/>
        <v>409223</v>
      </c>
      <c r="AM41" s="62">
        <f t="shared" si="67"/>
        <v>416254</v>
      </c>
      <c r="AN41" s="62">
        <f t="shared" si="67"/>
        <v>424431</v>
      </c>
      <c r="AO41" s="62">
        <f t="shared" si="67"/>
        <v>432893</v>
      </c>
      <c r="AP41" s="62">
        <f t="shared" si="67"/>
        <v>441471</v>
      </c>
      <c r="AQ41" s="62">
        <f t="shared" si="67"/>
        <v>454201</v>
      </c>
      <c r="AR41" s="62">
        <f t="shared" si="67"/>
        <v>460971</v>
      </c>
      <c r="AS41" s="62">
        <f t="shared" si="67"/>
        <v>468851</v>
      </c>
      <c r="AT41" s="62">
        <f t="shared" si="67"/>
        <v>477235</v>
      </c>
      <c r="AU41" s="62">
        <f t="shared" si="67"/>
        <v>486241</v>
      </c>
      <c r="AV41" s="62">
        <f t="shared" si="67"/>
        <v>496512</v>
      </c>
      <c r="AW41" s="63">
        <f t="shared" si="67"/>
        <v>505123</v>
      </c>
      <c r="AX41" s="62">
        <f t="shared" si="67"/>
        <v>513405</v>
      </c>
      <c r="AY41" s="62">
        <f t="shared" si="67"/>
        <v>522456</v>
      </c>
      <c r="AZ41" s="62">
        <f t="shared" si="67"/>
        <v>538349</v>
      </c>
      <c r="BA41" s="62">
        <f t="shared" si="67"/>
        <v>546593</v>
      </c>
      <c r="BB41" s="62">
        <f t="shared" si="67"/>
        <v>555651</v>
      </c>
      <c r="BC41" s="62">
        <f t="shared" si="67"/>
        <v>565804</v>
      </c>
      <c r="BD41" s="62">
        <f t="shared" si="67"/>
        <v>577094</v>
      </c>
      <c r="BE41" s="62">
        <f t="shared" si="67"/>
        <v>587910</v>
      </c>
      <c r="BF41" s="62">
        <f t="shared" si="67"/>
        <v>600829</v>
      </c>
      <c r="BG41" s="62">
        <f t="shared" si="67"/>
        <v>614287</v>
      </c>
      <c r="BH41" s="62">
        <f t="shared" si="67"/>
        <v>627016</v>
      </c>
      <c r="BI41" s="63">
        <f t="shared" si="67"/>
        <v>640427</v>
      </c>
      <c r="BJ41" s="62">
        <f t="shared" si="67"/>
        <v>648985</v>
      </c>
      <c r="BK41" s="62">
        <f t="shared" si="67"/>
        <v>659476</v>
      </c>
      <c r="BL41" s="62">
        <f t="shared" si="67"/>
        <v>676360</v>
      </c>
      <c r="BM41" s="62">
        <f t="shared" si="67"/>
        <v>687324</v>
      </c>
      <c r="BN41" s="62">
        <f t="shared" si="67"/>
        <v>698930</v>
      </c>
      <c r="BO41" s="62">
        <f t="shared" ref="BO41:DZ41" si="68">SUM(BO35:BO40)</f>
        <v>715704</v>
      </c>
      <c r="BP41" s="62">
        <f t="shared" si="68"/>
        <v>727398</v>
      </c>
      <c r="BQ41" s="62">
        <f t="shared" si="68"/>
        <v>739051</v>
      </c>
      <c r="BR41" s="62">
        <f t="shared" si="68"/>
        <v>758458</v>
      </c>
      <c r="BS41" s="62">
        <f t="shared" si="68"/>
        <v>775247</v>
      </c>
      <c r="BT41" s="62">
        <f t="shared" si="68"/>
        <v>797030</v>
      </c>
      <c r="BU41" s="63">
        <f t="shared" si="68"/>
        <v>823072</v>
      </c>
      <c r="BV41" s="62">
        <f t="shared" si="68"/>
        <v>838149</v>
      </c>
      <c r="BW41" s="62">
        <f t="shared" si="68"/>
        <v>841465</v>
      </c>
      <c r="BX41" s="62">
        <f t="shared" si="68"/>
        <v>845897</v>
      </c>
      <c r="BY41" s="62">
        <f t="shared" si="68"/>
        <v>849276</v>
      </c>
      <c r="BZ41" s="62">
        <f t="shared" si="68"/>
        <v>852747</v>
      </c>
      <c r="CA41" s="62">
        <f t="shared" si="68"/>
        <v>856874</v>
      </c>
      <c r="CB41" s="62">
        <f t="shared" si="68"/>
        <v>860125</v>
      </c>
      <c r="CC41" s="62">
        <f t="shared" si="68"/>
        <v>863185</v>
      </c>
      <c r="CD41" s="62">
        <f t="shared" si="68"/>
        <v>866997</v>
      </c>
      <c r="CE41" s="62">
        <f t="shared" si="68"/>
        <v>869837</v>
      </c>
      <c r="CF41" s="62">
        <f t="shared" si="68"/>
        <v>873286</v>
      </c>
      <c r="CG41" s="63">
        <f t="shared" si="68"/>
        <v>875886</v>
      </c>
      <c r="CH41" s="62">
        <f t="shared" si="68"/>
        <v>878366</v>
      </c>
      <c r="CI41" s="62">
        <f t="shared" si="68"/>
        <v>881039</v>
      </c>
      <c r="CJ41" s="62">
        <f t="shared" si="68"/>
        <v>884667</v>
      </c>
      <c r="CK41" s="62">
        <f t="shared" si="68"/>
        <v>887082</v>
      </c>
      <c r="CL41" s="62">
        <f t="shared" si="68"/>
        <v>890321</v>
      </c>
      <c r="CM41" s="62">
        <f t="shared" si="68"/>
        <v>893551</v>
      </c>
      <c r="CN41" s="62">
        <f t="shared" si="68"/>
        <v>896408</v>
      </c>
      <c r="CO41" s="62">
        <f t="shared" si="68"/>
        <v>899610</v>
      </c>
      <c r="CP41" s="62">
        <f t="shared" si="68"/>
        <v>902972</v>
      </c>
      <c r="CQ41" s="62">
        <f t="shared" si="68"/>
        <v>906127</v>
      </c>
      <c r="CR41" s="62">
        <f t="shared" si="68"/>
        <v>909880</v>
      </c>
      <c r="CS41" s="63">
        <f t="shared" si="68"/>
        <v>912343</v>
      </c>
      <c r="CT41" s="62">
        <f t="shared" si="68"/>
        <v>915147</v>
      </c>
      <c r="CU41" s="62">
        <f t="shared" si="68"/>
        <v>917870</v>
      </c>
      <c r="CV41" s="62">
        <f t="shared" si="68"/>
        <v>921204</v>
      </c>
      <c r="CW41" s="62">
        <f t="shared" si="68"/>
        <v>924208</v>
      </c>
      <c r="CX41" s="62">
        <f t="shared" si="68"/>
        <v>927574</v>
      </c>
      <c r="CY41" s="62">
        <f t="shared" si="68"/>
        <v>931048</v>
      </c>
      <c r="CZ41" s="62">
        <f t="shared" si="68"/>
        <v>934319</v>
      </c>
      <c r="DA41" s="62">
        <f t="shared" si="68"/>
        <v>938042</v>
      </c>
      <c r="DB41" s="62">
        <f t="shared" si="68"/>
        <v>941901</v>
      </c>
      <c r="DC41" s="62">
        <f t="shared" si="68"/>
        <v>946285</v>
      </c>
      <c r="DD41" s="62">
        <f t="shared" si="68"/>
        <v>951129</v>
      </c>
      <c r="DE41" s="63">
        <f t="shared" si="68"/>
        <v>955163</v>
      </c>
      <c r="DF41" s="62">
        <f t="shared" si="68"/>
        <v>960179</v>
      </c>
      <c r="DG41" s="62">
        <f t="shared" si="68"/>
        <v>966216</v>
      </c>
      <c r="DH41" s="62">
        <f t="shared" si="68"/>
        <v>981258</v>
      </c>
      <c r="DI41" s="62">
        <f t="shared" si="68"/>
        <v>983354</v>
      </c>
      <c r="DJ41" s="62">
        <f t="shared" si="68"/>
        <v>985999</v>
      </c>
      <c r="DK41" s="62">
        <f t="shared" si="68"/>
        <v>988865</v>
      </c>
      <c r="DL41" s="62">
        <f t="shared" si="68"/>
        <v>991786</v>
      </c>
      <c r="DM41" s="62">
        <f t="shared" si="68"/>
        <v>994875</v>
      </c>
      <c r="DN41" s="62">
        <f t="shared" si="68"/>
        <v>998259</v>
      </c>
      <c r="DO41" s="62">
        <f t="shared" si="68"/>
        <v>1001824</v>
      </c>
      <c r="DP41" s="62">
        <f t="shared" si="68"/>
        <v>1005467</v>
      </c>
      <c r="DQ41" s="63">
        <f t="shared" si="68"/>
        <v>1007965</v>
      </c>
      <c r="DR41" s="62">
        <f t="shared" si="68"/>
        <v>1011129</v>
      </c>
      <c r="DS41" s="62">
        <f t="shared" si="68"/>
        <v>1014180</v>
      </c>
      <c r="DT41" s="62">
        <f t="shared" si="68"/>
        <v>1017425</v>
      </c>
      <c r="DU41" s="62">
        <f t="shared" si="68"/>
        <v>1018096</v>
      </c>
      <c r="DV41" s="62">
        <f t="shared" si="68"/>
        <v>1019179</v>
      </c>
      <c r="DW41" s="62">
        <f t="shared" si="68"/>
        <v>1021561</v>
      </c>
      <c r="DX41" s="62">
        <f t="shared" si="68"/>
        <v>1024849</v>
      </c>
      <c r="DY41" s="62">
        <f t="shared" si="68"/>
        <v>1028073</v>
      </c>
      <c r="DZ41" s="62">
        <f t="shared" si="68"/>
        <v>1032182</v>
      </c>
      <c r="EA41" s="62">
        <f t="shared" ref="EA41:EN41" si="69">SUM(EA35:EA40)</f>
        <v>1036160</v>
      </c>
      <c r="EB41" s="62">
        <f t="shared" si="69"/>
        <v>1040495</v>
      </c>
      <c r="EC41" s="63">
        <f t="shared" si="69"/>
        <v>1043646</v>
      </c>
      <c r="ED41" s="62">
        <f t="shared" si="69"/>
        <v>1047287</v>
      </c>
      <c r="EE41" s="62">
        <f t="shared" si="69"/>
        <v>1050858</v>
      </c>
      <c r="EF41" s="62">
        <f t="shared" si="69"/>
        <v>1055819</v>
      </c>
      <c r="EG41" s="62">
        <f t="shared" si="69"/>
        <v>1060792</v>
      </c>
      <c r="EH41" s="62">
        <f t="shared" si="69"/>
        <v>1065813</v>
      </c>
      <c r="EI41" s="62">
        <f t="shared" si="69"/>
        <v>1071009</v>
      </c>
      <c r="EJ41" s="62">
        <f t="shared" si="69"/>
        <v>1075889</v>
      </c>
      <c r="EK41" s="62">
        <f t="shared" si="69"/>
        <v>1080932</v>
      </c>
      <c r="EL41" s="62">
        <f t="shared" si="69"/>
        <v>1086805</v>
      </c>
      <c r="EM41" s="62">
        <f t="shared" si="69"/>
        <v>1092364</v>
      </c>
      <c r="EN41" s="62">
        <f t="shared" si="69"/>
        <v>1099399</v>
      </c>
      <c r="EO41" s="63">
        <f t="shared" ref="EO41:EQ41" si="70">SUM(EO35:EO40)</f>
        <v>1104542</v>
      </c>
      <c r="EP41" s="62">
        <f t="shared" si="70"/>
        <v>1110598</v>
      </c>
      <c r="EQ41" s="62">
        <f t="shared" si="70"/>
        <v>1118097</v>
      </c>
      <c r="ER41" s="62">
        <f t="shared" ref="ER41:ES41" si="71">SUM(ER35:ER40)</f>
        <v>1128166</v>
      </c>
      <c r="ES41" s="62">
        <f t="shared" si="71"/>
        <v>1137983</v>
      </c>
      <c r="ET41" s="62">
        <f t="shared" ref="ET41:EW41" si="72">SUM(ET35:ET40)</f>
        <v>1149086</v>
      </c>
      <c r="EU41" s="62">
        <f t="shared" si="72"/>
        <v>1160532</v>
      </c>
      <c r="EV41" s="62">
        <f t="shared" si="72"/>
        <v>1171733</v>
      </c>
      <c r="EW41" s="62">
        <f t="shared" si="72"/>
        <v>1184116</v>
      </c>
      <c r="EX41" s="62">
        <f t="shared" ref="EX41:FA41" si="73">SUM(EX35:EX40)</f>
        <v>1198618</v>
      </c>
      <c r="EY41" s="62">
        <f t="shared" si="73"/>
        <v>1212882</v>
      </c>
      <c r="EZ41" s="62">
        <f t="shared" si="73"/>
        <v>1229165</v>
      </c>
      <c r="FA41" s="63">
        <f t="shared" si="73"/>
        <v>1241515</v>
      </c>
      <c r="FB41" s="62">
        <f t="shared" ref="FB41:FC41" si="74">SUM(FB35:FB40)</f>
        <v>1258026</v>
      </c>
      <c r="FC41" s="62">
        <f t="shared" si="74"/>
        <v>1275738</v>
      </c>
      <c r="FD41" s="62">
        <f t="shared" ref="FD41:FE41" si="75">SUM(FD35:FD40)</f>
        <v>1295918</v>
      </c>
      <c r="FE41" s="62">
        <f t="shared" si="75"/>
        <v>1312023</v>
      </c>
      <c r="FF41" s="62">
        <f t="shared" ref="FF41" si="76">SUM(FF35:FF40)</f>
        <v>1330194</v>
      </c>
      <c r="FG41" s="62">
        <f t="shared" ref="FG41:FH41" si="77">SUM(FG35:FG40)</f>
        <v>1348810</v>
      </c>
      <c r="FH41" s="62">
        <f t="shared" si="77"/>
        <v>1364699</v>
      </c>
      <c r="FI41" s="62">
        <f t="shared" ref="FI41:FJ41" si="78">SUM(FI35:FI40)</f>
        <v>1380782</v>
      </c>
      <c r="FJ41" s="62">
        <f t="shared" si="78"/>
        <v>1396581</v>
      </c>
      <c r="FK41" s="158">
        <f t="shared" ref="FK41:FL41" si="79">SUM(FK35:FK40)</f>
        <v>1412179</v>
      </c>
      <c r="FL41" s="158">
        <f t="shared" si="79"/>
        <v>1428266</v>
      </c>
      <c r="FM41" s="158">
        <f t="shared" ref="FM41:FN41" si="80">SUM(FM35:FM40)</f>
        <v>1438498</v>
      </c>
      <c r="FN41" s="122">
        <f t="shared" si="80"/>
        <v>1451771</v>
      </c>
      <c r="FO41" s="158">
        <f t="shared" ref="FO41" si="81">SUM(FO35:FO40)</f>
        <v>1465734</v>
      </c>
      <c r="FP41" s="158">
        <f t="shared" ref="FP41" si="82">SUM(FP35:FP40)</f>
        <v>1480852</v>
      </c>
      <c r="FQ41" s="158">
        <f t="shared" ref="FQ41:FY41" si="83">SUM(FQ35:FQ40)</f>
        <v>1496285</v>
      </c>
      <c r="FR41" s="158">
        <f t="shared" si="83"/>
        <v>1512482</v>
      </c>
      <c r="FS41" s="158">
        <f t="shared" si="83"/>
        <v>1528202</v>
      </c>
      <c r="FT41" s="158">
        <f t="shared" si="83"/>
        <v>1544628</v>
      </c>
      <c r="FU41" s="158">
        <f t="shared" si="83"/>
        <v>1560175</v>
      </c>
      <c r="FV41" s="158">
        <f t="shared" si="83"/>
        <v>1577292</v>
      </c>
      <c r="FW41" s="158">
        <f t="shared" si="83"/>
        <v>1597278</v>
      </c>
      <c r="FX41" s="158">
        <f t="shared" si="83"/>
        <v>1618347</v>
      </c>
      <c r="FY41" s="198">
        <f t="shared" si="83"/>
        <v>1632495</v>
      </c>
      <c r="FZ41" s="158">
        <f t="shared" ref="FZ41:GA41" si="84">SUM(FZ35:FZ40)</f>
        <v>1650110</v>
      </c>
      <c r="GA41" s="158">
        <f t="shared" si="84"/>
        <v>1670552</v>
      </c>
      <c r="GB41" s="158">
        <f t="shared" ref="GB41:GC41" si="85">SUM(GB35:GB40)</f>
        <v>1695218</v>
      </c>
      <c r="GC41" s="158">
        <f t="shared" si="85"/>
        <v>1715684</v>
      </c>
      <c r="GD41" s="158">
        <f t="shared" ref="GD41:GE41" si="86">SUM(GD35:GD40)</f>
        <v>1738899</v>
      </c>
      <c r="GE41" s="158">
        <f t="shared" si="86"/>
        <v>1762591</v>
      </c>
      <c r="GF41" s="158">
        <f t="shared" ref="GF41:GG41" si="87">SUM(GF35:GF40)</f>
        <v>1785597</v>
      </c>
      <c r="GG41" s="158">
        <f t="shared" si="87"/>
        <v>1806079</v>
      </c>
      <c r="GH41" s="158">
        <f t="shared" ref="GH41:GI41" si="88">SUM(GH35:GH40)</f>
        <v>1830119</v>
      </c>
      <c r="GI41" s="158">
        <f t="shared" si="88"/>
        <v>1856413</v>
      </c>
      <c r="GJ41" s="158">
        <f t="shared" ref="GJ41:GK41" si="89">SUM(GJ35:GJ40)</f>
        <v>1880394</v>
      </c>
      <c r="GK41" s="198">
        <f t="shared" si="89"/>
        <v>1898895</v>
      </c>
      <c r="GL41" s="158">
        <f t="shared" ref="GL41:GM41" si="90">SUM(GL35:GL40)</f>
        <v>1918592</v>
      </c>
      <c r="GM41" s="158">
        <f t="shared" si="90"/>
        <v>1941661</v>
      </c>
      <c r="GN41" s="158">
        <f t="shared" ref="GN41:GO41" si="91">SUM(GN35:GN40)</f>
        <v>1970086</v>
      </c>
      <c r="GO41" s="158">
        <f t="shared" si="91"/>
        <v>1993497</v>
      </c>
      <c r="GP41" s="158">
        <f t="shared" ref="GP41:GQ41" si="92">SUM(GP35:GP40)</f>
        <v>2012497</v>
      </c>
      <c r="GQ41" s="158">
        <f t="shared" si="92"/>
        <v>2039408</v>
      </c>
    </row>
    <row r="42" spans="1:199" s="25" customFormat="1" ht="20.149999999999999" customHeight="1" thickTop="1" x14ac:dyDescent="0.35">
      <c r="A42" s="26" t="s">
        <v>268</v>
      </c>
      <c r="B42" s="55"/>
      <c r="C42" s="55"/>
      <c r="D42" s="55"/>
      <c r="E42" s="55"/>
      <c r="F42" s="55"/>
      <c r="G42" s="55"/>
      <c r="H42" s="55"/>
      <c r="I42" s="55"/>
      <c r="J42" s="55"/>
      <c r="K42" s="55"/>
      <c r="L42" s="55"/>
      <c r="M42" s="56"/>
      <c r="N42" s="57"/>
      <c r="O42" s="55"/>
      <c r="P42" s="55"/>
      <c r="Q42" s="55"/>
      <c r="R42" s="55"/>
      <c r="S42" s="55"/>
      <c r="T42" s="55"/>
      <c r="U42" s="55"/>
      <c r="V42" s="55"/>
      <c r="W42" s="55"/>
      <c r="X42" s="55"/>
      <c r="Y42" s="56"/>
      <c r="Z42" s="57"/>
      <c r="AA42" s="55"/>
      <c r="AB42" s="55"/>
      <c r="AC42" s="55"/>
      <c r="AD42" s="55"/>
      <c r="AE42" s="55"/>
      <c r="AF42" s="55"/>
      <c r="AG42" s="55"/>
      <c r="AH42" s="55"/>
      <c r="AI42" s="55"/>
      <c r="AJ42" s="55"/>
      <c r="AK42" s="56"/>
      <c r="AL42" s="57"/>
      <c r="AM42" s="55"/>
      <c r="AN42" s="55"/>
      <c r="AO42" s="55"/>
      <c r="AP42" s="55"/>
      <c r="AQ42" s="55"/>
      <c r="AR42" s="55"/>
      <c r="AS42" s="55"/>
      <c r="AT42" s="55"/>
      <c r="AU42" s="55"/>
      <c r="AV42" s="55"/>
      <c r="AW42" s="56"/>
      <c r="AX42" s="55"/>
      <c r="AY42" s="55"/>
      <c r="AZ42" s="55"/>
      <c r="BA42" s="55"/>
      <c r="BB42" s="55"/>
      <c r="BC42" s="55"/>
      <c r="BD42" s="55"/>
      <c r="BE42" s="55"/>
      <c r="BF42" s="55"/>
      <c r="BG42" s="55"/>
      <c r="BH42" s="55"/>
      <c r="BI42" s="56"/>
      <c r="BJ42" s="55"/>
      <c r="BK42" s="55"/>
      <c r="BL42" s="55"/>
      <c r="BM42" s="55"/>
      <c r="BN42" s="55"/>
      <c r="BO42" s="55"/>
      <c r="BP42" s="55"/>
      <c r="BQ42" s="55"/>
      <c r="BR42" s="55"/>
      <c r="BS42" s="55"/>
      <c r="BT42" s="55"/>
      <c r="BU42" s="56"/>
      <c r="BV42" s="55"/>
      <c r="BW42" s="55"/>
      <c r="BX42" s="55"/>
      <c r="BY42" s="55"/>
      <c r="BZ42" s="55"/>
      <c r="CA42" s="55"/>
      <c r="CB42" s="55"/>
      <c r="CC42" s="55"/>
      <c r="CD42" s="55"/>
      <c r="CE42" s="55"/>
      <c r="CF42" s="55"/>
      <c r="CG42" s="56"/>
      <c r="CH42" s="55"/>
      <c r="CI42" s="55"/>
      <c r="CJ42" s="55"/>
      <c r="CK42" s="55"/>
      <c r="CL42" s="55"/>
      <c r="CM42" s="55"/>
      <c r="CN42" s="55"/>
      <c r="CO42" s="55"/>
      <c r="CP42" s="55"/>
      <c r="CQ42" s="55"/>
      <c r="CR42" s="55"/>
      <c r="CS42" s="56"/>
      <c r="CT42" s="55"/>
      <c r="CU42" s="55"/>
      <c r="CV42" s="55"/>
      <c r="CW42" s="55"/>
      <c r="CX42" s="55"/>
      <c r="CY42" s="55"/>
      <c r="CZ42" s="55"/>
      <c r="DA42" s="55"/>
      <c r="DB42" s="55"/>
      <c r="DC42" s="55"/>
      <c r="DD42" s="55"/>
      <c r="DE42" s="56"/>
      <c r="DF42" s="55"/>
      <c r="DG42" s="55"/>
      <c r="DH42" s="55"/>
      <c r="DI42" s="55"/>
      <c r="DJ42" s="55"/>
      <c r="DK42" s="55"/>
      <c r="DL42" s="55"/>
      <c r="DM42" s="55"/>
      <c r="DN42" s="55"/>
      <c r="DO42" s="55"/>
      <c r="DP42" s="55"/>
      <c r="DQ42" s="56"/>
      <c r="DR42" s="55"/>
      <c r="DS42" s="55"/>
      <c r="DT42" s="55"/>
      <c r="DU42" s="55"/>
      <c r="DV42" s="55"/>
      <c r="DW42" s="55"/>
      <c r="DX42" s="55"/>
      <c r="DY42" s="55"/>
      <c r="DZ42" s="55"/>
      <c r="EA42" s="55"/>
      <c r="EB42" s="55"/>
      <c r="EC42" s="56"/>
      <c r="ED42" s="55"/>
      <c r="EE42" s="55"/>
      <c r="EF42" s="55"/>
      <c r="EG42" s="55"/>
      <c r="EH42" s="55"/>
      <c r="EI42" s="55"/>
      <c r="EJ42" s="55"/>
      <c r="EK42" s="55"/>
      <c r="EL42" s="55"/>
      <c r="EM42" s="55"/>
      <c r="EN42" s="55"/>
      <c r="EO42" s="56"/>
      <c r="EP42" s="55"/>
      <c r="EQ42" s="55"/>
      <c r="ER42" s="55"/>
      <c r="ES42" s="55"/>
      <c r="ET42" s="55"/>
      <c r="EU42" s="55"/>
      <c r="EV42" s="55"/>
      <c r="EW42" s="55"/>
      <c r="EX42" s="55"/>
      <c r="EY42" s="123"/>
      <c r="EZ42" s="123"/>
      <c r="FA42" s="56"/>
      <c r="FB42" s="123"/>
      <c r="FC42" s="123"/>
      <c r="FD42" s="123"/>
      <c r="FE42" s="123"/>
      <c r="FF42" s="123"/>
      <c r="FG42" s="123"/>
      <c r="FH42" s="123"/>
      <c r="FI42" s="123"/>
      <c r="FJ42" s="38"/>
      <c r="FK42" s="38"/>
      <c r="FL42" s="38"/>
      <c r="FM42" s="38"/>
      <c r="FN42" s="167"/>
      <c r="FO42" s="38"/>
      <c r="FP42" s="38"/>
      <c r="FQ42" s="38"/>
      <c r="FR42" s="38"/>
      <c r="FS42" s="38"/>
      <c r="FT42" s="38"/>
      <c r="FU42" s="39"/>
      <c r="FV42" s="39"/>
      <c r="FW42" s="39"/>
      <c r="FX42" s="39"/>
      <c r="FY42" s="197"/>
      <c r="FZ42" s="39"/>
      <c r="GA42" s="39"/>
      <c r="GB42" s="39"/>
      <c r="GC42" s="39"/>
      <c r="GD42" s="39"/>
      <c r="GE42" s="39"/>
      <c r="GF42" s="39"/>
      <c r="GG42" s="39"/>
      <c r="GH42" s="39"/>
      <c r="GI42" s="39"/>
      <c r="GJ42" s="39"/>
      <c r="GK42" s="197"/>
      <c r="GL42" s="39"/>
      <c r="GM42" s="39"/>
      <c r="GN42" s="39"/>
      <c r="GO42" s="39"/>
      <c r="GP42" s="39"/>
      <c r="GQ42" s="39"/>
    </row>
    <row r="43" spans="1:199" s="30" customFormat="1" ht="20.149999999999999" customHeight="1" x14ac:dyDescent="0.35">
      <c r="A43" s="31" t="s">
        <v>1623</v>
      </c>
      <c r="B43" s="55">
        <v>136</v>
      </c>
      <c r="C43" s="55">
        <v>136</v>
      </c>
      <c r="D43" s="55">
        <v>143</v>
      </c>
      <c r="E43" s="55">
        <v>156</v>
      </c>
      <c r="F43" s="55">
        <v>158</v>
      </c>
      <c r="G43" s="55">
        <v>173</v>
      </c>
      <c r="H43" s="55">
        <v>175</v>
      </c>
      <c r="I43" s="55">
        <v>177</v>
      </c>
      <c r="J43" s="55">
        <v>178</v>
      </c>
      <c r="K43" s="55">
        <v>182</v>
      </c>
      <c r="L43" s="55">
        <v>201</v>
      </c>
      <c r="M43" s="56">
        <v>206</v>
      </c>
      <c r="N43" s="57">
        <v>206</v>
      </c>
      <c r="O43" s="55">
        <v>207</v>
      </c>
      <c r="P43" s="55">
        <v>217</v>
      </c>
      <c r="Q43" s="55">
        <v>219</v>
      </c>
      <c r="R43" s="55">
        <v>227</v>
      </c>
      <c r="S43" s="55">
        <v>229</v>
      </c>
      <c r="T43" s="55">
        <v>230</v>
      </c>
      <c r="U43" s="55">
        <v>236</v>
      </c>
      <c r="V43" s="55">
        <v>259</v>
      </c>
      <c r="W43" s="55">
        <v>273</v>
      </c>
      <c r="X43" s="55">
        <v>299</v>
      </c>
      <c r="Y43" s="56">
        <v>317</v>
      </c>
      <c r="Z43" s="57">
        <v>379</v>
      </c>
      <c r="AA43" s="55">
        <v>394</v>
      </c>
      <c r="AB43" s="55">
        <v>441</v>
      </c>
      <c r="AC43" s="55">
        <v>453</v>
      </c>
      <c r="AD43" s="55">
        <v>465</v>
      </c>
      <c r="AE43" s="55">
        <v>472</v>
      </c>
      <c r="AF43" s="55">
        <v>500</v>
      </c>
      <c r="AG43" s="55">
        <v>570</v>
      </c>
      <c r="AH43" s="55">
        <v>671</v>
      </c>
      <c r="AI43" s="55">
        <v>729</v>
      </c>
      <c r="AJ43" s="55">
        <v>784</v>
      </c>
      <c r="AK43" s="56">
        <v>826</v>
      </c>
      <c r="AL43" s="57">
        <v>925</v>
      </c>
      <c r="AM43" s="55">
        <v>1011</v>
      </c>
      <c r="AN43" s="55">
        <v>1060</v>
      </c>
      <c r="AO43" s="55">
        <v>1093</v>
      </c>
      <c r="AP43" s="55">
        <v>1166</v>
      </c>
      <c r="AQ43" s="55">
        <v>1196</v>
      </c>
      <c r="AR43" s="55">
        <v>1261</v>
      </c>
      <c r="AS43" s="55">
        <v>1392</v>
      </c>
      <c r="AT43" s="55">
        <v>1501</v>
      </c>
      <c r="AU43" s="55">
        <v>1604</v>
      </c>
      <c r="AV43" s="55">
        <v>1688</v>
      </c>
      <c r="AW43" s="56">
        <v>1833</v>
      </c>
      <c r="AX43" s="55">
        <v>1893</v>
      </c>
      <c r="AY43" s="55">
        <v>1979</v>
      </c>
      <c r="AZ43" s="55">
        <v>2095</v>
      </c>
      <c r="BA43" s="55">
        <v>2219</v>
      </c>
      <c r="BB43" s="55">
        <v>2392</v>
      </c>
      <c r="BC43" s="55">
        <v>2585</v>
      </c>
      <c r="BD43" s="55">
        <v>2784</v>
      </c>
      <c r="BE43" s="55">
        <v>3002</v>
      </c>
      <c r="BF43" s="55">
        <v>3196</v>
      </c>
      <c r="BG43" s="55">
        <v>3371</v>
      </c>
      <c r="BH43" s="55">
        <v>3598</v>
      </c>
      <c r="BI43" s="56">
        <v>3738</v>
      </c>
      <c r="BJ43" s="55">
        <v>3860</v>
      </c>
      <c r="BK43" s="55">
        <v>3987</v>
      </c>
      <c r="BL43" s="55">
        <v>4109</v>
      </c>
      <c r="BM43" s="55">
        <v>4225</v>
      </c>
      <c r="BN43" s="55">
        <v>4379</v>
      </c>
      <c r="BO43" s="55">
        <v>4542</v>
      </c>
      <c r="BP43" s="55">
        <v>4720</v>
      </c>
      <c r="BQ43" s="55">
        <v>4962</v>
      </c>
      <c r="BR43" s="55">
        <v>5331</v>
      </c>
      <c r="BS43" s="55">
        <v>5505</v>
      </c>
      <c r="BT43" s="55">
        <v>5727</v>
      </c>
      <c r="BU43" s="56">
        <v>5958</v>
      </c>
      <c r="BV43" s="55">
        <v>6215</v>
      </c>
      <c r="BW43" s="55">
        <v>6478</v>
      </c>
      <c r="BX43" s="55">
        <v>6761</v>
      </c>
      <c r="BY43" s="55">
        <v>6966</v>
      </c>
      <c r="BZ43" s="55">
        <v>7035</v>
      </c>
      <c r="CA43" s="55">
        <v>7120</v>
      </c>
      <c r="CB43" s="55">
        <v>7227</v>
      </c>
      <c r="CC43" s="55">
        <v>7332</v>
      </c>
      <c r="CD43" s="55">
        <v>7847</v>
      </c>
      <c r="CE43" s="55">
        <v>7874</v>
      </c>
      <c r="CF43" s="55">
        <v>7908</v>
      </c>
      <c r="CG43" s="56">
        <v>7922</v>
      </c>
      <c r="CH43" s="55">
        <v>7953</v>
      </c>
      <c r="CI43" s="55">
        <v>8073</v>
      </c>
      <c r="CJ43" s="55">
        <v>8313</v>
      </c>
      <c r="CK43" s="55">
        <v>8323</v>
      </c>
      <c r="CL43" s="55">
        <v>8345</v>
      </c>
      <c r="CM43" s="55">
        <v>8404</v>
      </c>
      <c r="CN43" s="55">
        <v>8413</v>
      </c>
      <c r="CO43" s="55">
        <v>8431</v>
      </c>
      <c r="CP43" s="55">
        <v>8458</v>
      </c>
      <c r="CQ43" s="55">
        <v>8490</v>
      </c>
      <c r="CR43" s="55">
        <v>8538</v>
      </c>
      <c r="CS43" s="56">
        <v>8547</v>
      </c>
      <c r="CT43" s="55">
        <v>8562</v>
      </c>
      <c r="CU43" s="55">
        <v>8591</v>
      </c>
      <c r="CV43" s="55">
        <v>8623</v>
      </c>
      <c r="CW43" s="55">
        <v>8641</v>
      </c>
      <c r="CX43" s="55">
        <v>8649</v>
      </c>
      <c r="CY43" s="55">
        <v>8664</v>
      </c>
      <c r="CZ43" s="55">
        <v>8671</v>
      </c>
      <c r="DA43" s="55">
        <v>8700</v>
      </c>
      <c r="DB43" s="55">
        <v>8702</v>
      </c>
      <c r="DC43" s="55">
        <v>8781</v>
      </c>
      <c r="DD43" s="55">
        <v>8824</v>
      </c>
      <c r="DE43" s="56">
        <v>8827</v>
      </c>
      <c r="DF43" s="55">
        <v>8889</v>
      </c>
      <c r="DG43" s="55">
        <v>8933</v>
      </c>
      <c r="DH43" s="55">
        <v>8941</v>
      </c>
      <c r="DI43" s="55">
        <v>8965</v>
      </c>
      <c r="DJ43" s="55">
        <v>8984</v>
      </c>
      <c r="DK43" s="55">
        <v>9021</v>
      </c>
      <c r="DL43" s="55">
        <v>9047</v>
      </c>
      <c r="DM43" s="55">
        <v>9070</v>
      </c>
      <c r="DN43" s="55">
        <v>9103</v>
      </c>
      <c r="DO43" s="55">
        <v>9115</v>
      </c>
      <c r="DP43" s="55">
        <v>9133</v>
      </c>
      <c r="DQ43" s="56">
        <v>9135</v>
      </c>
      <c r="DR43" s="55">
        <v>9143</v>
      </c>
      <c r="DS43" s="55">
        <v>9151</v>
      </c>
      <c r="DT43" s="55">
        <v>9168</v>
      </c>
      <c r="DU43" s="55">
        <v>9168</v>
      </c>
      <c r="DV43" s="55">
        <v>9169</v>
      </c>
      <c r="DW43" s="55">
        <v>9194</v>
      </c>
      <c r="DX43" s="55">
        <v>9195</v>
      </c>
      <c r="DY43" s="55">
        <v>9237</v>
      </c>
      <c r="DZ43" s="55">
        <v>9255</v>
      </c>
      <c r="EA43" s="55">
        <v>9278</v>
      </c>
      <c r="EB43" s="55">
        <v>9284</v>
      </c>
      <c r="EC43" s="56">
        <v>9284</v>
      </c>
      <c r="ED43" s="55">
        <v>9321</v>
      </c>
      <c r="EE43" s="55">
        <v>9325</v>
      </c>
      <c r="EF43" s="55">
        <v>9342</v>
      </c>
      <c r="EG43" s="55">
        <v>9349</v>
      </c>
      <c r="EH43" s="55">
        <v>9366</v>
      </c>
      <c r="EI43" s="55">
        <v>9397</v>
      </c>
      <c r="EJ43" s="55">
        <v>9410</v>
      </c>
      <c r="EK43" s="55">
        <v>9441</v>
      </c>
      <c r="EL43" s="55">
        <v>9492</v>
      </c>
      <c r="EM43" s="55">
        <v>9529</v>
      </c>
      <c r="EN43" s="55">
        <v>9567</v>
      </c>
      <c r="EO43" s="56">
        <v>9578</v>
      </c>
      <c r="EP43" s="55">
        <v>9605</v>
      </c>
      <c r="EQ43" s="55">
        <v>9637</v>
      </c>
      <c r="ER43" s="55">
        <v>9651</v>
      </c>
      <c r="ES43" s="55">
        <v>9657</v>
      </c>
      <c r="ET43" s="55">
        <v>9694</v>
      </c>
      <c r="EU43" s="55">
        <v>9706</v>
      </c>
      <c r="EV43" s="55">
        <v>9724</v>
      </c>
      <c r="EW43" s="55">
        <v>9755</v>
      </c>
      <c r="EX43" s="55">
        <v>9782</v>
      </c>
      <c r="EY43" s="55">
        <v>9804</v>
      </c>
      <c r="EZ43" s="55">
        <v>9830</v>
      </c>
      <c r="FA43" s="56">
        <v>9844</v>
      </c>
      <c r="FB43" s="55">
        <v>9860</v>
      </c>
      <c r="FC43" s="55">
        <v>9880</v>
      </c>
      <c r="FD43" s="55">
        <v>9902</v>
      </c>
      <c r="FE43" s="55">
        <v>9913</v>
      </c>
      <c r="FF43" s="55">
        <v>9927</v>
      </c>
      <c r="FG43" s="55">
        <v>9939</v>
      </c>
      <c r="FH43" s="55">
        <v>9958</v>
      </c>
      <c r="FI43" s="55">
        <v>9988</v>
      </c>
      <c r="FJ43" s="39">
        <v>10027</v>
      </c>
      <c r="FK43" s="39">
        <v>10069</v>
      </c>
      <c r="FL43" s="39">
        <v>10092</v>
      </c>
      <c r="FM43" s="39">
        <v>10101</v>
      </c>
      <c r="FN43" s="77">
        <v>10115</v>
      </c>
      <c r="FO43" s="39">
        <v>10184</v>
      </c>
      <c r="FP43" s="39">
        <v>10198</v>
      </c>
      <c r="FQ43" s="39">
        <v>10271</v>
      </c>
      <c r="FR43" s="39">
        <v>10318</v>
      </c>
      <c r="FS43" s="39">
        <v>10404</v>
      </c>
      <c r="FT43" s="39">
        <v>10448</v>
      </c>
      <c r="FU43" s="38">
        <v>10514</v>
      </c>
      <c r="FV43" s="38">
        <v>10580</v>
      </c>
      <c r="FW43" s="38">
        <v>10696</v>
      </c>
      <c r="FX43" s="38">
        <v>10820</v>
      </c>
      <c r="FY43" s="196">
        <v>10853</v>
      </c>
      <c r="FZ43" s="38">
        <v>10894</v>
      </c>
      <c r="GA43" s="38">
        <v>10965</v>
      </c>
      <c r="GB43" s="38">
        <v>11045</v>
      </c>
      <c r="GC43" s="38">
        <v>11108</v>
      </c>
      <c r="GD43" s="38">
        <v>11254</v>
      </c>
      <c r="GE43" s="38">
        <v>11375</v>
      </c>
      <c r="GF43" s="38">
        <v>11440</v>
      </c>
      <c r="GG43" s="38">
        <v>11519</v>
      </c>
      <c r="GH43" s="38">
        <v>11560</v>
      </c>
      <c r="GI43" s="38">
        <v>11664</v>
      </c>
      <c r="GJ43" s="38">
        <v>11809</v>
      </c>
      <c r="GK43" s="196">
        <v>11883</v>
      </c>
      <c r="GL43" s="38">
        <v>11965</v>
      </c>
      <c r="GM43" s="38">
        <v>12049</v>
      </c>
      <c r="GN43" s="38">
        <v>12184</v>
      </c>
      <c r="GO43" s="38">
        <v>12289</v>
      </c>
      <c r="GP43" s="38">
        <v>12368</v>
      </c>
      <c r="GQ43" s="38">
        <v>12471</v>
      </c>
    </row>
    <row r="44" spans="1:199" s="1" customFormat="1" ht="20.149999999999999" customHeight="1" x14ac:dyDescent="0.35">
      <c r="A44" s="31" t="s">
        <v>1626</v>
      </c>
      <c r="B44" s="55">
        <v>100</v>
      </c>
      <c r="C44" s="55">
        <v>100</v>
      </c>
      <c r="D44" s="55">
        <v>100</v>
      </c>
      <c r="E44" s="55">
        <v>100</v>
      </c>
      <c r="F44" s="55">
        <v>100</v>
      </c>
      <c r="G44" s="55">
        <v>100</v>
      </c>
      <c r="H44" s="55">
        <v>100</v>
      </c>
      <c r="I44" s="55">
        <v>100</v>
      </c>
      <c r="J44" s="55">
        <v>100</v>
      </c>
      <c r="K44" s="55">
        <v>101</v>
      </c>
      <c r="L44" s="55">
        <v>101</v>
      </c>
      <c r="M44" s="56">
        <v>102</v>
      </c>
      <c r="N44" s="57">
        <v>102</v>
      </c>
      <c r="O44" s="55">
        <v>103</v>
      </c>
      <c r="P44" s="55">
        <v>104</v>
      </c>
      <c r="Q44" s="55">
        <v>105</v>
      </c>
      <c r="R44" s="55">
        <v>110</v>
      </c>
      <c r="S44" s="55">
        <v>116</v>
      </c>
      <c r="T44" s="55">
        <v>119</v>
      </c>
      <c r="U44" s="55">
        <v>122</v>
      </c>
      <c r="V44" s="55">
        <v>125</v>
      </c>
      <c r="W44" s="55">
        <v>134</v>
      </c>
      <c r="X44" s="55">
        <v>144</v>
      </c>
      <c r="Y44" s="56">
        <v>163</v>
      </c>
      <c r="Z44" s="57">
        <v>182</v>
      </c>
      <c r="AA44" s="55">
        <v>187</v>
      </c>
      <c r="AB44" s="55">
        <v>194</v>
      </c>
      <c r="AC44" s="55">
        <v>203</v>
      </c>
      <c r="AD44" s="55">
        <v>215</v>
      </c>
      <c r="AE44" s="55">
        <v>220</v>
      </c>
      <c r="AF44" s="55">
        <v>235</v>
      </c>
      <c r="AG44" s="55">
        <v>276</v>
      </c>
      <c r="AH44" s="55">
        <v>321</v>
      </c>
      <c r="AI44" s="55">
        <v>406</v>
      </c>
      <c r="AJ44" s="55">
        <v>499</v>
      </c>
      <c r="AK44" s="56">
        <v>577</v>
      </c>
      <c r="AL44" s="57">
        <v>678</v>
      </c>
      <c r="AM44" s="55">
        <v>766</v>
      </c>
      <c r="AN44" s="55">
        <v>889</v>
      </c>
      <c r="AO44" s="55">
        <v>1007</v>
      </c>
      <c r="AP44" s="55">
        <v>1142</v>
      </c>
      <c r="AQ44" s="55">
        <v>1273</v>
      </c>
      <c r="AR44" s="55">
        <v>1482</v>
      </c>
      <c r="AS44" s="55">
        <v>1771</v>
      </c>
      <c r="AT44" s="55">
        <v>2141</v>
      </c>
      <c r="AU44" s="55">
        <v>2463</v>
      </c>
      <c r="AV44" s="55">
        <v>2830</v>
      </c>
      <c r="AW44" s="56">
        <v>3099</v>
      </c>
      <c r="AX44" s="55">
        <v>3452</v>
      </c>
      <c r="AY44" s="55">
        <v>4457</v>
      </c>
      <c r="AZ44" s="55">
        <v>4699</v>
      </c>
      <c r="BA44" s="55">
        <v>4937</v>
      </c>
      <c r="BB44" s="55">
        <v>5212</v>
      </c>
      <c r="BC44" s="55">
        <v>5505</v>
      </c>
      <c r="BD44" s="55">
        <v>5757</v>
      </c>
      <c r="BE44" s="55">
        <v>6036</v>
      </c>
      <c r="BF44" s="55">
        <v>6373</v>
      </c>
      <c r="BG44" s="55">
        <v>6712</v>
      </c>
      <c r="BH44" s="55">
        <v>7007</v>
      </c>
      <c r="BI44" s="56">
        <v>7249</v>
      </c>
      <c r="BJ44" s="55">
        <v>7466</v>
      </c>
      <c r="BK44" s="55">
        <v>7725</v>
      </c>
      <c r="BL44" s="55">
        <v>7982</v>
      </c>
      <c r="BM44" s="55">
        <v>8249</v>
      </c>
      <c r="BN44" s="55">
        <v>8521</v>
      </c>
      <c r="BO44" s="55">
        <v>8796</v>
      </c>
      <c r="BP44" s="55">
        <v>9070</v>
      </c>
      <c r="BQ44" s="55">
        <v>9530</v>
      </c>
      <c r="BR44" s="55">
        <v>10501</v>
      </c>
      <c r="BS44" s="55">
        <v>10637</v>
      </c>
      <c r="BT44" s="55">
        <v>10766</v>
      </c>
      <c r="BU44" s="56">
        <v>10874</v>
      </c>
      <c r="BV44" s="55">
        <v>10997</v>
      </c>
      <c r="BW44" s="55">
        <v>11101</v>
      </c>
      <c r="BX44" s="55">
        <v>11233</v>
      </c>
      <c r="BY44" s="55">
        <v>11375</v>
      </c>
      <c r="BZ44" s="55">
        <v>11528</v>
      </c>
      <c r="CA44" s="55">
        <v>11708</v>
      </c>
      <c r="CB44" s="55">
        <v>11838</v>
      </c>
      <c r="CC44" s="55">
        <v>12052</v>
      </c>
      <c r="CD44" s="55">
        <v>12488</v>
      </c>
      <c r="CE44" s="55">
        <v>12500</v>
      </c>
      <c r="CF44" s="55">
        <v>12531</v>
      </c>
      <c r="CG44" s="56">
        <v>12561</v>
      </c>
      <c r="CH44" s="55">
        <v>12581</v>
      </c>
      <c r="CI44" s="55">
        <v>12618</v>
      </c>
      <c r="CJ44" s="55">
        <v>12736</v>
      </c>
      <c r="CK44" s="55">
        <v>12739</v>
      </c>
      <c r="CL44" s="55">
        <v>12740</v>
      </c>
      <c r="CM44" s="55">
        <v>12740</v>
      </c>
      <c r="CN44" s="55">
        <v>12741</v>
      </c>
      <c r="CO44" s="55">
        <v>12746</v>
      </c>
      <c r="CP44" s="55">
        <v>12749</v>
      </c>
      <c r="CQ44" s="55">
        <v>12749</v>
      </c>
      <c r="CR44" s="55">
        <v>12752</v>
      </c>
      <c r="CS44" s="56">
        <v>12753</v>
      </c>
      <c r="CT44" s="55">
        <v>12755</v>
      </c>
      <c r="CU44" s="55">
        <v>12766</v>
      </c>
      <c r="CV44" s="55">
        <v>12779</v>
      </c>
      <c r="CW44" s="55">
        <v>12791</v>
      </c>
      <c r="CX44" s="55">
        <v>12798</v>
      </c>
      <c r="CY44" s="55">
        <v>12806</v>
      </c>
      <c r="CZ44" s="55">
        <v>12816</v>
      </c>
      <c r="DA44" s="55">
        <v>12827</v>
      </c>
      <c r="DB44" s="55">
        <v>12833</v>
      </c>
      <c r="DC44" s="55">
        <v>12835</v>
      </c>
      <c r="DD44" s="55">
        <v>12838</v>
      </c>
      <c r="DE44" s="56">
        <v>12844</v>
      </c>
      <c r="DF44" s="55">
        <v>12849</v>
      </c>
      <c r="DG44" s="55">
        <v>12856</v>
      </c>
      <c r="DH44" s="55">
        <v>12861</v>
      </c>
      <c r="DI44" s="55">
        <v>12863</v>
      </c>
      <c r="DJ44" s="55">
        <v>12866</v>
      </c>
      <c r="DK44" s="55">
        <v>12872</v>
      </c>
      <c r="DL44" s="55">
        <v>12878</v>
      </c>
      <c r="DM44" s="55">
        <v>12882</v>
      </c>
      <c r="DN44" s="55">
        <v>12889</v>
      </c>
      <c r="DO44" s="55">
        <v>12892</v>
      </c>
      <c r="DP44" s="55">
        <v>12894</v>
      </c>
      <c r="DQ44" s="56">
        <v>12897</v>
      </c>
      <c r="DR44" s="55">
        <v>12904</v>
      </c>
      <c r="DS44" s="55">
        <v>12915</v>
      </c>
      <c r="DT44" s="55">
        <v>12921</v>
      </c>
      <c r="DU44" s="55">
        <v>12922</v>
      </c>
      <c r="DV44" s="55">
        <v>12922</v>
      </c>
      <c r="DW44" s="55">
        <v>12933</v>
      </c>
      <c r="DX44" s="55">
        <v>12945</v>
      </c>
      <c r="DY44" s="55">
        <v>12953</v>
      </c>
      <c r="DZ44" s="55">
        <v>12964</v>
      </c>
      <c r="EA44" s="55">
        <v>12967</v>
      </c>
      <c r="EB44" s="55">
        <v>12979</v>
      </c>
      <c r="EC44" s="56">
        <v>12984</v>
      </c>
      <c r="ED44" s="55">
        <v>12990</v>
      </c>
      <c r="EE44" s="55">
        <v>13000</v>
      </c>
      <c r="EF44" s="55">
        <v>13015</v>
      </c>
      <c r="EG44" s="55">
        <v>13034</v>
      </c>
      <c r="EH44" s="55">
        <v>13067</v>
      </c>
      <c r="EI44" s="55">
        <v>13099</v>
      </c>
      <c r="EJ44" s="55">
        <v>13116</v>
      </c>
      <c r="EK44" s="55">
        <v>13150</v>
      </c>
      <c r="EL44" s="55">
        <v>13201</v>
      </c>
      <c r="EM44" s="55">
        <v>13224</v>
      </c>
      <c r="EN44" s="55">
        <v>13293</v>
      </c>
      <c r="EO44" s="56">
        <v>13323</v>
      </c>
      <c r="EP44" s="55">
        <v>13404</v>
      </c>
      <c r="EQ44" s="55">
        <v>13450</v>
      </c>
      <c r="ER44" s="55">
        <v>13524</v>
      </c>
      <c r="ES44" s="55">
        <v>13599</v>
      </c>
      <c r="ET44" s="55">
        <v>13735</v>
      </c>
      <c r="EU44" s="55">
        <v>13856</v>
      </c>
      <c r="EV44" s="55">
        <v>13965</v>
      </c>
      <c r="EW44" s="55">
        <v>14086</v>
      </c>
      <c r="EX44" s="55">
        <v>14249</v>
      </c>
      <c r="EY44" s="55">
        <v>14397</v>
      </c>
      <c r="EZ44" s="55">
        <v>14605</v>
      </c>
      <c r="FA44" s="56">
        <v>14731</v>
      </c>
      <c r="FB44" s="55">
        <v>14908</v>
      </c>
      <c r="FC44" s="55">
        <v>15046</v>
      </c>
      <c r="FD44" s="55">
        <v>15174</v>
      </c>
      <c r="FE44" s="55">
        <v>15257</v>
      </c>
      <c r="FF44" s="55">
        <v>15390</v>
      </c>
      <c r="FG44" s="55">
        <v>15535</v>
      </c>
      <c r="FH44" s="55">
        <v>15667</v>
      </c>
      <c r="FI44" s="55">
        <v>15824</v>
      </c>
      <c r="FJ44" s="39">
        <v>15949</v>
      </c>
      <c r="FK44" s="39">
        <v>16081</v>
      </c>
      <c r="FL44" s="39">
        <v>16206</v>
      </c>
      <c r="FM44" s="39">
        <v>16291</v>
      </c>
      <c r="FN44" s="77">
        <v>16378</v>
      </c>
      <c r="FO44" s="39">
        <v>16477</v>
      </c>
      <c r="FP44" s="39">
        <v>16543</v>
      </c>
      <c r="FQ44" s="39">
        <v>16649</v>
      </c>
      <c r="FR44" s="39">
        <v>16760</v>
      </c>
      <c r="FS44" s="39">
        <v>16893</v>
      </c>
      <c r="FT44" s="39">
        <v>17020</v>
      </c>
      <c r="FU44" s="39">
        <v>17152</v>
      </c>
      <c r="FV44" s="39">
        <v>17261</v>
      </c>
      <c r="FW44" s="39">
        <v>17374</v>
      </c>
      <c r="FX44" s="39">
        <v>17488</v>
      </c>
      <c r="FY44" s="197">
        <v>17539</v>
      </c>
      <c r="FZ44" s="39">
        <v>17636</v>
      </c>
      <c r="GA44" s="39">
        <v>17729</v>
      </c>
      <c r="GB44" s="39">
        <v>17864</v>
      </c>
      <c r="GC44" s="39">
        <v>17986</v>
      </c>
      <c r="GD44" s="39">
        <v>18187</v>
      </c>
      <c r="GE44" s="39">
        <v>18368</v>
      </c>
      <c r="GF44" s="39">
        <v>18510</v>
      </c>
      <c r="GG44" s="39">
        <v>18670</v>
      </c>
      <c r="GH44" s="39">
        <v>18834</v>
      </c>
      <c r="GI44" s="39">
        <v>19012</v>
      </c>
      <c r="GJ44" s="39">
        <v>19180</v>
      </c>
      <c r="GK44" s="197">
        <v>19280</v>
      </c>
      <c r="GL44" s="39">
        <v>19436</v>
      </c>
      <c r="GM44" s="39">
        <v>19597</v>
      </c>
      <c r="GN44" s="39">
        <v>19805</v>
      </c>
      <c r="GO44" s="39">
        <v>20062</v>
      </c>
      <c r="GP44" s="39">
        <v>20278</v>
      </c>
      <c r="GQ44" s="39">
        <v>20628</v>
      </c>
    </row>
    <row r="45" spans="1:199" s="1" customFormat="1" ht="20.149999999999999" customHeight="1" x14ac:dyDescent="0.35">
      <c r="A45" s="31" t="s">
        <v>1625</v>
      </c>
      <c r="B45" s="55">
        <v>14</v>
      </c>
      <c r="C45" s="55">
        <v>14</v>
      </c>
      <c r="D45" s="55">
        <v>15</v>
      </c>
      <c r="E45" s="55">
        <v>15</v>
      </c>
      <c r="F45" s="55">
        <v>15</v>
      </c>
      <c r="G45" s="55">
        <v>16</v>
      </c>
      <c r="H45" s="55">
        <v>17</v>
      </c>
      <c r="I45" s="55">
        <v>17</v>
      </c>
      <c r="J45" s="55">
        <v>17</v>
      </c>
      <c r="K45" s="55">
        <v>17</v>
      </c>
      <c r="L45" s="55">
        <v>17</v>
      </c>
      <c r="M45" s="56">
        <v>17</v>
      </c>
      <c r="N45" s="57">
        <v>17</v>
      </c>
      <c r="O45" s="55">
        <v>17</v>
      </c>
      <c r="P45" s="55">
        <v>17</v>
      </c>
      <c r="Q45" s="55">
        <v>17</v>
      </c>
      <c r="R45" s="55">
        <v>17</v>
      </c>
      <c r="S45" s="55">
        <v>17</v>
      </c>
      <c r="T45" s="55">
        <v>17</v>
      </c>
      <c r="U45" s="55">
        <v>17</v>
      </c>
      <c r="V45" s="55">
        <v>17</v>
      </c>
      <c r="W45" s="55">
        <v>18</v>
      </c>
      <c r="X45" s="55">
        <v>18</v>
      </c>
      <c r="Y45" s="56">
        <v>19</v>
      </c>
      <c r="Z45" s="57">
        <v>19</v>
      </c>
      <c r="AA45" s="55">
        <v>21</v>
      </c>
      <c r="AB45" s="55">
        <v>23</v>
      </c>
      <c r="AC45" s="55">
        <v>24</v>
      </c>
      <c r="AD45" s="55">
        <v>24</v>
      </c>
      <c r="AE45" s="55">
        <v>24</v>
      </c>
      <c r="AF45" s="55">
        <v>24</v>
      </c>
      <c r="AG45" s="55">
        <v>28</v>
      </c>
      <c r="AH45" s="55">
        <v>31</v>
      </c>
      <c r="AI45" s="55">
        <v>38</v>
      </c>
      <c r="AJ45" s="55">
        <v>49</v>
      </c>
      <c r="AK45" s="56">
        <v>54</v>
      </c>
      <c r="AL45" s="57">
        <v>60</v>
      </c>
      <c r="AM45" s="55">
        <v>64</v>
      </c>
      <c r="AN45" s="55">
        <v>69</v>
      </c>
      <c r="AO45" s="55">
        <v>74</v>
      </c>
      <c r="AP45" s="55">
        <v>89</v>
      </c>
      <c r="AQ45" s="55">
        <v>112</v>
      </c>
      <c r="AR45" s="55">
        <v>132</v>
      </c>
      <c r="AS45" s="55">
        <v>178</v>
      </c>
      <c r="AT45" s="55">
        <v>200</v>
      </c>
      <c r="AU45" s="55">
        <v>225</v>
      </c>
      <c r="AV45" s="55">
        <v>272</v>
      </c>
      <c r="AW45" s="56">
        <v>306</v>
      </c>
      <c r="AX45" s="55">
        <v>361</v>
      </c>
      <c r="AY45" s="55">
        <v>567</v>
      </c>
      <c r="AZ45" s="55">
        <v>588</v>
      </c>
      <c r="BA45" s="55">
        <v>614</v>
      </c>
      <c r="BB45" s="55">
        <v>657</v>
      </c>
      <c r="BC45" s="55">
        <v>692</v>
      </c>
      <c r="BD45" s="55">
        <v>720</v>
      </c>
      <c r="BE45" s="55">
        <v>741</v>
      </c>
      <c r="BF45" s="55">
        <v>782</v>
      </c>
      <c r="BG45" s="55">
        <v>814</v>
      </c>
      <c r="BH45" s="55">
        <v>852</v>
      </c>
      <c r="BI45" s="56">
        <v>889</v>
      </c>
      <c r="BJ45" s="55">
        <v>952</v>
      </c>
      <c r="BK45" s="55">
        <v>1051</v>
      </c>
      <c r="BL45" s="55">
        <v>1193</v>
      </c>
      <c r="BM45" s="55">
        <v>1247</v>
      </c>
      <c r="BN45" s="55">
        <v>1296</v>
      </c>
      <c r="BO45" s="55">
        <v>1360</v>
      </c>
      <c r="BP45" s="55">
        <v>1398</v>
      </c>
      <c r="BQ45" s="55">
        <v>1495</v>
      </c>
      <c r="BR45" s="55">
        <v>1761</v>
      </c>
      <c r="BS45" s="55">
        <v>1779</v>
      </c>
      <c r="BT45" s="55">
        <v>1796</v>
      </c>
      <c r="BU45" s="56">
        <v>1809</v>
      </c>
      <c r="BV45" s="55">
        <v>1825</v>
      </c>
      <c r="BW45" s="55">
        <v>1838</v>
      </c>
      <c r="BX45" s="55">
        <v>1860</v>
      </c>
      <c r="BY45" s="55">
        <v>1879</v>
      </c>
      <c r="BZ45" s="55">
        <v>1908</v>
      </c>
      <c r="CA45" s="55">
        <v>1952</v>
      </c>
      <c r="CB45" s="55">
        <v>1995</v>
      </c>
      <c r="CC45" s="55">
        <v>2063</v>
      </c>
      <c r="CD45" s="55">
        <v>2265</v>
      </c>
      <c r="CE45" s="55">
        <v>2269</v>
      </c>
      <c r="CF45" s="55">
        <v>2274</v>
      </c>
      <c r="CG45" s="56">
        <v>2280</v>
      </c>
      <c r="CH45" s="55">
        <v>2282</v>
      </c>
      <c r="CI45" s="55">
        <v>2297</v>
      </c>
      <c r="CJ45" s="55">
        <v>2345</v>
      </c>
      <c r="CK45" s="55">
        <v>2347</v>
      </c>
      <c r="CL45" s="55">
        <v>2347</v>
      </c>
      <c r="CM45" s="55">
        <v>2349</v>
      </c>
      <c r="CN45" s="55">
        <v>2350</v>
      </c>
      <c r="CO45" s="55">
        <v>2353</v>
      </c>
      <c r="CP45" s="55">
        <v>2353</v>
      </c>
      <c r="CQ45" s="55">
        <v>2354</v>
      </c>
      <c r="CR45" s="55">
        <v>2359</v>
      </c>
      <c r="CS45" s="56">
        <v>2364</v>
      </c>
      <c r="CT45" s="55">
        <v>2364</v>
      </c>
      <c r="CU45" s="55">
        <v>2365</v>
      </c>
      <c r="CV45" s="55">
        <v>2365</v>
      </c>
      <c r="CW45" s="55">
        <v>2368</v>
      </c>
      <c r="CX45" s="55">
        <v>2369</v>
      </c>
      <c r="CY45" s="55">
        <v>2370</v>
      </c>
      <c r="CZ45" s="55">
        <v>2371</v>
      </c>
      <c r="DA45" s="55">
        <v>2374</v>
      </c>
      <c r="DB45" s="55">
        <v>2375</v>
      </c>
      <c r="DC45" s="55">
        <v>2376</v>
      </c>
      <c r="DD45" s="55">
        <v>2378</v>
      </c>
      <c r="DE45" s="56">
        <v>2380</v>
      </c>
      <c r="DF45" s="55">
        <v>2380</v>
      </c>
      <c r="DG45" s="55">
        <v>2382</v>
      </c>
      <c r="DH45" s="55">
        <v>2382</v>
      </c>
      <c r="DI45" s="55">
        <v>2382</v>
      </c>
      <c r="DJ45" s="55">
        <v>2382</v>
      </c>
      <c r="DK45" s="55">
        <v>2385</v>
      </c>
      <c r="DL45" s="55">
        <v>2385</v>
      </c>
      <c r="DM45" s="55">
        <v>2386</v>
      </c>
      <c r="DN45" s="55">
        <v>2388</v>
      </c>
      <c r="DO45" s="55">
        <v>2389</v>
      </c>
      <c r="DP45" s="55">
        <v>2390</v>
      </c>
      <c r="DQ45" s="56">
        <v>2391</v>
      </c>
      <c r="DR45" s="55">
        <v>2392</v>
      </c>
      <c r="DS45" s="55">
        <v>2392</v>
      </c>
      <c r="DT45" s="55">
        <v>2393</v>
      </c>
      <c r="DU45" s="55">
        <v>2394</v>
      </c>
      <c r="DV45" s="55">
        <v>2394</v>
      </c>
      <c r="DW45" s="55">
        <v>2396</v>
      </c>
      <c r="DX45" s="55">
        <v>2399</v>
      </c>
      <c r="DY45" s="55">
        <v>2399</v>
      </c>
      <c r="DZ45" s="55">
        <v>2401</v>
      </c>
      <c r="EA45" s="55">
        <v>2401</v>
      </c>
      <c r="EB45" s="55">
        <v>2401</v>
      </c>
      <c r="EC45" s="56">
        <v>2401</v>
      </c>
      <c r="ED45" s="55">
        <v>2402</v>
      </c>
      <c r="EE45" s="55">
        <v>2402</v>
      </c>
      <c r="EF45" s="55">
        <v>2404</v>
      </c>
      <c r="EG45" s="55">
        <v>2409</v>
      </c>
      <c r="EH45" s="55">
        <v>2412</v>
      </c>
      <c r="EI45" s="55">
        <v>2416</v>
      </c>
      <c r="EJ45" s="55">
        <v>2417</v>
      </c>
      <c r="EK45" s="55">
        <v>2418</v>
      </c>
      <c r="EL45" s="55">
        <v>2420</v>
      </c>
      <c r="EM45" s="55">
        <v>2424</v>
      </c>
      <c r="EN45" s="55">
        <v>2426</v>
      </c>
      <c r="EO45" s="56">
        <v>2429</v>
      </c>
      <c r="EP45" s="55">
        <v>2433</v>
      </c>
      <c r="EQ45" s="55">
        <v>2441</v>
      </c>
      <c r="ER45" s="55">
        <v>2450</v>
      </c>
      <c r="ES45" s="55">
        <v>2454</v>
      </c>
      <c r="ET45" s="55">
        <v>2463</v>
      </c>
      <c r="EU45" s="55">
        <v>2475</v>
      </c>
      <c r="EV45" s="55">
        <v>2484</v>
      </c>
      <c r="EW45" s="55">
        <v>2495</v>
      </c>
      <c r="EX45" s="55">
        <v>2507</v>
      </c>
      <c r="EY45" s="55">
        <v>2530</v>
      </c>
      <c r="EZ45" s="55">
        <v>2547</v>
      </c>
      <c r="FA45" s="56">
        <v>2561</v>
      </c>
      <c r="FB45" s="55">
        <v>2578</v>
      </c>
      <c r="FC45" s="55">
        <v>2601</v>
      </c>
      <c r="FD45" s="55">
        <v>2622</v>
      </c>
      <c r="FE45" s="55">
        <v>2650</v>
      </c>
      <c r="FF45" s="55">
        <v>2670</v>
      </c>
      <c r="FG45" s="55">
        <v>2684</v>
      </c>
      <c r="FH45" s="55">
        <v>2695</v>
      </c>
      <c r="FI45" s="55">
        <v>2702</v>
      </c>
      <c r="FJ45" s="39">
        <v>2719</v>
      </c>
      <c r="FK45" s="39">
        <v>2749</v>
      </c>
      <c r="FL45" s="39">
        <v>2761</v>
      </c>
      <c r="FM45" s="39">
        <v>2772</v>
      </c>
      <c r="FN45" s="77">
        <v>2781</v>
      </c>
      <c r="FO45" s="39">
        <v>2798</v>
      </c>
      <c r="FP45" s="39">
        <v>2804</v>
      </c>
      <c r="FQ45" s="39">
        <v>2831</v>
      </c>
      <c r="FR45" s="39">
        <v>2839</v>
      </c>
      <c r="FS45" s="39">
        <v>2847</v>
      </c>
      <c r="FT45" s="39">
        <v>2854</v>
      </c>
      <c r="FU45" s="39">
        <v>2863</v>
      </c>
      <c r="FV45" s="39">
        <v>2867</v>
      </c>
      <c r="FW45" s="39">
        <v>2872</v>
      </c>
      <c r="FX45" s="39">
        <v>2880</v>
      </c>
      <c r="FY45" s="197">
        <v>2885</v>
      </c>
      <c r="FZ45" s="39">
        <v>2890</v>
      </c>
      <c r="GA45" s="39">
        <v>2901</v>
      </c>
      <c r="GB45" s="39">
        <v>2907</v>
      </c>
      <c r="GC45" s="39">
        <v>2920</v>
      </c>
      <c r="GD45" s="39">
        <v>2933</v>
      </c>
      <c r="GE45" s="39">
        <v>2954</v>
      </c>
      <c r="GF45" s="39">
        <v>2966</v>
      </c>
      <c r="GG45" s="39">
        <v>2980</v>
      </c>
      <c r="GH45" s="39">
        <v>2990</v>
      </c>
      <c r="GI45" s="39">
        <v>3010</v>
      </c>
      <c r="GJ45" s="39">
        <v>3028</v>
      </c>
      <c r="GK45" s="197">
        <v>3038</v>
      </c>
      <c r="GL45" s="39">
        <v>3053</v>
      </c>
      <c r="GM45" s="39">
        <v>3068</v>
      </c>
      <c r="GN45" s="39">
        <v>3082</v>
      </c>
      <c r="GO45" s="39">
        <v>3092</v>
      </c>
      <c r="GP45" s="39">
        <v>3097</v>
      </c>
      <c r="GQ45" s="39">
        <v>3124</v>
      </c>
    </row>
    <row r="46" spans="1:199" s="1" customFormat="1" ht="20.149999999999999" customHeight="1" x14ac:dyDescent="0.35">
      <c r="A46" s="31" t="s">
        <v>1627</v>
      </c>
      <c r="B46" s="55">
        <v>0</v>
      </c>
      <c r="C46" s="55">
        <v>0</v>
      </c>
      <c r="D46" s="55">
        <v>0</v>
      </c>
      <c r="E46" s="55">
        <v>0</v>
      </c>
      <c r="F46" s="55">
        <v>0</v>
      </c>
      <c r="G46" s="55">
        <v>0</v>
      </c>
      <c r="H46" s="55">
        <v>0</v>
      </c>
      <c r="I46" s="55">
        <v>0</v>
      </c>
      <c r="J46" s="55">
        <v>0</v>
      </c>
      <c r="K46" s="55">
        <v>0</v>
      </c>
      <c r="L46" s="55">
        <v>0</v>
      </c>
      <c r="M46" s="56">
        <v>0</v>
      </c>
      <c r="N46" s="57">
        <v>0</v>
      </c>
      <c r="O46" s="55">
        <v>0</v>
      </c>
      <c r="P46" s="55">
        <v>0</v>
      </c>
      <c r="Q46" s="55">
        <v>0</v>
      </c>
      <c r="R46" s="55">
        <v>0</v>
      </c>
      <c r="S46" s="55">
        <v>0</v>
      </c>
      <c r="T46" s="55">
        <v>0</v>
      </c>
      <c r="U46" s="55">
        <v>0</v>
      </c>
      <c r="V46" s="55">
        <v>0</v>
      </c>
      <c r="W46" s="55">
        <v>0</v>
      </c>
      <c r="X46" s="55">
        <v>0</v>
      </c>
      <c r="Y46" s="56">
        <v>0</v>
      </c>
      <c r="Z46" s="57">
        <v>0</v>
      </c>
      <c r="AA46" s="55">
        <v>0</v>
      </c>
      <c r="AB46" s="55">
        <v>0</v>
      </c>
      <c r="AC46" s="55">
        <v>0</v>
      </c>
      <c r="AD46" s="55">
        <v>0</v>
      </c>
      <c r="AE46" s="55">
        <v>0</v>
      </c>
      <c r="AF46" s="55">
        <v>0</v>
      </c>
      <c r="AG46" s="55">
        <v>0</v>
      </c>
      <c r="AH46" s="55">
        <v>0</v>
      </c>
      <c r="AI46" s="55">
        <v>1</v>
      </c>
      <c r="AJ46" s="55">
        <v>2</v>
      </c>
      <c r="AK46" s="56">
        <v>2</v>
      </c>
      <c r="AL46" s="57">
        <v>2</v>
      </c>
      <c r="AM46" s="55">
        <v>2</v>
      </c>
      <c r="AN46" s="55">
        <v>2</v>
      </c>
      <c r="AO46" s="55">
        <v>2</v>
      </c>
      <c r="AP46" s="55">
        <v>2</v>
      </c>
      <c r="AQ46" s="55">
        <v>2</v>
      </c>
      <c r="AR46" s="55">
        <v>2</v>
      </c>
      <c r="AS46" s="55">
        <v>2</v>
      </c>
      <c r="AT46" s="55">
        <v>2</v>
      </c>
      <c r="AU46" s="55">
        <v>2</v>
      </c>
      <c r="AV46" s="55">
        <v>6</v>
      </c>
      <c r="AW46" s="56">
        <v>6</v>
      </c>
      <c r="AX46" s="55">
        <v>9</v>
      </c>
      <c r="AY46" s="55">
        <v>14</v>
      </c>
      <c r="AZ46" s="55">
        <v>17</v>
      </c>
      <c r="BA46" s="55">
        <v>17</v>
      </c>
      <c r="BB46" s="55">
        <v>24</v>
      </c>
      <c r="BC46" s="55">
        <v>29</v>
      </c>
      <c r="BD46" s="55">
        <v>37</v>
      </c>
      <c r="BE46" s="55">
        <v>39</v>
      </c>
      <c r="BF46" s="55">
        <v>40</v>
      </c>
      <c r="BG46" s="55">
        <v>44</v>
      </c>
      <c r="BH46" s="55">
        <v>45</v>
      </c>
      <c r="BI46" s="56">
        <v>49</v>
      </c>
      <c r="BJ46" s="55">
        <v>54</v>
      </c>
      <c r="BK46" s="55">
        <v>54</v>
      </c>
      <c r="BL46" s="55">
        <v>61</v>
      </c>
      <c r="BM46" s="55">
        <v>64</v>
      </c>
      <c r="BN46" s="55">
        <v>71</v>
      </c>
      <c r="BO46" s="55">
        <v>74</v>
      </c>
      <c r="BP46" s="55">
        <v>78</v>
      </c>
      <c r="BQ46" s="55">
        <v>92</v>
      </c>
      <c r="BR46" s="55">
        <v>107</v>
      </c>
      <c r="BS46" s="55">
        <v>110</v>
      </c>
      <c r="BT46" s="55">
        <v>110</v>
      </c>
      <c r="BU46" s="56">
        <v>111</v>
      </c>
      <c r="BV46" s="55">
        <v>111</v>
      </c>
      <c r="BW46" s="55">
        <v>112</v>
      </c>
      <c r="BX46" s="55">
        <v>112</v>
      </c>
      <c r="BY46" s="55">
        <v>113</v>
      </c>
      <c r="BZ46" s="55">
        <v>114</v>
      </c>
      <c r="CA46" s="55">
        <v>115</v>
      </c>
      <c r="CB46" s="55">
        <v>116</v>
      </c>
      <c r="CC46" s="55">
        <v>117</v>
      </c>
      <c r="CD46" s="55">
        <v>117</v>
      </c>
      <c r="CE46" s="55">
        <v>117</v>
      </c>
      <c r="CF46" s="55">
        <v>117</v>
      </c>
      <c r="CG46" s="56">
        <v>117</v>
      </c>
      <c r="CH46" s="55">
        <v>120</v>
      </c>
      <c r="CI46" s="55">
        <v>123</v>
      </c>
      <c r="CJ46" s="55">
        <v>132</v>
      </c>
      <c r="CK46" s="55">
        <v>132</v>
      </c>
      <c r="CL46" s="55">
        <v>133</v>
      </c>
      <c r="CM46" s="55">
        <v>133</v>
      </c>
      <c r="CN46" s="55">
        <v>133</v>
      </c>
      <c r="CO46" s="55">
        <v>133</v>
      </c>
      <c r="CP46" s="55">
        <v>133</v>
      </c>
      <c r="CQ46" s="55">
        <v>133</v>
      </c>
      <c r="CR46" s="55">
        <v>133</v>
      </c>
      <c r="CS46" s="56">
        <v>133</v>
      </c>
      <c r="CT46" s="55">
        <v>133</v>
      </c>
      <c r="CU46" s="55">
        <v>133</v>
      </c>
      <c r="CV46" s="55">
        <v>140</v>
      </c>
      <c r="CW46" s="55">
        <v>140</v>
      </c>
      <c r="CX46" s="55">
        <v>140</v>
      </c>
      <c r="CY46" s="55">
        <v>140</v>
      </c>
      <c r="CZ46" s="55">
        <v>140</v>
      </c>
      <c r="DA46" s="55">
        <v>140</v>
      </c>
      <c r="DB46" s="55">
        <v>140</v>
      </c>
      <c r="DC46" s="55">
        <v>140</v>
      </c>
      <c r="DD46" s="55">
        <v>140</v>
      </c>
      <c r="DE46" s="56">
        <v>140</v>
      </c>
      <c r="DF46" s="55">
        <v>140</v>
      </c>
      <c r="DG46" s="55">
        <v>140</v>
      </c>
      <c r="DH46" s="55">
        <v>140</v>
      </c>
      <c r="DI46" s="55">
        <v>140</v>
      </c>
      <c r="DJ46" s="55">
        <v>140</v>
      </c>
      <c r="DK46" s="55">
        <v>140</v>
      </c>
      <c r="DL46" s="55">
        <v>140</v>
      </c>
      <c r="DM46" s="55">
        <v>140</v>
      </c>
      <c r="DN46" s="55">
        <v>140</v>
      </c>
      <c r="DO46" s="55">
        <v>140</v>
      </c>
      <c r="DP46" s="55">
        <v>140</v>
      </c>
      <c r="DQ46" s="56">
        <v>140</v>
      </c>
      <c r="DR46" s="55">
        <v>140</v>
      </c>
      <c r="DS46" s="55">
        <v>140</v>
      </c>
      <c r="DT46" s="55">
        <v>140</v>
      </c>
      <c r="DU46" s="55">
        <v>140</v>
      </c>
      <c r="DV46" s="55">
        <v>140</v>
      </c>
      <c r="DW46" s="55">
        <v>140</v>
      </c>
      <c r="DX46" s="55">
        <v>140</v>
      </c>
      <c r="DY46" s="55">
        <v>142</v>
      </c>
      <c r="DZ46" s="55">
        <v>142</v>
      </c>
      <c r="EA46" s="55">
        <v>142</v>
      </c>
      <c r="EB46" s="55">
        <v>142</v>
      </c>
      <c r="EC46" s="56">
        <v>142</v>
      </c>
      <c r="ED46" s="55">
        <v>142</v>
      </c>
      <c r="EE46" s="55">
        <v>142</v>
      </c>
      <c r="EF46" s="55">
        <v>142</v>
      </c>
      <c r="EG46" s="55">
        <v>142</v>
      </c>
      <c r="EH46" s="55">
        <v>142</v>
      </c>
      <c r="EI46" s="55">
        <v>142</v>
      </c>
      <c r="EJ46" s="55">
        <v>142</v>
      </c>
      <c r="EK46" s="55">
        <v>142</v>
      </c>
      <c r="EL46" s="55">
        <v>142</v>
      </c>
      <c r="EM46" s="55">
        <v>142</v>
      </c>
      <c r="EN46" s="55">
        <v>142</v>
      </c>
      <c r="EO46" s="56">
        <v>142</v>
      </c>
      <c r="EP46" s="55">
        <v>142</v>
      </c>
      <c r="EQ46" s="55">
        <v>142</v>
      </c>
      <c r="ER46" s="55">
        <v>143</v>
      </c>
      <c r="ES46" s="55">
        <v>143</v>
      </c>
      <c r="ET46" s="55">
        <v>144</v>
      </c>
      <c r="EU46" s="55">
        <v>144</v>
      </c>
      <c r="EV46" s="55">
        <v>144</v>
      </c>
      <c r="EW46" s="55">
        <v>144</v>
      </c>
      <c r="EX46" s="55">
        <v>144</v>
      </c>
      <c r="EY46" s="55">
        <v>144</v>
      </c>
      <c r="EZ46" s="55">
        <v>144</v>
      </c>
      <c r="FA46" s="56">
        <v>144</v>
      </c>
      <c r="FB46" s="55">
        <v>144</v>
      </c>
      <c r="FC46" s="55">
        <v>144</v>
      </c>
      <c r="FD46" s="55">
        <v>144</v>
      </c>
      <c r="FE46" s="55">
        <v>144</v>
      </c>
      <c r="FF46" s="55">
        <v>144</v>
      </c>
      <c r="FG46" s="55">
        <v>144</v>
      </c>
      <c r="FH46" s="55">
        <v>144</v>
      </c>
      <c r="FI46" s="55">
        <v>144</v>
      </c>
      <c r="FJ46" s="39">
        <v>145</v>
      </c>
      <c r="FK46" s="39">
        <v>151</v>
      </c>
      <c r="FL46" s="39">
        <v>151</v>
      </c>
      <c r="FM46" s="39">
        <v>151</v>
      </c>
      <c r="FN46" s="77">
        <v>151</v>
      </c>
      <c r="FO46" s="39">
        <v>151</v>
      </c>
      <c r="FP46" s="39">
        <v>151</v>
      </c>
      <c r="FQ46" s="39">
        <v>151</v>
      </c>
      <c r="FR46" s="39">
        <v>151</v>
      </c>
      <c r="FS46" s="39">
        <v>151</v>
      </c>
      <c r="FT46" s="39">
        <v>152</v>
      </c>
      <c r="FU46" s="39">
        <v>152</v>
      </c>
      <c r="FV46" s="39">
        <v>152</v>
      </c>
      <c r="FW46" s="39">
        <v>152</v>
      </c>
      <c r="FX46" s="39">
        <v>152</v>
      </c>
      <c r="FY46" s="197">
        <v>153</v>
      </c>
      <c r="FZ46" s="39">
        <v>153</v>
      </c>
      <c r="GA46" s="39">
        <v>153</v>
      </c>
      <c r="GB46" s="39">
        <v>153</v>
      </c>
      <c r="GC46" s="39">
        <v>153</v>
      </c>
      <c r="GD46" s="39">
        <v>153</v>
      </c>
      <c r="GE46" s="39">
        <v>153</v>
      </c>
      <c r="GF46" s="39">
        <v>154</v>
      </c>
      <c r="GG46" s="39">
        <v>155</v>
      </c>
      <c r="GH46" s="39">
        <v>155</v>
      </c>
      <c r="GI46" s="39">
        <v>155</v>
      </c>
      <c r="GJ46" s="39">
        <v>155</v>
      </c>
      <c r="GK46" s="197">
        <v>155</v>
      </c>
      <c r="GL46" s="39">
        <v>155</v>
      </c>
      <c r="GM46" s="39">
        <v>156</v>
      </c>
      <c r="GN46" s="39">
        <v>156</v>
      </c>
      <c r="GO46" s="39">
        <v>156</v>
      </c>
      <c r="GP46" s="39">
        <v>156</v>
      </c>
      <c r="GQ46" s="39">
        <v>156</v>
      </c>
    </row>
    <row r="47" spans="1:199" s="1" customFormat="1" ht="20.149999999999999" customHeight="1" x14ac:dyDescent="0.35">
      <c r="A47" s="31" t="s">
        <v>1624</v>
      </c>
      <c r="B47" s="55">
        <v>0</v>
      </c>
      <c r="C47" s="55">
        <v>0</v>
      </c>
      <c r="D47" s="55">
        <v>0</v>
      </c>
      <c r="E47" s="55">
        <v>0</v>
      </c>
      <c r="F47" s="55">
        <v>0</v>
      </c>
      <c r="G47" s="55">
        <v>0</v>
      </c>
      <c r="H47" s="55">
        <v>0</v>
      </c>
      <c r="I47" s="55">
        <v>0</v>
      </c>
      <c r="J47" s="55">
        <v>0</v>
      </c>
      <c r="K47" s="55">
        <v>0</v>
      </c>
      <c r="L47" s="55">
        <v>0</v>
      </c>
      <c r="M47" s="56">
        <v>0</v>
      </c>
      <c r="N47" s="57">
        <v>0</v>
      </c>
      <c r="O47" s="55">
        <v>0</v>
      </c>
      <c r="P47" s="55">
        <v>0</v>
      </c>
      <c r="Q47" s="55">
        <v>0</v>
      </c>
      <c r="R47" s="55">
        <v>0</v>
      </c>
      <c r="S47" s="55">
        <v>0</v>
      </c>
      <c r="T47" s="55">
        <v>0</v>
      </c>
      <c r="U47" s="55">
        <v>0</v>
      </c>
      <c r="V47" s="55">
        <v>0</v>
      </c>
      <c r="W47" s="55">
        <v>0</v>
      </c>
      <c r="X47" s="55">
        <v>0</v>
      </c>
      <c r="Y47" s="56">
        <v>0</v>
      </c>
      <c r="Z47" s="57">
        <v>0</v>
      </c>
      <c r="AA47" s="55">
        <v>0</v>
      </c>
      <c r="AB47" s="55">
        <v>0</v>
      </c>
      <c r="AC47" s="55">
        <v>0</v>
      </c>
      <c r="AD47" s="55">
        <v>0</v>
      </c>
      <c r="AE47" s="55">
        <v>0</v>
      </c>
      <c r="AF47" s="55">
        <v>0</v>
      </c>
      <c r="AG47" s="55">
        <v>0</v>
      </c>
      <c r="AH47" s="55">
        <v>0</v>
      </c>
      <c r="AI47" s="55">
        <v>0</v>
      </c>
      <c r="AJ47" s="55">
        <v>0</v>
      </c>
      <c r="AK47" s="56">
        <v>0</v>
      </c>
      <c r="AL47" s="57">
        <v>0</v>
      </c>
      <c r="AM47" s="55">
        <v>0</v>
      </c>
      <c r="AN47" s="55">
        <v>0</v>
      </c>
      <c r="AO47" s="55">
        <v>0</v>
      </c>
      <c r="AP47" s="55">
        <v>0</v>
      </c>
      <c r="AQ47" s="55">
        <v>0</v>
      </c>
      <c r="AR47" s="55">
        <v>0</v>
      </c>
      <c r="AS47" s="55">
        <v>0</v>
      </c>
      <c r="AT47" s="55">
        <v>0</v>
      </c>
      <c r="AU47" s="55">
        <v>0</v>
      </c>
      <c r="AV47" s="55">
        <v>0</v>
      </c>
      <c r="AW47" s="56">
        <v>0</v>
      </c>
      <c r="AX47" s="55">
        <v>0</v>
      </c>
      <c r="AY47" s="55">
        <v>0</v>
      </c>
      <c r="AZ47" s="55">
        <v>0</v>
      </c>
      <c r="BA47" s="55">
        <v>0</v>
      </c>
      <c r="BB47" s="55">
        <v>0</v>
      </c>
      <c r="BC47" s="55">
        <v>0</v>
      </c>
      <c r="BD47" s="55">
        <v>0</v>
      </c>
      <c r="BE47" s="55">
        <v>0</v>
      </c>
      <c r="BF47" s="55">
        <v>0</v>
      </c>
      <c r="BG47" s="55">
        <v>0</v>
      </c>
      <c r="BH47" s="55">
        <v>0</v>
      </c>
      <c r="BI47" s="56">
        <v>0</v>
      </c>
      <c r="BJ47" s="55">
        <v>0</v>
      </c>
      <c r="BK47" s="55">
        <v>0</v>
      </c>
      <c r="BL47" s="55">
        <v>0</v>
      </c>
      <c r="BM47" s="55">
        <v>0</v>
      </c>
      <c r="BN47" s="55">
        <v>0</v>
      </c>
      <c r="BO47" s="55">
        <v>0</v>
      </c>
      <c r="BP47" s="55">
        <v>0</v>
      </c>
      <c r="BQ47" s="55">
        <v>0</v>
      </c>
      <c r="BR47" s="55">
        <v>0</v>
      </c>
      <c r="BS47" s="55">
        <v>0</v>
      </c>
      <c r="BT47" s="55">
        <v>0</v>
      </c>
      <c r="BU47" s="56">
        <v>0</v>
      </c>
      <c r="BV47" s="55">
        <v>0</v>
      </c>
      <c r="BW47" s="55">
        <v>0</v>
      </c>
      <c r="BX47" s="55">
        <v>0</v>
      </c>
      <c r="BY47" s="55">
        <v>1</v>
      </c>
      <c r="BZ47" s="55">
        <v>1</v>
      </c>
      <c r="CA47" s="55">
        <v>1</v>
      </c>
      <c r="CB47" s="55">
        <v>1</v>
      </c>
      <c r="CC47" s="55">
        <v>1</v>
      </c>
      <c r="CD47" s="55">
        <v>1</v>
      </c>
      <c r="CE47" s="55">
        <v>1</v>
      </c>
      <c r="CF47" s="55">
        <v>1</v>
      </c>
      <c r="CG47" s="56">
        <v>1</v>
      </c>
      <c r="CH47" s="55">
        <v>1</v>
      </c>
      <c r="CI47" s="55">
        <v>4</v>
      </c>
      <c r="CJ47" s="55">
        <v>9</v>
      </c>
      <c r="CK47" s="55">
        <v>9</v>
      </c>
      <c r="CL47" s="55">
        <v>9</v>
      </c>
      <c r="CM47" s="55">
        <v>9</v>
      </c>
      <c r="CN47" s="55">
        <v>9</v>
      </c>
      <c r="CO47" s="55">
        <v>9</v>
      </c>
      <c r="CP47" s="55">
        <v>9</v>
      </c>
      <c r="CQ47" s="55">
        <v>9</v>
      </c>
      <c r="CR47" s="55">
        <v>9</v>
      </c>
      <c r="CS47" s="56">
        <v>11</v>
      </c>
      <c r="CT47" s="55">
        <v>11</v>
      </c>
      <c r="CU47" s="55">
        <v>12</v>
      </c>
      <c r="CV47" s="55">
        <v>13</v>
      </c>
      <c r="CW47" s="55">
        <v>14</v>
      </c>
      <c r="CX47" s="55">
        <v>15</v>
      </c>
      <c r="CY47" s="55">
        <v>15</v>
      </c>
      <c r="CZ47" s="55">
        <v>15</v>
      </c>
      <c r="DA47" s="55">
        <v>15</v>
      </c>
      <c r="DB47" s="55">
        <v>15</v>
      </c>
      <c r="DC47" s="55">
        <v>15</v>
      </c>
      <c r="DD47" s="55">
        <v>15</v>
      </c>
      <c r="DE47" s="56">
        <v>15</v>
      </c>
      <c r="DF47" s="55">
        <v>15</v>
      </c>
      <c r="DG47" s="55">
        <v>15</v>
      </c>
      <c r="DH47" s="55">
        <v>15</v>
      </c>
      <c r="DI47" s="55">
        <v>15</v>
      </c>
      <c r="DJ47" s="55">
        <v>15</v>
      </c>
      <c r="DK47" s="55">
        <v>15</v>
      </c>
      <c r="DL47" s="55">
        <v>15</v>
      </c>
      <c r="DM47" s="55">
        <v>15</v>
      </c>
      <c r="DN47" s="55">
        <v>15</v>
      </c>
      <c r="DO47" s="55">
        <v>15</v>
      </c>
      <c r="DP47" s="55">
        <v>15</v>
      </c>
      <c r="DQ47" s="56">
        <v>15</v>
      </c>
      <c r="DR47" s="55">
        <v>15</v>
      </c>
      <c r="DS47" s="55">
        <v>15</v>
      </c>
      <c r="DT47" s="55">
        <v>15</v>
      </c>
      <c r="DU47" s="55">
        <v>15</v>
      </c>
      <c r="DV47" s="55">
        <v>15</v>
      </c>
      <c r="DW47" s="55">
        <v>15</v>
      </c>
      <c r="DX47" s="55">
        <v>15</v>
      </c>
      <c r="DY47" s="55">
        <v>15</v>
      </c>
      <c r="DZ47" s="55">
        <v>15</v>
      </c>
      <c r="EA47" s="55">
        <v>15</v>
      </c>
      <c r="EB47" s="55">
        <v>15</v>
      </c>
      <c r="EC47" s="56">
        <v>15</v>
      </c>
      <c r="ED47" s="55">
        <v>15</v>
      </c>
      <c r="EE47" s="55">
        <v>15</v>
      </c>
      <c r="EF47" s="55">
        <v>15</v>
      </c>
      <c r="EG47" s="55">
        <v>15</v>
      </c>
      <c r="EH47" s="55">
        <v>15</v>
      </c>
      <c r="EI47" s="55">
        <v>15</v>
      </c>
      <c r="EJ47" s="55">
        <v>15</v>
      </c>
      <c r="EK47" s="55">
        <v>15</v>
      </c>
      <c r="EL47" s="55">
        <v>15</v>
      </c>
      <c r="EM47" s="55">
        <v>15</v>
      </c>
      <c r="EN47" s="55">
        <v>15</v>
      </c>
      <c r="EO47" s="56">
        <v>15</v>
      </c>
      <c r="EP47" s="55">
        <v>15</v>
      </c>
      <c r="EQ47" s="55">
        <v>15</v>
      </c>
      <c r="ER47" s="55">
        <v>15</v>
      </c>
      <c r="ES47" s="55">
        <v>15</v>
      </c>
      <c r="ET47" s="55">
        <v>15</v>
      </c>
      <c r="EU47" s="55">
        <v>15</v>
      </c>
      <c r="EV47" s="55">
        <v>15</v>
      </c>
      <c r="EW47" s="55">
        <v>15</v>
      </c>
      <c r="EX47" s="55">
        <v>15</v>
      </c>
      <c r="EY47" s="55">
        <v>15</v>
      </c>
      <c r="EZ47" s="55">
        <v>15</v>
      </c>
      <c r="FA47" s="56">
        <v>15</v>
      </c>
      <c r="FB47" s="55">
        <v>15</v>
      </c>
      <c r="FC47" s="55">
        <v>15</v>
      </c>
      <c r="FD47" s="55">
        <v>15</v>
      </c>
      <c r="FE47" s="55">
        <v>15</v>
      </c>
      <c r="FF47" s="55">
        <v>15</v>
      </c>
      <c r="FG47" s="55">
        <v>15</v>
      </c>
      <c r="FH47" s="55">
        <v>15</v>
      </c>
      <c r="FI47" s="55">
        <v>15</v>
      </c>
      <c r="FJ47" s="39">
        <v>15</v>
      </c>
      <c r="FK47" s="39">
        <v>15</v>
      </c>
      <c r="FL47" s="39">
        <v>15</v>
      </c>
      <c r="FM47" s="39">
        <v>15</v>
      </c>
      <c r="FN47" s="77">
        <v>15</v>
      </c>
      <c r="FO47" s="39">
        <v>15</v>
      </c>
      <c r="FP47" s="39">
        <v>15</v>
      </c>
      <c r="FQ47" s="39">
        <v>15</v>
      </c>
      <c r="FR47" s="39">
        <v>15</v>
      </c>
      <c r="FS47" s="39">
        <v>15</v>
      </c>
      <c r="FT47" s="39">
        <v>15</v>
      </c>
      <c r="FU47" s="39">
        <v>15</v>
      </c>
      <c r="FV47" s="39">
        <v>15</v>
      </c>
      <c r="FW47" s="39">
        <v>15</v>
      </c>
      <c r="FX47" s="39">
        <v>15</v>
      </c>
      <c r="FY47" s="197">
        <v>15</v>
      </c>
      <c r="FZ47" s="39">
        <v>15</v>
      </c>
      <c r="GA47" s="39">
        <v>15</v>
      </c>
      <c r="GB47" s="39">
        <v>15</v>
      </c>
      <c r="GC47" s="39">
        <v>15</v>
      </c>
      <c r="GD47" s="39">
        <v>15</v>
      </c>
      <c r="GE47" s="39">
        <v>15</v>
      </c>
      <c r="GF47" s="39">
        <v>15</v>
      </c>
      <c r="GG47" s="39">
        <v>15</v>
      </c>
      <c r="GH47" s="39">
        <v>15</v>
      </c>
      <c r="GI47" s="39">
        <v>15</v>
      </c>
      <c r="GJ47" s="39">
        <v>15</v>
      </c>
      <c r="GK47" s="197">
        <v>15</v>
      </c>
      <c r="GL47" s="39">
        <v>15</v>
      </c>
      <c r="GM47" s="39">
        <v>15</v>
      </c>
      <c r="GN47" s="39">
        <v>15</v>
      </c>
      <c r="GO47" s="39">
        <v>15</v>
      </c>
      <c r="GP47" s="39">
        <v>15</v>
      </c>
      <c r="GQ47" s="39">
        <v>15</v>
      </c>
    </row>
    <row r="48" spans="1:199" s="1" customFormat="1" ht="20.149999999999999" customHeight="1" x14ac:dyDescent="0.4">
      <c r="A48" s="31" t="s">
        <v>1628</v>
      </c>
      <c r="B48" s="58">
        <v>0</v>
      </c>
      <c r="C48" s="58">
        <v>0</v>
      </c>
      <c r="D48" s="58">
        <v>0</v>
      </c>
      <c r="E48" s="58">
        <v>0</v>
      </c>
      <c r="F48" s="58">
        <v>0</v>
      </c>
      <c r="G48" s="58">
        <v>0</v>
      </c>
      <c r="H48" s="58">
        <v>0</v>
      </c>
      <c r="I48" s="58">
        <v>0</v>
      </c>
      <c r="J48" s="58">
        <v>0</v>
      </c>
      <c r="K48" s="58">
        <v>0</v>
      </c>
      <c r="L48" s="58">
        <v>0</v>
      </c>
      <c r="M48" s="59">
        <v>0</v>
      </c>
      <c r="N48" s="60">
        <v>0</v>
      </c>
      <c r="O48" s="58">
        <v>0</v>
      </c>
      <c r="P48" s="58">
        <v>0</v>
      </c>
      <c r="Q48" s="58">
        <v>0</v>
      </c>
      <c r="R48" s="58">
        <v>0</v>
      </c>
      <c r="S48" s="58">
        <v>0</v>
      </c>
      <c r="T48" s="58">
        <v>0</v>
      </c>
      <c r="U48" s="58">
        <v>0</v>
      </c>
      <c r="V48" s="58">
        <v>0</v>
      </c>
      <c r="W48" s="58">
        <v>0</v>
      </c>
      <c r="X48" s="58">
        <v>0</v>
      </c>
      <c r="Y48" s="59">
        <v>0</v>
      </c>
      <c r="Z48" s="60">
        <v>0</v>
      </c>
      <c r="AA48" s="58">
        <v>0</v>
      </c>
      <c r="AB48" s="58">
        <v>0</v>
      </c>
      <c r="AC48" s="58">
        <v>0</v>
      </c>
      <c r="AD48" s="58">
        <v>0</v>
      </c>
      <c r="AE48" s="58">
        <v>0</v>
      </c>
      <c r="AF48" s="58">
        <v>0</v>
      </c>
      <c r="AG48" s="58">
        <v>0</v>
      </c>
      <c r="AH48" s="58">
        <v>0</v>
      </c>
      <c r="AI48" s="58">
        <v>0</v>
      </c>
      <c r="AJ48" s="58">
        <v>0</v>
      </c>
      <c r="AK48" s="59">
        <v>0</v>
      </c>
      <c r="AL48" s="60">
        <v>0</v>
      </c>
      <c r="AM48" s="58">
        <v>0</v>
      </c>
      <c r="AN48" s="58">
        <v>0</v>
      </c>
      <c r="AO48" s="58">
        <v>0</v>
      </c>
      <c r="AP48" s="58">
        <v>0</v>
      </c>
      <c r="AQ48" s="58">
        <v>0</v>
      </c>
      <c r="AR48" s="58">
        <v>0</v>
      </c>
      <c r="AS48" s="58">
        <v>0</v>
      </c>
      <c r="AT48" s="58">
        <v>0</v>
      </c>
      <c r="AU48" s="58">
        <v>0</v>
      </c>
      <c r="AV48" s="58">
        <v>0</v>
      </c>
      <c r="AW48" s="59">
        <v>0</v>
      </c>
      <c r="AX48" s="58">
        <v>0</v>
      </c>
      <c r="AY48" s="58">
        <v>0</v>
      </c>
      <c r="AZ48" s="58">
        <v>0</v>
      </c>
      <c r="BA48" s="58">
        <v>0</v>
      </c>
      <c r="BB48" s="58">
        <v>0</v>
      </c>
      <c r="BC48" s="58">
        <v>0</v>
      </c>
      <c r="BD48" s="58">
        <v>0</v>
      </c>
      <c r="BE48" s="58">
        <v>0</v>
      </c>
      <c r="BF48" s="58">
        <v>0</v>
      </c>
      <c r="BG48" s="58">
        <v>0</v>
      </c>
      <c r="BH48" s="58">
        <v>0</v>
      </c>
      <c r="BI48" s="59">
        <v>0</v>
      </c>
      <c r="BJ48" s="58">
        <v>0</v>
      </c>
      <c r="BK48" s="58">
        <v>0</v>
      </c>
      <c r="BL48" s="58">
        <v>0</v>
      </c>
      <c r="BM48" s="58">
        <v>0</v>
      </c>
      <c r="BN48" s="58">
        <v>0</v>
      </c>
      <c r="BO48" s="58">
        <v>0</v>
      </c>
      <c r="BP48" s="58">
        <v>0</v>
      </c>
      <c r="BQ48" s="58">
        <v>0</v>
      </c>
      <c r="BR48" s="58">
        <v>0</v>
      </c>
      <c r="BS48" s="58">
        <v>0</v>
      </c>
      <c r="BT48" s="58">
        <v>0</v>
      </c>
      <c r="BU48" s="59">
        <v>0</v>
      </c>
      <c r="BV48" s="58">
        <v>0</v>
      </c>
      <c r="BW48" s="58">
        <v>0</v>
      </c>
      <c r="BX48" s="58">
        <v>0</v>
      </c>
      <c r="BY48" s="58">
        <v>0</v>
      </c>
      <c r="BZ48" s="58">
        <v>0</v>
      </c>
      <c r="CA48" s="58">
        <v>0</v>
      </c>
      <c r="CB48" s="58">
        <v>0</v>
      </c>
      <c r="CC48" s="58">
        <v>0</v>
      </c>
      <c r="CD48" s="58">
        <v>0</v>
      </c>
      <c r="CE48" s="58">
        <v>0</v>
      </c>
      <c r="CF48" s="58">
        <v>0</v>
      </c>
      <c r="CG48" s="59">
        <v>0</v>
      </c>
      <c r="CH48" s="55">
        <v>0</v>
      </c>
      <c r="CI48" s="55">
        <v>0</v>
      </c>
      <c r="CJ48" s="55">
        <v>1</v>
      </c>
      <c r="CK48" s="55">
        <v>1</v>
      </c>
      <c r="CL48" s="55">
        <v>1</v>
      </c>
      <c r="CM48" s="55">
        <v>1</v>
      </c>
      <c r="CN48" s="55">
        <v>1</v>
      </c>
      <c r="CO48" s="55">
        <v>1</v>
      </c>
      <c r="CP48" s="55">
        <v>1</v>
      </c>
      <c r="CQ48" s="55">
        <v>1</v>
      </c>
      <c r="CR48" s="55">
        <v>1</v>
      </c>
      <c r="CS48" s="56">
        <v>1</v>
      </c>
      <c r="CT48" s="55">
        <v>2</v>
      </c>
      <c r="CU48" s="55">
        <v>2</v>
      </c>
      <c r="CV48" s="55">
        <v>2</v>
      </c>
      <c r="CW48" s="55">
        <v>2</v>
      </c>
      <c r="CX48" s="55">
        <v>2</v>
      </c>
      <c r="CY48" s="55">
        <v>2</v>
      </c>
      <c r="CZ48" s="55">
        <v>2</v>
      </c>
      <c r="DA48" s="55">
        <v>2</v>
      </c>
      <c r="DB48" s="55">
        <v>2</v>
      </c>
      <c r="DC48" s="55">
        <v>2</v>
      </c>
      <c r="DD48" s="58">
        <v>2</v>
      </c>
      <c r="DE48" s="59">
        <v>2</v>
      </c>
      <c r="DF48" s="55">
        <v>2</v>
      </c>
      <c r="DG48" s="55">
        <v>2</v>
      </c>
      <c r="DH48" s="58">
        <v>2</v>
      </c>
      <c r="DI48" s="55">
        <v>2</v>
      </c>
      <c r="DJ48" s="55">
        <v>2</v>
      </c>
      <c r="DK48" s="55">
        <v>2</v>
      </c>
      <c r="DL48" s="58">
        <v>2</v>
      </c>
      <c r="DM48" s="55">
        <v>2</v>
      </c>
      <c r="DN48" s="55">
        <v>2</v>
      </c>
      <c r="DO48" s="55">
        <v>2</v>
      </c>
      <c r="DP48" s="55">
        <v>2</v>
      </c>
      <c r="DQ48" s="59">
        <v>2</v>
      </c>
      <c r="DR48" s="55">
        <v>2</v>
      </c>
      <c r="DS48" s="55">
        <v>2</v>
      </c>
      <c r="DT48" s="55">
        <v>2</v>
      </c>
      <c r="DU48" s="55">
        <v>2</v>
      </c>
      <c r="DV48" s="55">
        <v>2</v>
      </c>
      <c r="DW48" s="55">
        <v>2</v>
      </c>
      <c r="DX48" s="55">
        <v>2</v>
      </c>
      <c r="DY48" s="55">
        <v>2</v>
      </c>
      <c r="DZ48" s="55">
        <v>2</v>
      </c>
      <c r="EA48" s="55">
        <v>2</v>
      </c>
      <c r="EB48" s="55">
        <v>2</v>
      </c>
      <c r="EC48" s="56">
        <v>2</v>
      </c>
      <c r="ED48" s="55">
        <v>2</v>
      </c>
      <c r="EE48" s="55">
        <v>2</v>
      </c>
      <c r="EF48" s="55">
        <v>2</v>
      </c>
      <c r="EG48" s="55">
        <v>2</v>
      </c>
      <c r="EH48" s="55">
        <v>2</v>
      </c>
      <c r="EI48" s="55">
        <v>2</v>
      </c>
      <c r="EJ48" s="55">
        <v>2</v>
      </c>
      <c r="EK48" s="55">
        <v>2</v>
      </c>
      <c r="EL48" s="55">
        <v>2</v>
      </c>
      <c r="EM48" s="55">
        <v>2</v>
      </c>
      <c r="EN48" s="55">
        <v>2</v>
      </c>
      <c r="EO48" s="56">
        <v>2</v>
      </c>
      <c r="EP48" s="55">
        <v>2</v>
      </c>
      <c r="EQ48" s="55">
        <v>2</v>
      </c>
      <c r="ER48" s="55">
        <v>2</v>
      </c>
      <c r="ES48" s="55">
        <v>2</v>
      </c>
      <c r="ET48" s="55">
        <v>2</v>
      </c>
      <c r="EU48" s="55">
        <v>2</v>
      </c>
      <c r="EV48" s="55">
        <v>2</v>
      </c>
      <c r="EW48" s="55">
        <v>2</v>
      </c>
      <c r="EX48" s="55">
        <v>2</v>
      </c>
      <c r="EY48" s="55">
        <v>2</v>
      </c>
      <c r="EZ48" s="55">
        <v>2</v>
      </c>
      <c r="FA48" s="56">
        <v>2</v>
      </c>
      <c r="FB48" s="55">
        <v>2</v>
      </c>
      <c r="FC48" s="55">
        <v>2</v>
      </c>
      <c r="FD48" s="55">
        <v>2</v>
      </c>
      <c r="FE48" s="55">
        <v>2</v>
      </c>
      <c r="FF48" s="55">
        <v>2</v>
      </c>
      <c r="FG48" s="55">
        <v>2</v>
      </c>
      <c r="FH48" s="55">
        <v>2</v>
      </c>
      <c r="FI48" s="55">
        <v>2</v>
      </c>
      <c r="FJ48" s="39">
        <v>2</v>
      </c>
      <c r="FK48" s="39">
        <v>2</v>
      </c>
      <c r="FL48" s="39">
        <v>2</v>
      </c>
      <c r="FM48" s="39">
        <v>2</v>
      </c>
      <c r="FN48" s="77">
        <v>2</v>
      </c>
      <c r="FO48" s="39">
        <v>2</v>
      </c>
      <c r="FP48" s="39">
        <v>2</v>
      </c>
      <c r="FQ48" s="39">
        <v>2</v>
      </c>
      <c r="FR48" s="39">
        <v>2</v>
      </c>
      <c r="FS48" s="39">
        <v>2</v>
      </c>
      <c r="FT48" s="39">
        <v>2</v>
      </c>
      <c r="FU48" s="39">
        <v>2</v>
      </c>
      <c r="FV48" s="39">
        <v>2</v>
      </c>
      <c r="FW48" s="39">
        <v>2</v>
      </c>
      <c r="FX48" s="39">
        <v>2</v>
      </c>
      <c r="FY48" s="197">
        <v>2</v>
      </c>
      <c r="FZ48" s="39">
        <v>2</v>
      </c>
      <c r="GA48" s="39">
        <v>2</v>
      </c>
      <c r="GB48" s="39">
        <v>2</v>
      </c>
      <c r="GC48" s="39">
        <v>2</v>
      </c>
      <c r="GD48" s="39">
        <v>2</v>
      </c>
      <c r="GE48" s="39">
        <v>2</v>
      </c>
      <c r="GF48" s="39">
        <v>2</v>
      </c>
      <c r="GG48" s="39">
        <v>2</v>
      </c>
      <c r="GH48" s="39">
        <v>2</v>
      </c>
      <c r="GI48" s="39">
        <v>2</v>
      </c>
      <c r="GJ48" s="39">
        <v>2</v>
      </c>
      <c r="GK48" s="197">
        <v>2</v>
      </c>
      <c r="GL48" s="39">
        <v>2</v>
      </c>
      <c r="GM48" s="39">
        <v>2</v>
      </c>
      <c r="GN48" s="39">
        <v>2</v>
      </c>
      <c r="GO48" s="39">
        <v>2</v>
      </c>
      <c r="GP48" s="39">
        <v>2</v>
      </c>
      <c r="GQ48" s="39">
        <v>2</v>
      </c>
    </row>
    <row r="49" spans="1:199" s="1" customFormat="1" ht="20.149999999999999" customHeight="1" thickBot="1" x14ac:dyDescent="0.4">
      <c r="A49" s="32" t="s">
        <v>267</v>
      </c>
      <c r="B49" s="61">
        <f>SUM(B43:B48)</f>
        <v>250</v>
      </c>
      <c r="C49" s="62">
        <f t="shared" ref="C49:BM49" si="93">SUM(C43:C48)</f>
        <v>250</v>
      </c>
      <c r="D49" s="62">
        <f t="shared" si="93"/>
        <v>258</v>
      </c>
      <c r="E49" s="62">
        <f t="shared" si="93"/>
        <v>271</v>
      </c>
      <c r="F49" s="62">
        <f t="shared" si="93"/>
        <v>273</v>
      </c>
      <c r="G49" s="62">
        <f t="shared" si="93"/>
        <v>289</v>
      </c>
      <c r="H49" s="62">
        <f t="shared" si="93"/>
        <v>292</v>
      </c>
      <c r="I49" s="62">
        <f t="shared" si="93"/>
        <v>294</v>
      </c>
      <c r="J49" s="62">
        <f t="shared" si="93"/>
        <v>295</v>
      </c>
      <c r="K49" s="62">
        <f t="shared" si="93"/>
        <v>300</v>
      </c>
      <c r="L49" s="62">
        <f t="shared" si="93"/>
        <v>319</v>
      </c>
      <c r="M49" s="62">
        <f t="shared" si="93"/>
        <v>325</v>
      </c>
      <c r="N49" s="61">
        <f t="shared" si="93"/>
        <v>325</v>
      </c>
      <c r="O49" s="62">
        <f t="shared" si="93"/>
        <v>327</v>
      </c>
      <c r="P49" s="62">
        <f t="shared" si="93"/>
        <v>338</v>
      </c>
      <c r="Q49" s="62">
        <f t="shared" si="93"/>
        <v>341</v>
      </c>
      <c r="R49" s="62">
        <f t="shared" si="93"/>
        <v>354</v>
      </c>
      <c r="S49" s="62">
        <f t="shared" si="93"/>
        <v>362</v>
      </c>
      <c r="T49" s="62">
        <f t="shared" si="93"/>
        <v>366</v>
      </c>
      <c r="U49" s="62">
        <f t="shared" si="93"/>
        <v>375</v>
      </c>
      <c r="V49" s="62">
        <f t="shared" si="93"/>
        <v>401</v>
      </c>
      <c r="W49" s="62">
        <f t="shared" si="93"/>
        <v>425</v>
      </c>
      <c r="X49" s="62">
        <f t="shared" si="93"/>
        <v>461</v>
      </c>
      <c r="Y49" s="62">
        <f t="shared" si="93"/>
        <v>499</v>
      </c>
      <c r="Z49" s="61">
        <f t="shared" si="93"/>
        <v>580</v>
      </c>
      <c r="AA49" s="62">
        <f t="shared" si="93"/>
        <v>602</v>
      </c>
      <c r="AB49" s="62">
        <f t="shared" si="93"/>
        <v>658</v>
      </c>
      <c r="AC49" s="62">
        <f t="shared" si="93"/>
        <v>680</v>
      </c>
      <c r="AD49" s="62">
        <f t="shared" si="93"/>
        <v>704</v>
      </c>
      <c r="AE49" s="62">
        <f t="shared" si="93"/>
        <v>716</v>
      </c>
      <c r="AF49" s="62">
        <f t="shared" si="93"/>
        <v>759</v>
      </c>
      <c r="AG49" s="62">
        <f t="shared" si="93"/>
        <v>874</v>
      </c>
      <c r="AH49" s="62">
        <f t="shared" si="93"/>
        <v>1023</v>
      </c>
      <c r="AI49" s="62">
        <f t="shared" si="93"/>
        <v>1174</v>
      </c>
      <c r="AJ49" s="62">
        <f t="shared" si="93"/>
        <v>1334</v>
      </c>
      <c r="AK49" s="127">
        <f t="shared" si="93"/>
        <v>1459</v>
      </c>
      <c r="AL49" s="62">
        <f t="shared" si="93"/>
        <v>1665</v>
      </c>
      <c r="AM49" s="62">
        <f t="shared" si="93"/>
        <v>1843</v>
      </c>
      <c r="AN49" s="62">
        <f t="shared" si="93"/>
        <v>2020</v>
      </c>
      <c r="AO49" s="62">
        <f t="shared" si="93"/>
        <v>2176</v>
      </c>
      <c r="AP49" s="62">
        <f t="shared" si="93"/>
        <v>2399</v>
      </c>
      <c r="AQ49" s="62">
        <f t="shared" si="93"/>
        <v>2583</v>
      </c>
      <c r="AR49" s="62">
        <f t="shared" si="93"/>
        <v>2877</v>
      </c>
      <c r="AS49" s="62">
        <f t="shared" si="93"/>
        <v>3343</v>
      </c>
      <c r="AT49" s="62">
        <f t="shared" si="93"/>
        <v>3844</v>
      </c>
      <c r="AU49" s="62">
        <f t="shared" si="93"/>
        <v>4294</v>
      </c>
      <c r="AV49" s="62">
        <f t="shared" si="93"/>
        <v>4796</v>
      </c>
      <c r="AW49" s="63">
        <f t="shared" si="93"/>
        <v>5244</v>
      </c>
      <c r="AX49" s="62">
        <f t="shared" si="93"/>
        <v>5715</v>
      </c>
      <c r="AY49" s="62">
        <f t="shared" si="93"/>
        <v>7017</v>
      </c>
      <c r="AZ49" s="62">
        <f t="shared" si="93"/>
        <v>7399</v>
      </c>
      <c r="BA49" s="62">
        <f t="shared" si="93"/>
        <v>7787</v>
      </c>
      <c r="BB49" s="62">
        <f t="shared" si="93"/>
        <v>8285</v>
      </c>
      <c r="BC49" s="62">
        <f t="shared" si="93"/>
        <v>8811</v>
      </c>
      <c r="BD49" s="62">
        <f t="shared" si="93"/>
        <v>9298</v>
      </c>
      <c r="BE49" s="62">
        <f t="shared" si="93"/>
        <v>9818</v>
      </c>
      <c r="BF49" s="62">
        <f t="shared" si="93"/>
        <v>10391</v>
      </c>
      <c r="BG49" s="62">
        <f t="shared" si="93"/>
        <v>10941</v>
      </c>
      <c r="BH49" s="62">
        <f t="shared" si="93"/>
        <v>11502</v>
      </c>
      <c r="BI49" s="63">
        <f t="shared" si="93"/>
        <v>11925</v>
      </c>
      <c r="BJ49" s="62">
        <f t="shared" si="93"/>
        <v>12332</v>
      </c>
      <c r="BK49" s="62">
        <f t="shared" si="93"/>
        <v>12817</v>
      </c>
      <c r="BL49" s="62">
        <f t="shared" si="93"/>
        <v>13345</v>
      </c>
      <c r="BM49" s="62">
        <f t="shared" si="93"/>
        <v>13785</v>
      </c>
      <c r="BN49" s="62">
        <f t="shared" ref="BN49:DY49" si="94">SUM(BN43:BN48)</f>
        <v>14267</v>
      </c>
      <c r="BO49" s="62">
        <f t="shared" si="94"/>
        <v>14772</v>
      </c>
      <c r="BP49" s="62">
        <f t="shared" si="94"/>
        <v>15266</v>
      </c>
      <c r="BQ49" s="62">
        <f t="shared" si="94"/>
        <v>16079</v>
      </c>
      <c r="BR49" s="62">
        <f t="shared" si="94"/>
        <v>17700</v>
      </c>
      <c r="BS49" s="62">
        <f t="shared" si="94"/>
        <v>18031</v>
      </c>
      <c r="BT49" s="62">
        <f t="shared" si="94"/>
        <v>18399</v>
      </c>
      <c r="BU49" s="63">
        <f t="shared" si="94"/>
        <v>18752</v>
      </c>
      <c r="BV49" s="62">
        <f t="shared" si="94"/>
        <v>19148</v>
      </c>
      <c r="BW49" s="62">
        <f t="shared" si="94"/>
        <v>19529</v>
      </c>
      <c r="BX49" s="62">
        <f t="shared" si="94"/>
        <v>19966</v>
      </c>
      <c r="BY49" s="62">
        <f t="shared" si="94"/>
        <v>20334</v>
      </c>
      <c r="BZ49" s="62">
        <f t="shared" si="94"/>
        <v>20586</v>
      </c>
      <c r="CA49" s="62">
        <f t="shared" si="94"/>
        <v>20896</v>
      </c>
      <c r="CB49" s="62">
        <f t="shared" si="94"/>
        <v>21177</v>
      </c>
      <c r="CC49" s="62">
        <f t="shared" si="94"/>
        <v>21565</v>
      </c>
      <c r="CD49" s="62">
        <f t="shared" si="94"/>
        <v>22718</v>
      </c>
      <c r="CE49" s="62">
        <f t="shared" si="94"/>
        <v>22761</v>
      </c>
      <c r="CF49" s="62">
        <f t="shared" si="94"/>
        <v>22831</v>
      </c>
      <c r="CG49" s="63">
        <f t="shared" si="94"/>
        <v>22881</v>
      </c>
      <c r="CH49" s="62">
        <f t="shared" si="94"/>
        <v>22937</v>
      </c>
      <c r="CI49" s="62">
        <f t="shared" si="94"/>
        <v>23115</v>
      </c>
      <c r="CJ49" s="62">
        <f t="shared" si="94"/>
        <v>23536</v>
      </c>
      <c r="CK49" s="62">
        <f t="shared" si="94"/>
        <v>23551</v>
      </c>
      <c r="CL49" s="62">
        <f t="shared" si="94"/>
        <v>23575</v>
      </c>
      <c r="CM49" s="62">
        <f t="shared" si="94"/>
        <v>23636</v>
      </c>
      <c r="CN49" s="62">
        <f t="shared" si="94"/>
        <v>23647</v>
      </c>
      <c r="CO49" s="62">
        <f t="shared" si="94"/>
        <v>23673</v>
      </c>
      <c r="CP49" s="62">
        <f t="shared" si="94"/>
        <v>23703</v>
      </c>
      <c r="CQ49" s="62">
        <f t="shared" si="94"/>
        <v>23736</v>
      </c>
      <c r="CR49" s="62">
        <f t="shared" si="94"/>
        <v>23792</v>
      </c>
      <c r="CS49" s="63">
        <f t="shared" si="94"/>
        <v>23809</v>
      </c>
      <c r="CT49" s="62">
        <f t="shared" si="94"/>
        <v>23827</v>
      </c>
      <c r="CU49" s="62">
        <f t="shared" si="94"/>
        <v>23869</v>
      </c>
      <c r="CV49" s="62">
        <f t="shared" si="94"/>
        <v>23922</v>
      </c>
      <c r="CW49" s="62">
        <f t="shared" si="94"/>
        <v>23956</v>
      </c>
      <c r="CX49" s="62">
        <f t="shared" si="94"/>
        <v>23973</v>
      </c>
      <c r="CY49" s="62">
        <f t="shared" si="94"/>
        <v>23997</v>
      </c>
      <c r="CZ49" s="62">
        <f t="shared" si="94"/>
        <v>24015</v>
      </c>
      <c r="DA49" s="62">
        <f t="shared" si="94"/>
        <v>24058</v>
      </c>
      <c r="DB49" s="62">
        <f t="shared" si="94"/>
        <v>24067</v>
      </c>
      <c r="DC49" s="62">
        <f t="shared" si="94"/>
        <v>24149</v>
      </c>
      <c r="DD49" s="62">
        <f t="shared" si="94"/>
        <v>24197</v>
      </c>
      <c r="DE49" s="63">
        <f t="shared" si="94"/>
        <v>24208</v>
      </c>
      <c r="DF49" s="62">
        <f t="shared" si="94"/>
        <v>24275</v>
      </c>
      <c r="DG49" s="62">
        <f t="shared" si="94"/>
        <v>24328</v>
      </c>
      <c r="DH49" s="62">
        <f t="shared" si="94"/>
        <v>24341</v>
      </c>
      <c r="DI49" s="62">
        <f t="shared" si="94"/>
        <v>24367</v>
      </c>
      <c r="DJ49" s="62">
        <f t="shared" si="94"/>
        <v>24389</v>
      </c>
      <c r="DK49" s="62">
        <f t="shared" si="94"/>
        <v>24435</v>
      </c>
      <c r="DL49" s="62">
        <f t="shared" si="94"/>
        <v>24467</v>
      </c>
      <c r="DM49" s="62">
        <f t="shared" si="94"/>
        <v>24495</v>
      </c>
      <c r="DN49" s="62">
        <f t="shared" si="94"/>
        <v>24537</v>
      </c>
      <c r="DO49" s="62">
        <f t="shared" si="94"/>
        <v>24553</v>
      </c>
      <c r="DP49" s="62">
        <f t="shared" si="94"/>
        <v>24574</v>
      </c>
      <c r="DQ49" s="63">
        <f t="shared" si="94"/>
        <v>24580</v>
      </c>
      <c r="DR49" s="62">
        <f t="shared" si="94"/>
        <v>24596</v>
      </c>
      <c r="DS49" s="62">
        <f t="shared" si="94"/>
        <v>24615</v>
      </c>
      <c r="DT49" s="62">
        <f t="shared" si="94"/>
        <v>24639</v>
      </c>
      <c r="DU49" s="62">
        <f t="shared" si="94"/>
        <v>24641</v>
      </c>
      <c r="DV49" s="62">
        <f t="shared" si="94"/>
        <v>24642</v>
      </c>
      <c r="DW49" s="62">
        <f t="shared" si="94"/>
        <v>24680</v>
      </c>
      <c r="DX49" s="62">
        <f t="shared" si="94"/>
        <v>24696</v>
      </c>
      <c r="DY49" s="62">
        <f t="shared" si="94"/>
        <v>24748</v>
      </c>
      <c r="DZ49" s="62">
        <f t="shared" ref="DZ49:EW49" si="95">SUM(DZ43:DZ48)</f>
        <v>24779</v>
      </c>
      <c r="EA49" s="62">
        <f t="shared" si="95"/>
        <v>24805</v>
      </c>
      <c r="EB49" s="62">
        <f t="shared" si="95"/>
        <v>24823</v>
      </c>
      <c r="EC49" s="63">
        <f t="shared" si="95"/>
        <v>24828</v>
      </c>
      <c r="ED49" s="62">
        <f t="shared" si="95"/>
        <v>24872</v>
      </c>
      <c r="EE49" s="62">
        <f t="shared" si="95"/>
        <v>24886</v>
      </c>
      <c r="EF49" s="62">
        <f t="shared" si="95"/>
        <v>24920</v>
      </c>
      <c r="EG49" s="62">
        <f t="shared" si="95"/>
        <v>24951</v>
      </c>
      <c r="EH49" s="62">
        <f t="shared" si="95"/>
        <v>25004</v>
      </c>
      <c r="EI49" s="62">
        <f t="shared" si="95"/>
        <v>25071</v>
      </c>
      <c r="EJ49" s="62">
        <f t="shared" si="95"/>
        <v>25102</v>
      </c>
      <c r="EK49" s="62">
        <f t="shared" si="95"/>
        <v>25168</v>
      </c>
      <c r="EL49" s="62">
        <f t="shared" si="95"/>
        <v>25272</v>
      </c>
      <c r="EM49" s="62">
        <f t="shared" si="95"/>
        <v>25336</v>
      </c>
      <c r="EN49" s="62">
        <f t="shared" si="95"/>
        <v>25445</v>
      </c>
      <c r="EO49" s="63">
        <f t="shared" si="95"/>
        <v>25489</v>
      </c>
      <c r="EP49" s="62">
        <f t="shared" si="95"/>
        <v>25601</v>
      </c>
      <c r="EQ49" s="62">
        <f t="shared" si="95"/>
        <v>25687</v>
      </c>
      <c r="ER49" s="62">
        <f t="shared" si="95"/>
        <v>25785</v>
      </c>
      <c r="ES49" s="62">
        <f t="shared" si="95"/>
        <v>25870</v>
      </c>
      <c r="ET49" s="62">
        <f t="shared" si="95"/>
        <v>26053</v>
      </c>
      <c r="EU49" s="62">
        <f t="shared" si="95"/>
        <v>26198</v>
      </c>
      <c r="EV49" s="62">
        <f t="shared" si="95"/>
        <v>26334</v>
      </c>
      <c r="EW49" s="62">
        <f t="shared" si="95"/>
        <v>26497</v>
      </c>
      <c r="EX49" s="62">
        <f t="shared" ref="EX49:FA49" si="96">SUM(EX43:EX48)</f>
        <v>26699</v>
      </c>
      <c r="EY49" s="62">
        <f t="shared" si="96"/>
        <v>26892</v>
      </c>
      <c r="EZ49" s="62">
        <f t="shared" si="96"/>
        <v>27143</v>
      </c>
      <c r="FA49" s="63">
        <f t="shared" si="96"/>
        <v>27297</v>
      </c>
      <c r="FB49" s="62">
        <f t="shared" ref="FB49:FC49" si="97">SUM(FB43:FB48)</f>
        <v>27507</v>
      </c>
      <c r="FC49" s="62">
        <f t="shared" si="97"/>
        <v>27688</v>
      </c>
      <c r="FD49" s="62">
        <f t="shared" ref="FD49:FE49" si="98">SUM(FD43:FD48)</f>
        <v>27859</v>
      </c>
      <c r="FE49" s="62">
        <f t="shared" si="98"/>
        <v>27981</v>
      </c>
      <c r="FF49" s="62">
        <f t="shared" ref="FF49" si="99">SUM(FF43:FF48)</f>
        <v>28148</v>
      </c>
      <c r="FG49" s="62">
        <f t="shared" ref="FG49:FH49" si="100">SUM(FG43:FG48)</f>
        <v>28319</v>
      </c>
      <c r="FH49" s="62">
        <f t="shared" si="100"/>
        <v>28481</v>
      </c>
      <c r="FI49" s="62">
        <f t="shared" ref="FI49:FJ49" si="101">SUM(FI43:FI48)</f>
        <v>28675</v>
      </c>
      <c r="FJ49" s="62">
        <f t="shared" si="101"/>
        <v>28857</v>
      </c>
      <c r="FK49" s="158">
        <f t="shared" ref="FK49:FL49" si="102">SUM(FK43:FK48)</f>
        <v>29067</v>
      </c>
      <c r="FL49" s="158">
        <f t="shared" si="102"/>
        <v>29227</v>
      </c>
      <c r="FM49" s="158">
        <f t="shared" ref="FM49:FN49" si="103">SUM(FM43:FM48)</f>
        <v>29332</v>
      </c>
      <c r="FN49" s="122">
        <f t="shared" si="103"/>
        <v>29442</v>
      </c>
      <c r="FO49" s="158">
        <f t="shared" ref="FO49" si="104">SUM(FO43:FO48)</f>
        <v>29627</v>
      </c>
      <c r="FP49" s="158">
        <f t="shared" ref="FP49" si="105">SUM(FP43:FP48)</f>
        <v>29713</v>
      </c>
      <c r="FQ49" s="158">
        <f t="shared" ref="FQ49:FY49" si="106">SUM(FQ43:FQ48)</f>
        <v>29919</v>
      </c>
      <c r="FR49" s="158">
        <f t="shared" si="106"/>
        <v>30085</v>
      </c>
      <c r="FS49" s="158">
        <f t="shared" si="106"/>
        <v>30312</v>
      </c>
      <c r="FT49" s="158">
        <f t="shared" si="106"/>
        <v>30491</v>
      </c>
      <c r="FU49" s="158">
        <f t="shared" si="106"/>
        <v>30698</v>
      </c>
      <c r="FV49" s="158">
        <f t="shared" si="106"/>
        <v>30877</v>
      </c>
      <c r="FW49" s="158">
        <f t="shared" si="106"/>
        <v>31111</v>
      </c>
      <c r="FX49" s="158">
        <f t="shared" si="106"/>
        <v>31357</v>
      </c>
      <c r="FY49" s="198">
        <f t="shared" si="106"/>
        <v>31447</v>
      </c>
      <c r="FZ49" s="158">
        <f t="shared" ref="FZ49:GA49" si="107">SUM(FZ43:FZ48)</f>
        <v>31590</v>
      </c>
      <c r="GA49" s="158">
        <f t="shared" si="107"/>
        <v>31765</v>
      </c>
      <c r="GB49" s="158">
        <f t="shared" ref="GB49:GC49" si="108">SUM(GB43:GB48)</f>
        <v>31986</v>
      </c>
      <c r="GC49" s="158">
        <f t="shared" si="108"/>
        <v>32184</v>
      </c>
      <c r="GD49" s="158">
        <f t="shared" ref="GD49:GE49" si="109">SUM(GD43:GD48)</f>
        <v>32544</v>
      </c>
      <c r="GE49" s="158">
        <f t="shared" si="109"/>
        <v>32867</v>
      </c>
      <c r="GF49" s="158">
        <f t="shared" ref="GF49:GG49" si="110">SUM(GF43:GF48)</f>
        <v>33087</v>
      </c>
      <c r="GG49" s="158">
        <f t="shared" si="110"/>
        <v>33341</v>
      </c>
      <c r="GH49" s="158">
        <f t="shared" ref="GH49:GI49" si="111">SUM(GH43:GH48)</f>
        <v>33556</v>
      </c>
      <c r="GI49" s="158">
        <f t="shared" si="111"/>
        <v>33858</v>
      </c>
      <c r="GJ49" s="158">
        <f t="shared" ref="GJ49:GK49" si="112">SUM(GJ43:GJ48)</f>
        <v>34189</v>
      </c>
      <c r="GK49" s="198">
        <f t="shared" si="112"/>
        <v>34373</v>
      </c>
      <c r="GL49" s="158">
        <f t="shared" ref="GL49:GM49" si="113">SUM(GL43:GL48)</f>
        <v>34626</v>
      </c>
      <c r="GM49" s="158">
        <f t="shared" si="113"/>
        <v>34887</v>
      </c>
      <c r="GN49" s="158">
        <f t="shared" ref="GN49:GO49" si="114">SUM(GN43:GN48)</f>
        <v>35244</v>
      </c>
      <c r="GO49" s="158">
        <f t="shared" si="114"/>
        <v>35616</v>
      </c>
      <c r="GP49" s="158">
        <f t="shared" ref="GP49:GQ49" si="115">SUM(GP43:GP48)</f>
        <v>35916</v>
      </c>
      <c r="GQ49" s="158">
        <f t="shared" si="115"/>
        <v>36396</v>
      </c>
    </row>
    <row r="50" spans="1:199" s="25" customFormat="1" ht="20.149999999999999" customHeight="1" thickTop="1" x14ac:dyDescent="0.35">
      <c r="A50" s="26" t="s">
        <v>269</v>
      </c>
      <c r="B50" s="55"/>
      <c r="C50" s="55"/>
      <c r="D50" s="55"/>
      <c r="E50" s="55"/>
      <c r="F50" s="55"/>
      <c r="G50" s="55"/>
      <c r="H50" s="55"/>
      <c r="I50" s="55"/>
      <c r="J50" s="55"/>
      <c r="K50" s="55"/>
      <c r="L50" s="55"/>
      <c r="M50" s="56"/>
      <c r="N50" s="57"/>
      <c r="O50" s="55"/>
      <c r="P50" s="55"/>
      <c r="Q50" s="55"/>
      <c r="R50" s="55"/>
      <c r="S50" s="55"/>
      <c r="T50" s="55"/>
      <c r="U50" s="55"/>
      <c r="V50" s="55"/>
      <c r="W50" s="55"/>
      <c r="X50" s="55"/>
      <c r="Y50" s="56"/>
      <c r="Z50" s="57"/>
      <c r="AA50" s="55"/>
      <c r="AB50" s="55"/>
      <c r="AC50" s="55"/>
      <c r="AD50" s="55"/>
      <c r="AE50" s="55"/>
      <c r="AF50" s="55"/>
      <c r="AG50" s="55"/>
      <c r="AH50" s="55"/>
      <c r="AI50" s="55"/>
      <c r="AJ50" s="55"/>
      <c r="AK50" s="56"/>
      <c r="AL50" s="57"/>
      <c r="AM50" s="55"/>
      <c r="AN50" s="55"/>
      <c r="AO50" s="55"/>
      <c r="AP50" s="55"/>
      <c r="AQ50" s="55"/>
      <c r="AR50" s="55"/>
      <c r="AS50" s="55"/>
      <c r="AT50" s="55"/>
      <c r="AU50" s="55"/>
      <c r="AV50" s="55"/>
      <c r="AW50" s="56"/>
      <c r="AX50" s="55"/>
      <c r="AY50" s="55"/>
      <c r="AZ50" s="55"/>
      <c r="BA50" s="55"/>
      <c r="BB50" s="55"/>
      <c r="BC50" s="55"/>
      <c r="BD50" s="55"/>
      <c r="BE50" s="55"/>
      <c r="BF50" s="55"/>
      <c r="BG50" s="55"/>
      <c r="BH50" s="55"/>
      <c r="BI50" s="56"/>
      <c r="BJ50" s="55"/>
      <c r="BK50" s="55"/>
      <c r="BL50" s="55"/>
      <c r="BM50" s="55"/>
      <c r="BN50" s="55"/>
      <c r="BO50" s="55"/>
      <c r="BP50" s="55"/>
      <c r="BQ50" s="55"/>
      <c r="BR50" s="55"/>
      <c r="BS50" s="55"/>
      <c r="BT50" s="55"/>
      <c r="BU50" s="56"/>
      <c r="BV50" s="55"/>
      <c r="BW50" s="55"/>
      <c r="BX50" s="55"/>
      <c r="BY50" s="55"/>
      <c r="BZ50" s="55"/>
      <c r="CA50" s="55"/>
      <c r="CB50" s="55"/>
      <c r="CC50" s="55"/>
      <c r="CD50" s="55"/>
      <c r="CE50" s="55"/>
      <c r="CF50" s="55"/>
      <c r="CG50" s="56"/>
      <c r="CH50" s="55"/>
      <c r="CI50" s="55"/>
      <c r="CJ50" s="55"/>
      <c r="CK50" s="55"/>
      <c r="CL50" s="55"/>
      <c r="CM50" s="55"/>
      <c r="CN50" s="55"/>
      <c r="CO50" s="55"/>
      <c r="CP50" s="55"/>
      <c r="CQ50" s="55"/>
      <c r="CR50" s="55"/>
      <c r="CS50" s="56"/>
      <c r="CT50" s="55"/>
      <c r="CU50" s="55"/>
      <c r="CV50" s="55"/>
      <c r="CW50" s="55"/>
      <c r="CX50" s="55"/>
      <c r="CY50" s="55"/>
      <c r="CZ50" s="55"/>
      <c r="DA50" s="55"/>
      <c r="DB50" s="55"/>
      <c r="DC50" s="55"/>
      <c r="DD50" s="55"/>
      <c r="DE50" s="56"/>
      <c r="DF50" s="55"/>
      <c r="DG50" s="55"/>
      <c r="DH50" s="55"/>
      <c r="DI50" s="55"/>
      <c r="DJ50" s="55"/>
      <c r="DK50" s="55"/>
      <c r="DL50" s="55"/>
      <c r="DM50" s="55"/>
      <c r="DN50" s="55"/>
      <c r="DO50" s="55"/>
      <c r="DP50" s="55"/>
      <c r="DQ50" s="56"/>
      <c r="DR50" s="55"/>
      <c r="DS50" s="55"/>
      <c r="DT50" s="55"/>
      <c r="DU50" s="55"/>
      <c r="DV50" s="55"/>
      <c r="DW50" s="55"/>
      <c r="DX50" s="55"/>
      <c r="DY50" s="55"/>
      <c r="DZ50" s="55"/>
      <c r="EA50" s="55"/>
      <c r="EB50" s="55"/>
      <c r="EC50" s="56"/>
      <c r="ED50" s="55"/>
      <c r="EE50" s="55"/>
      <c r="EF50" s="55"/>
      <c r="EG50" s="55"/>
      <c r="EH50" s="55"/>
      <c r="EI50" s="55"/>
      <c r="EJ50" s="55"/>
      <c r="EK50" s="55"/>
      <c r="EL50" s="55"/>
      <c r="EM50" s="55"/>
      <c r="EN50" s="55"/>
      <c r="EO50" s="56"/>
      <c r="EP50" s="55"/>
      <c r="EQ50" s="55"/>
      <c r="ER50" s="55"/>
      <c r="ES50" s="55"/>
      <c r="ET50" s="55"/>
      <c r="EU50" s="55"/>
      <c r="EV50" s="55"/>
      <c r="EW50" s="55"/>
      <c r="EX50" s="55"/>
      <c r="EY50" s="123"/>
      <c r="EZ50" s="123"/>
      <c r="FA50" s="56"/>
      <c r="FB50" s="123"/>
      <c r="FC50" s="123"/>
      <c r="FD50" s="123"/>
      <c r="FE50" s="123"/>
      <c r="FF50" s="123"/>
      <c r="FG50" s="123"/>
      <c r="FH50" s="123"/>
      <c r="FI50" s="123"/>
      <c r="FJ50" s="38"/>
      <c r="FK50" s="38"/>
      <c r="FL50" s="38"/>
      <c r="FM50" s="38"/>
      <c r="FN50" s="167"/>
      <c r="FO50" s="38"/>
      <c r="FP50" s="38"/>
      <c r="FQ50" s="38"/>
      <c r="FR50" s="38"/>
      <c r="FS50" s="38"/>
      <c r="FT50" s="38"/>
      <c r="FU50" s="39"/>
      <c r="FV50" s="39"/>
      <c r="FW50" s="39"/>
      <c r="FX50" s="39"/>
      <c r="FY50" s="197"/>
      <c r="FZ50" s="39"/>
      <c r="GA50" s="39"/>
      <c r="GB50" s="39"/>
      <c r="GC50" s="39"/>
      <c r="GD50" s="39"/>
      <c r="GE50" s="39"/>
      <c r="GF50" s="39"/>
      <c r="GG50" s="39"/>
      <c r="GH50" s="39"/>
      <c r="GI50" s="39"/>
      <c r="GJ50" s="39"/>
      <c r="GK50" s="197"/>
      <c r="GL50" s="39"/>
      <c r="GM50" s="39"/>
      <c r="GN50" s="39"/>
      <c r="GO50" s="39"/>
      <c r="GP50" s="39"/>
      <c r="GQ50" s="39"/>
    </row>
    <row r="51" spans="1:199" s="30" customFormat="1" ht="20.149999999999999" customHeight="1" x14ac:dyDescent="0.35">
      <c r="A51" s="31" t="s">
        <v>1623</v>
      </c>
      <c r="B51" s="55">
        <v>4338</v>
      </c>
      <c r="C51" s="55">
        <v>4893</v>
      </c>
      <c r="D51" s="55">
        <v>5866</v>
      </c>
      <c r="E51" s="55">
        <v>6885</v>
      </c>
      <c r="F51" s="55">
        <v>8340</v>
      </c>
      <c r="G51" s="55">
        <v>10197</v>
      </c>
      <c r="H51" s="55">
        <v>12442</v>
      </c>
      <c r="I51" s="55">
        <v>14654</v>
      </c>
      <c r="J51" s="55">
        <v>17415</v>
      </c>
      <c r="K51" s="55">
        <v>20763</v>
      </c>
      <c r="L51" s="55">
        <v>24625</v>
      </c>
      <c r="M51" s="56">
        <v>27597</v>
      </c>
      <c r="N51" s="57">
        <v>31598</v>
      </c>
      <c r="O51" s="55">
        <v>36102</v>
      </c>
      <c r="P51" s="55">
        <v>42948</v>
      </c>
      <c r="Q51" s="55">
        <v>49006</v>
      </c>
      <c r="R51" s="55">
        <v>55952</v>
      </c>
      <c r="S51" s="55">
        <v>64988</v>
      </c>
      <c r="T51" s="55">
        <v>75356</v>
      </c>
      <c r="U51" s="55">
        <v>88383</v>
      </c>
      <c r="V51" s="55">
        <v>104144</v>
      </c>
      <c r="W51" s="55">
        <v>122362</v>
      </c>
      <c r="X51" s="55">
        <v>172517</v>
      </c>
      <c r="Y51" s="56">
        <v>212571</v>
      </c>
      <c r="Z51" s="57">
        <v>220555</v>
      </c>
      <c r="AA51" s="55">
        <v>257558</v>
      </c>
      <c r="AB51" s="55">
        <v>281777</v>
      </c>
      <c r="AC51" s="55">
        <v>286756</v>
      </c>
      <c r="AD51" s="55">
        <v>295532</v>
      </c>
      <c r="AE51" s="55">
        <v>306112</v>
      </c>
      <c r="AF51" s="55">
        <v>325503</v>
      </c>
      <c r="AG51" s="55">
        <v>329026</v>
      </c>
      <c r="AH51" s="55">
        <v>333420</v>
      </c>
      <c r="AI51" s="55">
        <v>341351</v>
      </c>
      <c r="AJ51" s="55">
        <v>346153</v>
      </c>
      <c r="AK51" s="56">
        <v>351004</v>
      </c>
      <c r="AL51" s="57">
        <v>356174</v>
      </c>
      <c r="AM51" s="55">
        <v>361517</v>
      </c>
      <c r="AN51" s="55">
        <v>367395</v>
      </c>
      <c r="AO51" s="55">
        <v>373212</v>
      </c>
      <c r="AP51" s="55">
        <v>379012</v>
      </c>
      <c r="AQ51" s="55">
        <v>386841</v>
      </c>
      <c r="AR51" s="55">
        <v>391726</v>
      </c>
      <c r="AS51" s="55">
        <v>397277</v>
      </c>
      <c r="AT51" s="55">
        <v>402999</v>
      </c>
      <c r="AU51" s="55">
        <v>409136</v>
      </c>
      <c r="AV51" s="55">
        <v>415937</v>
      </c>
      <c r="AW51" s="56">
        <v>421609</v>
      </c>
      <c r="AX51" s="55">
        <v>427148</v>
      </c>
      <c r="AY51" s="55">
        <v>433229</v>
      </c>
      <c r="AZ51" s="55">
        <v>442505</v>
      </c>
      <c r="BA51" s="55">
        <v>448137</v>
      </c>
      <c r="BB51" s="55">
        <v>454139</v>
      </c>
      <c r="BC51" s="55">
        <v>460684</v>
      </c>
      <c r="BD51" s="55">
        <v>468240</v>
      </c>
      <c r="BE51" s="55">
        <v>475548</v>
      </c>
      <c r="BF51" s="55">
        <v>484366</v>
      </c>
      <c r="BG51" s="55">
        <v>493474</v>
      </c>
      <c r="BH51" s="55">
        <v>501887</v>
      </c>
      <c r="BI51" s="56">
        <v>510127</v>
      </c>
      <c r="BJ51" s="55">
        <v>516543</v>
      </c>
      <c r="BK51" s="55">
        <v>524132</v>
      </c>
      <c r="BL51" s="55">
        <v>535402</v>
      </c>
      <c r="BM51" s="55">
        <v>543244</v>
      </c>
      <c r="BN51" s="55">
        <v>551368</v>
      </c>
      <c r="BO51" s="55">
        <v>562747</v>
      </c>
      <c r="BP51" s="55">
        <v>571223</v>
      </c>
      <c r="BQ51" s="55">
        <v>579601</v>
      </c>
      <c r="BR51" s="55">
        <v>593043</v>
      </c>
      <c r="BS51" s="55">
        <v>605498</v>
      </c>
      <c r="BT51" s="55">
        <v>621742</v>
      </c>
      <c r="BU51" s="56">
        <v>639358</v>
      </c>
      <c r="BV51" s="55">
        <v>650629</v>
      </c>
      <c r="BW51" s="55">
        <v>653631</v>
      </c>
      <c r="BX51" s="55">
        <v>657166</v>
      </c>
      <c r="BY51" s="55">
        <v>660015</v>
      </c>
      <c r="BZ51" s="55">
        <v>662812</v>
      </c>
      <c r="CA51" s="55">
        <v>666059</v>
      </c>
      <c r="CB51" s="55">
        <v>668674</v>
      </c>
      <c r="CC51" s="55">
        <v>671058</v>
      </c>
      <c r="CD51" s="55">
        <v>674387</v>
      </c>
      <c r="CE51" s="55">
        <v>676644</v>
      </c>
      <c r="CF51" s="55">
        <v>679457</v>
      </c>
      <c r="CG51" s="55">
        <v>681380</v>
      </c>
      <c r="CH51" s="77">
        <v>683431</v>
      </c>
      <c r="CI51" s="55">
        <v>685714</v>
      </c>
      <c r="CJ51" s="55">
        <v>688710</v>
      </c>
      <c r="CK51" s="55">
        <v>690596</v>
      </c>
      <c r="CL51" s="55">
        <v>693167</v>
      </c>
      <c r="CM51" s="55">
        <v>695639</v>
      </c>
      <c r="CN51" s="55">
        <v>697785</v>
      </c>
      <c r="CO51" s="55">
        <v>700311</v>
      </c>
      <c r="CP51" s="55">
        <v>702838</v>
      </c>
      <c r="CQ51" s="55">
        <v>705285</v>
      </c>
      <c r="CR51" s="55">
        <v>708277</v>
      </c>
      <c r="CS51" s="55">
        <v>710100</v>
      </c>
      <c r="CT51" s="77">
        <v>712316</v>
      </c>
      <c r="CU51" s="55">
        <v>714429</v>
      </c>
      <c r="CV51" s="55">
        <v>716915</v>
      </c>
      <c r="CW51" s="55">
        <v>719206</v>
      </c>
      <c r="CX51" s="55">
        <v>721755</v>
      </c>
      <c r="CY51" s="55">
        <v>724276</v>
      </c>
      <c r="CZ51" s="55">
        <v>726706</v>
      </c>
      <c r="DA51" s="55">
        <v>729542</v>
      </c>
      <c r="DB51" s="55">
        <v>732324</v>
      </c>
      <c r="DC51" s="55">
        <v>735741</v>
      </c>
      <c r="DD51" s="55">
        <v>739292</v>
      </c>
      <c r="DE51" s="55">
        <v>742055</v>
      </c>
      <c r="DF51" s="77">
        <v>745835</v>
      </c>
      <c r="DG51" s="55">
        <v>749962</v>
      </c>
      <c r="DH51" s="55">
        <v>759566</v>
      </c>
      <c r="DI51" s="55">
        <v>761450</v>
      </c>
      <c r="DJ51" s="55">
        <v>763788</v>
      </c>
      <c r="DK51" s="55">
        <v>766266</v>
      </c>
      <c r="DL51" s="55">
        <v>768641</v>
      </c>
      <c r="DM51" s="55">
        <v>771142</v>
      </c>
      <c r="DN51" s="55">
        <v>773767</v>
      </c>
      <c r="DO51" s="55">
        <v>776428</v>
      </c>
      <c r="DP51" s="55">
        <v>779272</v>
      </c>
      <c r="DQ51" s="55">
        <v>781134</v>
      </c>
      <c r="DR51" s="77">
        <v>783484</v>
      </c>
      <c r="DS51" s="55">
        <v>785708</v>
      </c>
      <c r="DT51" s="55">
        <v>787993</v>
      </c>
      <c r="DU51" s="55">
        <v>788322</v>
      </c>
      <c r="DV51" s="55">
        <v>788874</v>
      </c>
      <c r="DW51" s="55">
        <v>790279</v>
      </c>
      <c r="DX51" s="55">
        <v>792473</v>
      </c>
      <c r="DY51" s="55">
        <v>794751</v>
      </c>
      <c r="DZ51" s="55">
        <v>797600</v>
      </c>
      <c r="EA51" s="55">
        <v>800311</v>
      </c>
      <c r="EB51" s="55">
        <v>803298</v>
      </c>
      <c r="EC51" s="55">
        <v>805438</v>
      </c>
      <c r="ED51" s="77">
        <v>808061</v>
      </c>
      <c r="EE51" s="55">
        <v>810478</v>
      </c>
      <c r="EF51" s="55">
        <v>813752</v>
      </c>
      <c r="EG51" s="55">
        <v>817154</v>
      </c>
      <c r="EH51" s="55">
        <v>820614</v>
      </c>
      <c r="EI51" s="55">
        <v>824098</v>
      </c>
      <c r="EJ51" s="55">
        <v>827263</v>
      </c>
      <c r="EK51" s="55">
        <v>830722</v>
      </c>
      <c r="EL51" s="55">
        <v>834557</v>
      </c>
      <c r="EM51" s="55">
        <v>838115</v>
      </c>
      <c r="EN51" s="55">
        <v>842617</v>
      </c>
      <c r="EO51" s="55">
        <v>845912</v>
      </c>
      <c r="EP51" s="77">
        <v>849650</v>
      </c>
      <c r="EQ51" s="55">
        <v>854440</v>
      </c>
      <c r="ER51" s="55">
        <v>860720</v>
      </c>
      <c r="ES51" s="55">
        <v>866588</v>
      </c>
      <c r="ET51" s="55">
        <v>872875</v>
      </c>
      <c r="EU51" s="55">
        <v>879462</v>
      </c>
      <c r="EV51" s="55">
        <v>885353</v>
      </c>
      <c r="EW51" s="55">
        <v>891837</v>
      </c>
      <c r="EX51" s="55">
        <v>899444</v>
      </c>
      <c r="EY51" s="55">
        <v>906233</v>
      </c>
      <c r="EZ51" s="55">
        <v>913781</v>
      </c>
      <c r="FA51" s="83">
        <v>919403</v>
      </c>
      <c r="FB51" s="55">
        <v>926567</v>
      </c>
      <c r="FC51" s="55">
        <v>934349</v>
      </c>
      <c r="FD51" s="55">
        <v>943222</v>
      </c>
      <c r="FE51" s="55">
        <v>950136</v>
      </c>
      <c r="FF51" s="55">
        <v>957798</v>
      </c>
      <c r="FG51" s="55">
        <v>965913</v>
      </c>
      <c r="FH51" s="55">
        <v>972935</v>
      </c>
      <c r="FI51" s="55">
        <v>979882</v>
      </c>
      <c r="FJ51" s="39">
        <v>986900</v>
      </c>
      <c r="FK51" s="39">
        <v>993851</v>
      </c>
      <c r="FL51" s="39">
        <v>1001379</v>
      </c>
      <c r="FM51" s="39">
        <v>1006036</v>
      </c>
      <c r="FN51" s="77">
        <v>1012369</v>
      </c>
      <c r="FO51" s="39">
        <v>1019219</v>
      </c>
      <c r="FP51" s="39">
        <v>1026972</v>
      </c>
      <c r="FQ51" s="39">
        <v>1034579</v>
      </c>
      <c r="FR51" s="39">
        <v>1042821</v>
      </c>
      <c r="FS51" s="39">
        <v>1051380</v>
      </c>
      <c r="FT51" s="39">
        <v>1059986</v>
      </c>
      <c r="FU51" s="38">
        <v>1068628</v>
      </c>
      <c r="FV51" s="38">
        <v>1078494</v>
      </c>
      <c r="FW51" s="38">
        <v>1090407</v>
      </c>
      <c r="FX51" s="38">
        <v>1103803</v>
      </c>
      <c r="FY51" s="196">
        <v>1112391</v>
      </c>
      <c r="FZ51" s="38">
        <v>1122927</v>
      </c>
      <c r="GA51" s="38">
        <v>1135318</v>
      </c>
      <c r="GB51" s="38">
        <v>1150561</v>
      </c>
      <c r="GC51" s="38">
        <v>1162255</v>
      </c>
      <c r="GD51" s="38">
        <v>1175955</v>
      </c>
      <c r="GE51" s="38">
        <v>1190145</v>
      </c>
      <c r="GF51" s="38">
        <v>1202817</v>
      </c>
      <c r="GG51" s="38">
        <v>1214153</v>
      </c>
      <c r="GH51" s="38">
        <v>1227731</v>
      </c>
      <c r="GI51" s="38">
        <v>1243272</v>
      </c>
      <c r="GJ51" s="38">
        <v>1257898</v>
      </c>
      <c r="GK51" s="196">
        <v>1269329</v>
      </c>
      <c r="GL51" s="38">
        <v>1281280</v>
      </c>
      <c r="GM51" s="38">
        <v>1295849</v>
      </c>
      <c r="GN51" s="38">
        <v>1314287</v>
      </c>
      <c r="GO51" s="38">
        <v>1327600</v>
      </c>
      <c r="GP51" s="38">
        <v>1338367</v>
      </c>
      <c r="GQ51" s="38">
        <v>1352811</v>
      </c>
    </row>
    <row r="52" spans="1:199" s="1" customFormat="1" ht="20.149999999999999" customHeight="1" x14ac:dyDescent="0.35">
      <c r="A52" s="31" t="s">
        <v>1626</v>
      </c>
      <c r="B52" s="55">
        <v>584</v>
      </c>
      <c r="C52" s="55">
        <v>614</v>
      </c>
      <c r="D52" s="55">
        <v>659</v>
      </c>
      <c r="E52" s="55">
        <v>689</v>
      </c>
      <c r="F52" s="55">
        <v>743</v>
      </c>
      <c r="G52" s="55">
        <v>804</v>
      </c>
      <c r="H52" s="55">
        <v>873</v>
      </c>
      <c r="I52" s="55">
        <v>940</v>
      </c>
      <c r="J52" s="55">
        <v>1019</v>
      </c>
      <c r="K52" s="55">
        <v>1118</v>
      </c>
      <c r="L52" s="55">
        <v>1215</v>
      </c>
      <c r="M52" s="56">
        <v>1282</v>
      </c>
      <c r="N52" s="57">
        <v>1415</v>
      </c>
      <c r="O52" s="55">
        <v>1558</v>
      </c>
      <c r="P52" s="55">
        <v>1780</v>
      </c>
      <c r="Q52" s="55">
        <v>2084</v>
      </c>
      <c r="R52" s="55">
        <v>2449</v>
      </c>
      <c r="S52" s="55">
        <v>2895</v>
      </c>
      <c r="T52" s="55">
        <v>3527</v>
      </c>
      <c r="U52" s="55">
        <v>4637</v>
      </c>
      <c r="V52" s="55">
        <v>6244</v>
      </c>
      <c r="W52" s="55">
        <v>8350</v>
      </c>
      <c r="X52" s="55">
        <v>14649</v>
      </c>
      <c r="Y52" s="56">
        <v>19516</v>
      </c>
      <c r="Z52" s="57">
        <v>20008</v>
      </c>
      <c r="AA52" s="55">
        <v>25870</v>
      </c>
      <c r="AB52" s="55">
        <v>27859</v>
      </c>
      <c r="AC52" s="55">
        <v>28332</v>
      </c>
      <c r="AD52" s="55">
        <v>29896</v>
      </c>
      <c r="AE52" s="55">
        <v>32251</v>
      </c>
      <c r="AF52" s="55">
        <v>38134</v>
      </c>
      <c r="AG52" s="55">
        <v>38557</v>
      </c>
      <c r="AH52" s="55">
        <v>39445</v>
      </c>
      <c r="AI52" s="55">
        <v>42061</v>
      </c>
      <c r="AJ52" s="55">
        <v>43094</v>
      </c>
      <c r="AK52" s="56">
        <v>44297</v>
      </c>
      <c r="AL52" s="57">
        <v>45630</v>
      </c>
      <c r="AM52" s="55">
        <v>47217</v>
      </c>
      <c r="AN52" s="55">
        <v>49256</v>
      </c>
      <c r="AO52" s="55">
        <v>51605</v>
      </c>
      <c r="AP52" s="55">
        <v>54228</v>
      </c>
      <c r="AQ52" s="55">
        <v>58429</v>
      </c>
      <c r="AR52" s="55">
        <v>60357</v>
      </c>
      <c r="AS52" s="55">
        <v>62776</v>
      </c>
      <c r="AT52" s="55">
        <v>65587</v>
      </c>
      <c r="AU52" s="55">
        <v>68593</v>
      </c>
      <c r="AV52" s="55">
        <v>72182</v>
      </c>
      <c r="AW52" s="56">
        <v>75166</v>
      </c>
      <c r="AX52" s="55">
        <v>78027</v>
      </c>
      <c r="AY52" s="55">
        <v>81783</v>
      </c>
      <c r="AZ52" s="55">
        <v>87633</v>
      </c>
      <c r="BA52" s="55">
        <v>90402</v>
      </c>
      <c r="BB52" s="55">
        <v>93619</v>
      </c>
      <c r="BC52" s="55">
        <v>97265</v>
      </c>
      <c r="BD52" s="55">
        <v>101072</v>
      </c>
      <c r="BE52" s="55">
        <v>104706</v>
      </c>
      <c r="BF52" s="55">
        <v>108867</v>
      </c>
      <c r="BG52" s="55">
        <v>113289</v>
      </c>
      <c r="BH52" s="55">
        <v>117681</v>
      </c>
      <c r="BI52" s="56">
        <v>122415</v>
      </c>
      <c r="BJ52" s="55">
        <v>124678</v>
      </c>
      <c r="BK52" s="55">
        <v>127622</v>
      </c>
      <c r="BL52" s="55">
        <v>132724</v>
      </c>
      <c r="BM52" s="55">
        <v>135881</v>
      </c>
      <c r="BN52" s="55">
        <v>139432</v>
      </c>
      <c r="BO52" s="55">
        <v>144577</v>
      </c>
      <c r="BP52" s="55">
        <v>147777</v>
      </c>
      <c r="BQ52" s="55">
        <v>151242</v>
      </c>
      <c r="BR52" s="55">
        <v>157494</v>
      </c>
      <c r="BS52" s="55">
        <v>161515</v>
      </c>
      <c r="BT52" s="55">
        <v>166439</v>
      </c>
      <c r="BU52" s="56">
        <v>172536</v>
      </c>
      <c r="BV52" s="55">
        <v>175572</v>
      </c>
      <c r="BW52" s="55">
        <v>176109</v>
      </c>
      <c r="BX52" s="55">
        <v>176962</v>
      </c>
      <c r="BY52" s="55">
        <v>177695</v>
      </c>
      <c r="BZ52" s="55">
        <v>178440</v>
      </c>
      <c r="CA52" s="55">
        <v>179353</v>
      </c>
      <c r="CB52" s="55">
        <v>180053</v>
      </c>
      <c r="CC52" s="55">
        <v>180819</v>
      </c>
      <c r="CD52" s="55">
        <v>181914</v>
      </c>
      <c r="CE52" s="55">
        <v>182379</v>
      </c>
      <c r="CF52" s="55">
        <v>182912</v>
      </c>
      <c r="CG52" s="55">
        <v>183408</v>
      </c>
      <c r="CH52" s="77">
        <v>183795</v>
      </c>
      <c r="CI52" s="55">
        <v>184218</v>
      </c>
      <c r="CJ52" s="55">
        <v>184884</v>
      </c>
      <c r="CK52" s="55">
        <v>185281</v>
      </c>
      <c r="CL52" s="55">
        <v>185808</v>
      </c>
      <c r="CM52" s="55">
        <v>186417</v>
      </c>
      <c r="CN52" s="55">
        <v>186963</v>
      </c>
      <c r="CO52" s="55">
        <v>187473</v>
      </c>
      <c r="CP52" s="55">
        <v>188115</v>
      </c>
      <c r="CQ52" s="55">
        <v>188675</v>
      </c>
      <c r="CR52" s="55">
        <v>189273</v>
      </c>
      <c r="CS52" s="55">
        <v>189759</v>
      </c>
      <c r="CT52" s="77">
        <v>190189</v>
      </c>
      <c r="CU52" s="55">
        <v>190673</v>
      </c>
      <c r="CV52" s="55">
        <v>191329</v>
      </c>
      <c r="CW52" s="55">
        <v>191918</v>
      </c>
      <c r="CX52" s="55">
        <v>192585</v>
      </c>
      <c r="CY52" s="55">
        <v>193355</v>
      </c>
      <c r="CZ52" s="55">
        <v>194019</v>
      </c>
      <c r="DA52" s="55">
        <v>194719</v>
      </c>
      <c r="DB52" s="55">
        <v>195605</v>
      </c>
      <c r="DC52" s="55">
        <v>196424</v>
      </c>
      <c r="DD52" s="55">
        <v>197524</v>
      </c>
      <c r="DE52" s="55">
        <v>198544</v>
      </c>
      <c r="DF52" s="77">
        <v>199567</v>
      </c>
      <c r="DG52" s="55">
        <v>201111</v>
      </c>
      <c r="DH52" s="55">
        <v>204931</v>
      </c>
      <c r="DI52" s="55">
        <v>205082</v>
      </c>
      <c r="DJ52" s="55">
        <v>205336</v>
      </c>
      <c r="DK52" s="55">
        <v>205662</v>
      </c>
      <c r="DL52" s="55">
        <v>206121</v>
      </c>
      <c r="DM52" s="55">
        <v>206584</v>
      </c>
      <c r="DN52" s="55">
        <v>207232</v>
      </c>
      <c r="DO52" s="55">
        <v>208002</v>
      </c>
      <c r="DP52" s="55">
        <v>208662</v>
      </c>
      <c r="DQ52" s="55">
        <v>209185</v>
      </c>
      <c r="DR52" s="77">
        <v>209843</v>
      </c>
      <c r="DS52" s="55">
        <v>210523</v>
      </c>
      <c r="DT52" s="55">
        <v>211274</v>
      </c>
      <c r="DU52" s="55">
        <v>211558</v>
      </c>
      <c r="DV52" s="55">
        <v>212035</v>
      </c>
      <c r="DW52" s="55">
        <v>212922</v>
      </c>
      <c r="DX52" s="55">
        <v>213877</v>
      </c>
      <c r="DY52" s="55">
        <v>214746</v>
      </c>
      <c r="DZ52" s="55">
        <v>215854</v>
      </c>
      <c r="EA52" s="55">
        <v>216969</v>
      </c>
      <c r="EB52" s="55">
        <v>218142</v>
      </c>
      <c r="EC52" s="55">
        <v>219008</v>
      </c>
      <c r="ED52" s="77">
        <v>219922</v>
      </c>
      <c r="EE52" s="55">
        <v>220923</v>
      </c>
      <c r="EF52" s="55">
        <v>222402</v>
      </c>
      <c r="EG52" s="55">
        <v>223811</v>
      </c>
      <c r="EH52" s="55">
        <v>225237</v>
      </c>
      <c r="EI52" s="55">
        <v>226834</v>
      </c>
      <c r="EJ52" s="55">
        <v>228344</v>
      </c>
      <c r="EK52" s="55">
        <v>229738</v>
      </c>
      <c r="EL52" s="55">
        <v>231623</v>
      </c>
      <c r="EM52" s="55">
        <v>233423</v>
      </c>
      <c r="EN52" s="55">
        <v>235744</v>
      </c>
      <c r="EO52" s="55">
        <v>237453</v>
      </c>
      <c r="EP52" s="77">
        <v>239635</v>
      </c>
      <c r="EQ52" s="55">
        <v>242166</v>
      </c>
      <c r="ER52" s="55">
        <v>245653</v>
      </c>
      <c r="ES52" s="55">
        <v>249387</v>
      </c>
      <c r="ET52" s="55">
        <v>253983</v>
      </c>
      <c r="EU52" s="55">
        <v>258604</v>
      </c>
      <c r="EV52" s="55">
        <v>263661</v>
      </c>
      <c r="EW52" s="55">
        <v>269309</v>
      </c>
      <c r="EX52" s="55">
        <v>275966</v>
      </c>
      <c r="EY52" s="55">
        <v>283142</v>
      </c>
      <c r="EZ52" s="55">
        <v>291558</v>
      </c>
      <c r="FA52" s="83">
        <v>297997</v>
      </c>
      <c r="FB52" s="55">
        <v>306959</v>
      </c>
      <c r="FC52" s="55">
        <v>316307</v>
      </c>
      <c r="FD52" s="55">
        <v>326891</v>
      </c>
      <c r="FE52" s="55">
        <v>335419</v>
      </c>
      <c r="FF52" s="55">
        <v>345119</v>
      </c>
      <c r="FG52" s="55">
        <v>354734</v>
      </c>
      <c r="FH52" s="55">
        <v>362859</v>
      </c>
      <c r="FI52" s="55">
        <v>371296</v>
      </c>
      <c r="FJ52" s="39">
        <v>379270</v>
      </c>
      <c r="FK52" s="39">
        <v>387237</v>
      </c>
      <c r="FL52" s="39">
        <v>395077</v>
      </c>
      <c r="FM52" s="39">
        <v>400203</v>
      </c>
      <c r="FN52" s="77">
        <v>406451</v>
      </c>
      <c r="FO52" s="39">
        <v>413018</v>
      </c>
      <c r="FP52" s="39">
        <v>419644</v>
      </c>
      <c r="FQ52" s="39">
        <v>426803</v>
      </c>
      <c r="FR52" s="39">
        <v>433926</v>
      </c>
      <c r="FS52" s="39">
        <v>440387</v>
      </c>
      <c r="FT52" s="39">
        <v>447366</v>
      </c>
      <c r="FU52" s="39">
        <v>453516</v>
      </c>
      <c r="FV52" s="39">
        <v>460032</v>
      </c>
      <c r="FW52" s="39">
        <v>467353</v>
      </c>
      <c r="FX52" s="39">
        <v>474257</v>
      </c>
      <c r="FY52" s="197">
        <v>479197</v>
      </c>
      <c r="FZ52" s="39">
        <v>485442</v>
      </c>
      <c r="GA52" s="39">
        <v>492531</v>
      </c>
      <c r="GB52" s="39">
        <v>500915</v>
      </c>
      <c r="GC52" s="39">
        <v>508646</v>
      </c>
      <c r="GD52" s="39">
        <v>517120</v>
      </c>
      <c r="GE52" s="39">
        <v>525594</v>
      </c>
      <c r="GF52" s="39">
        <v>534691</v>
      </c>
      <c r="GG52" s="39">
        <v>542778</v>
      </c>
      <c r="GH52" s="39">
        <v>551960</v>
      </c>
      <c r="GI52" s="39">
        <v>561532</v>
      </c>
      <c r="GJ52" s="39">
        <v>569924</v>
      </c>
      <c r="GK52" s="197">
        <v>576035</v>
      </c>
      <c r="GL52" s="39">
        <v>582768</v>
      </c>
      <c r="GM52" s="39">
        <v>590103</v>
      </c>
      <c r="GN52" s="39">
        <v>598659</v>
      </c>
      <c r="GO52" s="39">
        <v>607397</v>
      </c>
      <c r="GP52" s="39">
        <v>614589</v>
      </c>
      <c r="GQ52" s="39">
        <v>625552</v>
      </c>
    </row>
    <row r="53" spans="1:199" s="1" customFormat="1" ht="20.149999999999999" customHeight="1" x14ac:dyDescent="0.35">
      <c r="A53" s="31" t="s">
        <v>1625</v>
      </c>
      <c r="B53" s="55">
        <v>153</v>
      </c>
      <c r="C53" s="55">
        <v>159</v>
      </c>
      <c r="D53" s="55">
        <v>176</v>
      </c>
      <c r="E53" s="55">
        <v>187</v>
      </c>
      <c r="F53" s="55">
        <v>205</v>
      </c>
      <c r="G53" s="55">
        <v>218</v>
      </c>
      <c r="H53" s="55">
        <v>228</v>
      </c>
      <c r="I53" s="55">
        <v>242</v>
      </c>
      <c r="J53" s="55">
        <v>269</v>
      </c>
      <c r="K53" s="55">
        <v>290</v>
      </c>
      <c r="L53" s="55">
        <v>315</v>
      </c>
      <c r="M53" s="56">
        <v>328</v>
      </c>
      <c r="N53" s="57">
        <v>355</v>
      </c>
      <c r="O53" s="55">
        <v>393</v>
      </c>
      <c r="P53" s="55">
        <v>432</v>
      </c>
      <c r="Q53" s="55">
        <v>480</v>
      </c>
      <c r="R53" s="55">
        <v>534</v>
      </c>
      <c r="S53" s="55">
        <v>589</v>
      </c>
      <c r="T53" s="55">
        <v>705</v>
      </c>
      <c r="U53" s="55">
        <v>816</v>
      </c>
      <c r="V53" s="55">
        <v>962</v>
      </c>
      <c r="W53" s="55">
        <v>1110</v>
      </c>
      <c r="X53" s="55">
        <v>1887</v>
      </c>
      <c r="Y53" s="56">
        <v>3364</v>
      </c>
      <c r="Z53" s="57">
        <v>3409</v>
      </c>
      <c r="AA53" s="55">
        <v>4586</v>
      </c>
      <c r="AB53" s="55">
        <v>5432</v>
      </c>
      <c r="AC53" s="55">
        <v>5502</v>
      </c>
      <c r="AD53" s="55">
        <v>5664</v>
      </c>
      <c r="AE53" s="55">
        <v>5978</v>
      </c>
      <c r="AF53" s="55">
        <v>7275</v>
      </c>
      <c r="AG53" s="55">
        <v>7340</v>
      </c>
      <c r="AH53" s="55">
        <v>7432</v>
      </c>
      <c r="AI53" s="55">
        <v>7740</v>
      </c>
      <c r="AJ53" s="55">
        <v>7855</v>
      </c>
      <c r="AK53" s="56">
        <v>7981</v>
      </c>
      <c r="AL53" s="57">
        <v>8126</v>
      </c>
      <c r="AM53" s="55">
        <v>8370</v>
      </c>
      <c r="AN53" s="55">
        <v>8706</v>
      </c>
      <c r="AO53" s="55">
        <v>9040</v>
      </c>
      <c r="AP53" s="55">
        <v>9357</v>
      </c>
      <c r="AQ53" s="55">
        <v>10116</v>
      </c>
      <c r="AR53" s="55">
        <v>10306</v>
      </c>
      <c r="AS53" s="55">
        <v>10604</v>
      </c>
      <c r="AT53" s="55">
        <v>10895</v>
      </c>
      <c r="AU53" s="55">
        <v>11160</v>
      </c>
      <c r="AV53" s="55">
        <v>11466</v>
      </c>
      <c r="AW53" s="56">
        <v>11760</v>
      </c>
      <c r="AX53" s="55">
        <v>12057</v>
      </c>
      <c r="AY53" s="55">
        <v>12500</v>
      </c>
      <c r="AZ53" s="55">
        <v>13379</v>
      </c>
      <c r="BA53" s="55">
        <v>13573</v>
      </c>
      <c r="BB53" s="55">
        <v>13847</v>
      </c>
      <c r="BC53" s="55">
        <v>14185</v>
      </c>
      <c r="BD53" s="55">
        <v>14505</v>
      </c>
      <c r="BE53" s="55">
        <v>14824</v>
      </c>
      <c r="BF53" s="55">
        <v>15204</v>
      </c>
      <c r="BG53" s="55">
        <v>15556</v>
      </c>
      <c r="BH53" s="55">
        <v>15927</v>
      </c>
      <c r="BI53" s="56">
        <v>16615</v>
      </c>
      <c r="BJ53" s="55">
        <v>16822</v>
      </c>
      <c r="BK53" s="55">
        <v>17193</v>
      </c>
      <c r="BL53" s="55">
        <v>17827</v>
      </c>
      <c r="BM53" s="55">
        <v>18153</v>
      </c>
      <c r="BN53" s="55">
        <v>18477</v>
      </c>
      <c r="BO53" s="55">
        <v>19005</v>
      </c>
      <c r="BP53" s="55">
        <v>19405</v>
      </c>
      <c r="BQ53" s="55">
        <v>19898</v>
      </c>
      <c r="BR53" s="55">
        <v>21017</v>
      </c>
      <c r="BS53" s="55">
        <v>21495</v>
      </c>
      <c r="BT53" s="55">
        <v>22238</v>
      </c>
      <c r="BU53" s="56">
        <v>24255</v>
      </c>
      <c r="BV53" s="55">
        <v>25213</v>
      </c>
      <c r="BW53" s="55">
        <v>25310</v>
      </c>
      <c r="BX53" s="55">
        <v>25520</v>
      </c>
      <c r="BY53" s="55">
        <v>25656</v>
      </c>
      <c r="BZ53" s="55">
        <v>25802</v>
      </c>
      <c r="CA53" s="55">
        <v>26011</v>
      </c>
      <c r="CB53" s="55">
        <v>26209</v>
      </c>
      <c r="CC53" s="55">
        <v>26478</v>
      </c>
      <c r="CD53" s="55">
        <v>26978</v>
      </c>
      <c r="CE53" s="55">
        <v>27110</v>
      </c>
      <c r="CF53" s="55">
        <v>27260</v>
      </c>
      <c r="CG53" s="55">
        <v>27447</v>
      </c>
      <c r="CH53" s="77">
        <v>27533</v>
      </c>
      <c r="CI53" s="55">
        <v>27648</v>
      </c>
      <c r="CJ53" s="55">
        <v>27899</v>
      </c>
      <c r="CK53" s="55">
        <v>28026</v>
      </c>
      <c r="CL53" s="55">
        <v>28177</v>
      </c>
      <c r="CM53" s="55">
        <v>28364</v>
      </c>
      <c r="CN53" s="55">
        <v>28521</v>
      </c>
      <c r="CO53" s="55">
        <v>28689</v>
      </c>
      <c r="CP53" s="55">
        <v>28888</v>
      </c>
      <c r="CQ53" s="55">
        <v>29053</v>
      </c>
      <c r="CR53" s="55">
        <v>29254</v>
      </c>
      <c r="CS53" s="55">
        <v>29415</v>
      </c>
      <c r="CT53" s="77">
        <v>29580</v>
      </c>
      <c r="CU53" s="55">
        <v>29739</v>
      </c>
      <c r="CV53" s="55">
        <v>29961</v>
      </c>
      <c r="CW53" s="55">
        <v>30104</v>
      </c>
      <c r="CX53" s="55">
        <v>30257</v>
      </c>
      <c r="CY53" s="55">
        <v>30453</v>
      </c>
      <c r="CZ53" s="55">
        <v>30637</v>
      </c>
      <c r="DA53" s="55">
        <v>30847</v>
      </c>
      <c r="DB53" s="55">
        <v>31030</v>
      </c>
      <c r="DC53" s="55">
        <v>31247</v>
      </c>
      <c r="DD53" s="55">
        <v>31462</v>
      </c>
      <c r="DE53" s="55">
        <v>31693</v>
      </c>
      <c r="DF53" s="77">
        <v>31962</v>
      </c>
      <c r="DG53" s="55">
        <v>32367</v>
      </c>
      <c r="DH53" s="55">
        <v>33962</v>
      </c>
      <c r="DI53" s="55">
        <v>34033</v>
      </c>
      <c r="DJ53" s="55">
        <v>34102</v>
      </c>
      <c r="DK53" s="55">
        <v>34201</v>
      </c>
      <c r="DL53" s="55">
        <v>34309</v>
      </c>
      <c r="DM53" s="55">
        <v>34447</v>
      </c>
      <c r="DN53" s="55">
        <v>34585</v>
      </c>
      <c r="DO53" s="55">
        <v>34725</v>
      </c>
      <c r="DP53" s="55">
        <v>34880</v>
      </c>
      <c r="DQ53" s="55">
        <v>34992</v>
      </c>
      <c r="DR53" s="77">
        <v>35151</v>
      </c>
      <c r="DS53" s="55">
        <v>35311</v>
      </c>
      <c r="DT53" s="55">
        <v>35527</v>
      </c>
      <c r="DU53" s="55">
        <v>35579</v>
      </c>
      <c r="DV53" s="55">
        <v>35630</v>
      </c>
      <c r="DW53" s="55">
        <v>35755</v>
      </c>
      <c r="DX53" s="55">
        <v>35903</v>
      </c>
      <c r="DY53" s="55">
        <v>36017</v>
      </c>
      <c r="DZ53" s="55">
        <v>36190</v>
      </c>
      <c r="EA53" s="55">
        <v>36364</v>
      </c>
      <c r="EB53" s="55">
        <v>36553</v>
      </c>
      <c r="EC53" s="55">
        <v>36692</v>
      </c>
      <c r="ED53" s="77">
        <v>36833</v>
      </c>
      <c r="EE53" s="55">
        <v>36995</v>
      </c>
      <c r="EF53" s="55">
        <v>37226</v>
      </c>
      <c r="EG53" s="55">
        <v>37412</v>
      </c>
      <c r="EH53" s="55">
        <v>37593</v>
      </c>
      <c r="EI53" s="55">
        <v>37764</v>
      </c>
      <c r="EJ53" s="55">
        <v>37989</v>
      </c>
      <c r="EK53" s="55">
        <v>38238</v>
      </c>
      <c r="EL53" s="55">
        <v>38478</v>
      </c>
      <c r="EM53" s="55">
        <v>38729</v>
      </c>
      <c r="EN53" s="55">
        <v>39034</v>
      </c>
      <c r="EO53" s="55">
        <v>39203</v>
      </c>
      <c r="EP53" s="77">
        <v>39430</v>
      </c>
      <c r="EQ53" s="55">
        <v>39680</v>
      </c>
      <c r="ER53" s="55">
        <v>40060</v>
      </c>
      <c r="ES53" s="55">
        <v>40343</v>
      </c>
      <c r="ET53" s="55">
        <v>40724</v>
      </c>
      <c r="EU53" s="55">
        <v>41085</v>
      </c>
      <c r="EV53" s="55">
        <v>41459</v>
      </c>
      <c r="EW53" s="55">
        <v>41860</v>
      </c>
      <c r="EX53" s="55">
        <v>42281</v>
      </c>
      <c r="EY53" s="55">
        <v>42742</v>
      </c>
      <c r="EZ53" s="55">
        <v>43287</v>
      </c>
      <c r="FA53" s="83">
        <v>43707</v>
      </c>
      <c r="FB53" s="55">
        <v>44259</v>
      </c>
      <c r="FC53" s="55">
        <v>44985</v>
      </c>
      <c r="FD53" s="55">
        <v>45810</v>
      </c>
      <c r="FE53" s="55">
        <v>46555</v>
      </c>
      <c r="FF53" s="55">
        <v>47477</v>
      </c>
      <c r="FG53" s="55">
        <v>48472</v>
      </c>
      <c r="FH53" s="55">
        <v>49331</v>
      </c>
      <c r="FI53" s="55">
        <v>50173</v>
      </c>
      <c r="FJ53" s="39">
        <v>51111</v>
      </c>
      <c r="FK53" s="39">
        <v>51949</v>
      </c>
      <c r="FL53" s="39">
        <v>52785</v>
      </c>
      <c r="FM53" s="39">
        <v>53315</v>
      </c>
      <c r="FN53" s="77">
        <v>54080</v>
      </c>
      <c r="FO53" s="39">
        <v>54773</v>
      </c>
      <c r="FP53" s="39">
        <v>55552</v>
      </c>
      <c r="FQ53" s="39">
        <v>56382</v>
      </c>
      <c r="FR53" s="39">
        <v>57335</v>
      </c>
      <c r="FS53" s="39">
        <v>58227</v>
      </c>
      <c r="FT53" s="39">
        <v>59198</v>
      </c>
      <c r="FU53" s="39">
        <v>60122</v>
      </c>
      <c r="FV53" s="39">
        <v>61013</v>
      </c>
      <c r="FW53" s="39">
        <v>61962</v>
      </c>
      <c r="FX53" s="39">
        <v>62937</v>
      </c>
      <c r="FY53" s="197">
        <v>63623</v>
      </c>
      <c r="FZ53" s="39">
        <v>64571</v>
      </c>
      <c r="GA53" s="39">
        <v>65672</v>
      </c>
      <c r="GB53" s="39">
        <v>66898</v>
      </c>
      <c r="GC53" s="39">
        <v>68106</v>
      </c>
      <c r="GD53" s="39">
        <v>69453</v>
      </c>
      <c r="GE53" s="39">
        <v>70763</v>
      </c>
      <c r="GF53" s="39">
        <v>72163</v>
      </c>
      <c r="GG53" s="39">
        <v>73432</v>
      </c>
      <c r="GH53" s="39">
        <v>74880</v>
      </c>
      <c r="GI53" s="39">
        <v>76306</v>
      </c>
      <c r="GJ53" s="39">
        <v>77564</v>
      </c>
      <c r="GK53" s="197">
        <v>78673</v>
      </c>
      <c r="GL53" s="39">
        <v>79917</v>
      </c>
      <c r="GM53" s="39">
        <v>81310</v>
      </c>
      <c r="GN53" s="39">
        <v>83059</v>
      </c>
      <c r="GO53" s="39">
        <v>84762</v>
      </c>
      <c r="GP53" s="39">
        <v>86088</v>
      </c>
      <c r="GQ53" s="39">
        <v>88043</v>
      </c>
    </row>
    <row r="54" spans="1:199" s="1" customFormat="1" ht="20.149999999999999" customHeight="1" x14ac:dyDescent="0.35">
      <c r="A54" s="31" t="s">
        <v>1627</v>
      </c>
      <c r="B54" s="55">
        <v>17</v>
      </c>
      <c r="C54" s="55">
        <v>17</v>
      </c>
      <c r="D54" s="55">
        <v>17</v>
      </c>
      <c r="E54" s="55">
        <v>17</v>
      </c>
      <c r="F54" s="55">
        <v>19</v>
      </c>
      <c r="G54" s="55">
        <v>21</v>
      </c>
      <c r="H54" s="55">
        <v>23</v>
      </c>
      <c r="I54" s="55">
        <v>23</v>
      </c>
      <c r="J54" s="55">
        <v>23</v>
      </c>
      <c r="K54" s="55">
        <v>27</v>
      </c>
      <c r="L54" s="55">
        <v>28</v>
      </c>
      <c r="M54" s="56">
        <v>30</v>
      </c>
      <c r="N54" s="57">
        <v>30</v>
      </c>
      <c r="O54" s="55">
        <v>33</v>
      </c>
      <c r="P54" s="55">
        <v>36</v>
      </c>
      <c r="Q54" s="55">
        <v>45</v>
      </c>
      <c r="R54" s="55">
        <v>57</v>
      </c>
      <c r="S54" s="55">
        <v>93</v>
      </c>
      <c r="T54" s="55">
        <v>304</v>
      </c>
      <c r="U54" s="55">
        <v>309</v>
      </c>
      <c r="V54" s="55">
        <v>325</v>
      </c>
      <c r="W54" s="55">
        <v>353</v>
      </c>
      <c r="X54" s="55">
        <v>371</v>
      </c>
      <c r="Y54" s="56">
        <v>430</v>
      </c>
      <c r="Z54" s="57">
        <v>432</v>
      </c>
      <c r="AA54" s="55">
        <v>496</v>
      </c>
      <c r="AB54" s="55">
        <v>544</v>
      </c>
      <c r="AC54" s="55">
        <v>550</v>
      </c>
      <c r="AD54" s="55">
        <v>564</v>
      </c>
      <c r="AE54" s="55">
        <v>600</v>
      </c>
      <c r="AF54" s="55">
        <v>811</v>
      </c>
      <c r="AG54" s="55">
        <v>832</v>
      </c>
      <c r="AH54" s="55">
        <v>849</v>
      </c>
      <c r="AI54" s="55">
        <v>896</v>
      </c>
      <c r="AJ54" s="55">
        <v>914</v>
      </c>
      <c r="AK54" s="56">
        <v>935</v>
      </c>
      <c r="AL54" s="57">
        <v>957</v>
      </c>
      <c r="AM54" s="55">
        <v>986</v>
      </c>
      <c r="AN54" s="55">
        <v>1052</v>
      </c>
      <c r="AO54" s="55">
        <v>1170</v>
      </c>
      <c r="AP54" s="55">
        <v>1228</v>
      </c>
      <c r="AQ54" s="55">
        <v>1346</v>
      </c>
      <c r="AR54" s="55">
        <v>1407</v>
      </c>
      <c r="AS54" s="55">
        <v>1482</v>
      </c>
      <c r="AT54" s="55">
        <v>1543</v>
      </c>
      <c r="AU54" s="55">
        <v>1591</v>
      </c>
      <c r="AV54" s="55">
        <v>1664</v>
      </c>
      <c r="AW54" s="56">
        <v>1771</v>
      </c>
      <c r="AX54" s="55">
        <v>1819</v>
      </c>
      <c r="AY54" s="55">
        <v>1887</v>
      </c>
      <c r="AZ54" s="55">
        <v>2084</v>
      </c>
      <c r="BA54" s="55">
        <v>2119</v>
      </c>
      <c r="BB54" s="55">
        <v>2178</v>
      </c>
      <c r="BC54" s="55">
        <v>2323</v>
      </c>
      <c r="BD54" s="55">
        <v>2409</v>
      </c>
      <c r="BE54" s="55">
        <v>2483</v>
      </c>
      <c r="BF54" s="55">
        <v>2606</v>
      </c>
      <c r="BG54" s="55">
        <v>2725</v>
      </c>
      <c r="BH54" s="55">
        <v>2833</v>
      </c>
      <c r="BI54" s="56">
        <v>2994</v>
      </c>
      <c r="BJ54" s="55">
        <v>3067</v>
      </c>
      <c r="BK54" s="55">
        <v>3129</v>
      </c>
      <c r="BL54" s="55">
        <v>3387</v>
      </c>
      <c r="BM54" s="55">
        <v>3466</v>
      </c>
      <c r="BN54" s="55">
        <v>3555</v>
      </c>
      <c r="BO54" s="55">
        <v>3781</v>
      </c>
      <c r="BP54" s="55">
        <v>3892</v>
      </c>
      <c r="BQ54" s="55">
        <v>4018</v>
      </c>
      <c r="BR54" s="55">
        <v>4233</v>
      </c>
      <c r="BS54" s="55">
        <v>4396</v>
      </c>
      <c r="BT54" s="55">
        <v>4632</v>
      </c>
      <c r="BU54" s="56">
        <v>5289</v>
      </c>
      <c r="BV54" s="55">
        <v>5493</v>
      </c>
      <c r="BW54" s="55">
        <v>5552</v>
      </c>
      <c r="BX54" s="55">
        <v>5789</v>
      </c>
      <c r="BY54" s="55">
        <v>5816</v>
      </c>
      <c r="BZ54" s="55">
        <v>5851</v>
      </c>
      <c r="CA54" s="55">
        <v>5912</v>
      </c>
      <c r="CB54" s="55">
        <v>5930</v>
      </c>
      <c r="CC54" s="55">
        <v>5957</v>
      </c>
      <c r="CD54" s="55">
        <v>5998</v>
      </c>
      <c r="CE54" s="55">
        <v>6026</v>
      </c>
      <c r="CF54" s="55">
        <v>6049</v>
      </c>
      <c r="CG54" s="55">
        <v>6088</v>
      </c>
      <c r="CH54" s="77">
        <v>6097</v>
      </c>
      <c r="CI54" s="55">
        <v>6123</v>
      </c>
      <c r="CJ54" s="55">
        <v>6237</v>
      </c>
      <c r="CK54" s="55">
        <v>6257</v>
      </c>
      <c r="CL54" s="55">
        <v>6271</v>
      </c>
      <c r="CM54" s="55">
        <v>6294</v>
      </c>
      <c r="CN54" s="55">
        <v>6312</v>
      </c>
      <c r="CO54" s="55">
        <v>6336</v>
      </c>
      <c r="CP54" s="55">
        <v>6360</v>
      </c>
      <c r="CQ54" s="55">
        <v>6375</v>
      </c>
      <c r="CR54" s="55">
        <v>6393</v>
      </c>
      <c r="CS54" s="55">
        <v>6401</v>
      </c>
      <c r="CT54" s="77">
        <v>6411</v>
      </c>
      <c r="CU54" s="55">
        <v>6419</v>
      </c>
      <c r="CV54" s="55">
        <v>6441</v>
      </c>
      <c r="CW54" s="55">
        <v>6455</v>
      </c>
      <c r="CX54" s="55">
        <v>6468</v>
      </c>
      <c r="CY54" s="55">
        <v>6479</v>
      </c>
      <c r="CZ54" s="55">
        <v>6490</v>
      </c>
      <c r="DA54" s="55">
        <v>6510</v>
      </c>
      <c r="DB54" s="55">
        <v>6527</v>
      </c>
      <c r="DC54" s="55">
        <v>6539</v>
      </c>
      <c r="DD54" s="55">
        <v>6565</v>
      </c>
      <c r="DE54" s="55">
        <v>6595</v>
      </c>
      <c r="DF54" s="77">
        <v>6606</v>
      </c>
      <c r="DG54" s="55">
        <v>6620</v>
      </c>
      <c r="DH54" s="55">
        <v>6656</v>
      </c>
      <c r="DI54" s="55">
        <v>6672</v>
      </c>
      <c r="DJ54" s="55">
        <v>6678</v>
      </c>
      <c r="DK54" s="55">
        <v>6687</v>
      </c>
      <c r="DL54" s="55">
        <v>6697</v>
      </c>
      <c r="DM54" s="55">
        <v>6712</v>
      </c>
      <c r="DN54" s="55">
        <v>6727</v>
      </c>
      <c r="DO54" s="55">
        <v>6737</v>
      </c>
      <c r="DP54" s="55">
        <v>6742</v>
      </c>
      <c r="DQ54" s="55">
        <v>6748</v>
      </c>
      <c r="DR54" s="77">
        <v>6758</v>
      </c>
      <c r="DS54" s="55">
        <v>6763</v>
      </c>
      <c r="DT54" s="55">
        <v>6780</v>
      </c>
      <c r="DU54" s="55">
        <v>6788</v>
      </c>
      <c r="DV54" s="55">
        <v>6791</v>
      </c>
      <c r="DW54" s="55">
        <v>6794</v>
      </c>
      <c r="DX54" s="55">
        <v>6801</v>
      </c>
      <c r="DY54" s="55">
        <v>6815</v>
      </c>
      <c r="DZ54" s="55">
        <v>6825</v>
      </c>
      <c r="EA54" s="55">
        <v>6829</v>
      </c>
      <c r="EB54" s="55">
        <v>6833</v>
      </c>
      <c r="EC54" s="55">
        <v>6842</v>
      </c>
      <c r="ED54" s="77">
        <v>6848</v>
      </c>
      <c r="EE54" s="55">
        <v>6853</v>
      </c>
      <c r="EF54" s="55">
        <v>6861</v>
      </c>
      <c r="EG54" s="55">
        <v>6867</v>
      </c>
      <c r="EH54" s="55">
        <v>6873</v>
      </c>
      <c r="EI54" s="55">
        <v>6882</v>
      </c>
      <c r="EJ54" s="55">
        <v>6893</v>
      </c>
      <c r="EK54" s="55">
        <v>6900</v>
      </c>
      <c r="EL54" s="55">
        <v>6917</v>
      </c>
      <c r="EM54" s="55">
        <v>6931</v>
      </c>
      <c r="EN54" s="55">
        <v>6947</v>
      </c>
      <c r="EO54" s="55">
        <v>6961</v>
      </c>
      <c r="EP54" s="77">
        <v>6979</v>
      </c>
      <c r="EQ54" s="55">
        <v>6993</v>
      </c>
      <c r="ER54" s="55">
        <v>7013</v>
      </c>
      <c r="ES54" s="55">
        <v>7030</v>
      </c>
      <c r="ET54" s="55">
        <v>7051</v>
      </c>
      <c r="EU54" s="55">
        <v>7073</v>
      </c>
      <c r="EV54" s="55">
        <v>7087</v>
      </c>
      <c r="EW54" s="55">
        <v>7100</v>
      </c>
      <c r="EX54" s="55">
        <v>7118</v>
      </c>
      <c r="EY54" s="55">
        <v>7147</v>
      </c>
      <c r="EZ54" s="55">
        <v>7172</v>
      </c>
      <c r="FA54" s="83">
        <v>7192</v>
      </c>
      <c r="FB54" s="55">
        <v>7220</v>
      </c>
      <c r="FC54" s="55">
        <v>7249</v>
      </c>
      <c r="FD54" s="55">
        <v>7307</v>
      </c>
      <c r="FE54" s="55">
        <v>7346</v>
      </c>
      <c r="FF54" s="55">
        <v>7398</v>
      </c>
      <c r="FG54" s="55">
        <v>7458</v>
      </c>
      <c r="FH54" s="55">
        <v>7503</v>
      </c>
      <c r="FI54" s="55">
        <v>7554</v>
      </c>
      <c r="FJ54" s="39">
        <v>7602</v>
      </c>
      <c r="FK54" s="39">
        <v>7651</v>
      </c>
      <c r="FL54" s="39">
        <v>7692</v>
      </c>
      <c r="FM54" s="39">
        <v>7716</v>
      </c>
      <c r="FN54" s="77">
        <v>7750</v>
      </c>
      <c r="FO54" s="39">
        <v>7787</v>
      </c>
      <c r="FP54" s="39">
        <v>7827</v>
      </c>
      <c r="FQ54" s="39">
        <v>7869</v>
      </c>
      <c r="FR54" s="39">
        <v>7913</v>
      </c>
      <c r="FS54" s="39">
        <v>7945</v>
      </c>
      <c r="FT54" s="39">
        <v>7992</v>
      </c>
      <c r="FU54" s="39">
        <v>8029</v>
      </c>
      <c r="FV54" s="39">
        <v>8052</v>
      </c>
      <c r="FW54" s="39">
        <v>8082</v>
      </c>
      <c r="FX54" s="39">
        <v>8121</v>
      </c>
      <c r="FY54" s="197">
        <v>8142</v>
      </c>
      <c r="FZ54" s="39">
        <v>8166</v>
      </c>
      <c r="GA54" s="39">
        <v>8201</v>
      </c>
      <c r="GB54" s="39">
        <v>8230</v>
      </c>
      <c r="GC54" s="39">
        <v>8259</v>
      </c>
      <c r="GD54" s="39">
        <v>8311</v>
      </c>
      <c r="GE54" s="39">
        <v>8350</v>
      </c>
      <c r="GF54" s="39">
        <v>8404</v>
      </c>
      <c r="GG54" s="39">
        <v>8445</v>
      </c>
      <c r="GH54" s="39">
        <v>8491</v>
      </c>
      <c r="GI54" s="39">
        <v>8544</v>
      </c>
      <c r="GJ54" s="39">
        <v>8579</v>
      </c>
      <c r="GK54" s="197">
        <v>8612</v>
      </c>
      <c r="GL54" s="39">
        <v>8634</v>
      </c>
      <c r="GM54" s="39">
        <v>8667</v>
      </c>
      <c r="GN54" s="39">
        <v>8705</v>
      </c>
      <c r="GO54" s="39">
        <v>8734</v>
      </c>
      <c r="GP54" s="39">
        <v>8749</v>
      </c>
      <c r="GQ54" s="39">
        <v>8778</v>
      </c>
    </row>
    <row r="55" spans="1:199" s="1" customFormat="1" ht="20.149999999999999" customHeight="1" x14ac:dyDescent="0.35">
      <c r="A55" s="31" t="s">
        <v>1624</v>
      </c>
      <c r="B55" s="55">
        <v>0</v>
      </c>
      <c r="C55" s="55">
        <v>0</v>
      </c>
      <c r="D55" s="55">
        <v>0</v>
      </c>
      <c r="E55" s="55">
        <v>0</v>
      </c>
      <c r="F55" s="55">
        <v>0</v>
      </c>
      <c r="G55" s="55">
        <v>0</v>
      </c>
      <c r="H55" s="55">
        <v>0</v>
      </c>
      <c r="I55" s="55">
        <v>0</v>
      </c>
      <c r="J55" s="55">
        <v>0</v>
      </c>
      <c r="K55" s="55">
        <v>0</v>
      </c>
      <c r="L55" s="55">
        <v>0</v>
      </c>
      <c r="M55" s="56">
        <v>0</v>
      </c>
      <c r="N55" s="57">
        <v>0</v>
      </c>
      <c r="O55" s="55">
        <v>0</v>
      </c>
      <c r="P55" s="55">
        <v>0</v>
      </c>
      <c r="Q55" s="55">
        <v>0</v>
      </c>
      <c r="R55" s="55">
        <v>0</v>
      </c>
      <c r="S55" s="55">
        <v>0</v>
      </c>
      <c r="T55" s="55">
        <v>0</v>
      </c>
      <c r="U55" s="55">
        <v>0</v>
      </c>
      <c r="V55" s="55">
        <v>0</v>
      </c>
      <c r="W55" s="55">
        <v>0</v>
      </c>
      <c r="X55" s="55">
        <v>0</v>
      </c>
      <c r="Y55" s="56">
        <v>0</v>
      </c>
      <c r="Z55" s="57">
        <v>1</v>
      </c>
      <c r="AA55" s="55">
        <v>1</v>
      </c>
      <c r="AB55" s="55">
        <v>1</v>
      </c>
      <c r="AC55" s="55">
        <v>1</v>
      </c>
      <c r="AD55" s="55">
        <v>1</v>
      </c>
      <c r="AE55" s="55">
        <v>1</v>
      </c>
      <c r="AF55" s="55">
        <v>1</v>
      </c>
      <c r="AG55" s="55">
        <v>1</v>
      </c>
      <c r="AH55" s="55">
        <v>1</v>
      </c>
      <c r="AI55" s="55">
        <v>1</v>
      </c>
      <c r="AJ55" s="55">
        <v>1</v>
      </c>
      <c r="AK55" s="56">
        <v>1</v>
      </c>
      <c r="AL55" s="57">
        <v>1</v>
      </c>
      <c r="AM55" s="55">
        <v>7</v>
      </c>
      <c r="AN55" s="55">
        <v>41</v>
      </c>
      <c r="AO55" s="55">
        <v>41</v>
      </c>
      <c r="AP55" s="55">
        <v>44</v>
      </c>
      <c r="AQ55" s="55">
        <v>51</v>
      </c>
      <c r="AR55" s="55">
        <v>51</v>
      </c>
      <c r="AS55" s="55">
        <v>54</v>
      </c>
      <c r="AT55" s="55">
        <v>54</v>
      </c>
      <c r="AU55" s="55">
        <v>54</v>
      </c>
      <c r="AV55" s="55">
        <v>58</v>
      </c>
      <c r="AW55" s="56">
        <v>60</v>
      </c>
      <c r="AX55" s="55">
        <v>68</v>
      </c>
      <c r="AY55" s="55">
        <v>72</v>
      </c>
      <c r="AZ55" s="55">
        <v>144</v>
      </c>
      <c r="BA55" s="55">
        <v>145</v>
      </c>
      <c r="BB55" s="55">
        <v>149</v>
      </c>
      <c r="BC55" s="55">
        <v>154</v>
      </c>
      <c r="BD55" s="55">
        <v>161</v>
      </c>
      <c r="BE55" s="55">
        <v>162</v>
      </c>
      <c r="BF55" s="55">
        <v>170</v>
      </c>
      <c r="BG55" s="55">
        <v>175</v>
      </c>
      <c r="BH55" s="55">
        <v>181</v>
      </c>
      <c r="BI55" s="56">
        <v>190</v>
      </c>
      <c r="BJ55" s="55">
        <v>196</v>
      </c>
      <c r="BK55" s="55">
        <v>206</v>
      </c>
      <c r="BL55" s="55">
        <v>337</v>
      </c>
      <c r="BM55" s="55">
        <v>337</v>
      </c>
      <c r="BN55" s="55">
        <v>337</v>
      </c>
      <c r="BO55" s="55">
        <v>338</v>
      </c>
      <c r="BP55" s="55">
        <v>339</v>
      </c>
      <c r="BQ55" s="55">
        <v>343</v>
      </c>
      <c r="BR55" s="55">
        <v>343</v>
      </c>
      <c r="BS55" s="55">
        <v>346</v>
      </c>
      <c r="BT55" s="55">
        <v>350</v>
      </c>
      <c r="BU55" s="56">
        <v>358</v>
      </c>
      <c r="BV55" s="55">
        <v>362</v>
      </c>
      <c r="BW55" s="55">
        <v>364</v>
      </c>
      <c r="BX55" s="55">
        <v>389</v>
      </c>
      <c r="BY55" s="55">
        <v>391</v>
      </c>
      <c r="BZ55" s="55">
        <v>391</v>
      </c>
      <c r="CA55" s="55">
        <v>398</v>
      </c>
      <c r="CB55" s="55">
        <v>399</v>
      </c>
      <c r="CC55" s="55">
        <v>401</v>
      </c>
      <c r="CD55" s="55">
        <v>401</v>
      </c>
      <c r="CE55" s="55">
        <v>402</v>
      </c>
      <c r="CF55" s="55">
        <v>402</v>
      </c>
      <c r="CG55" s="55">
        <v>407</v>
      </c>
      <c r="CH55" s="77">
        <v>410</v>
      </c>
      <c r="CI55" s="55">
        <v>414</v>
      </c>
      <c r="CJ55" s="55">
        <v>435</v>
      </c>
      <c r="CK55" s="55">
        <v>435</v>
      </c>
      <c r="CL55" s="55">
        <v>435</v>
      </c>
      <c r="CM55" s="55">
        <v>435</v>
      </c>
      <c r="CN55" s="55">
        <v>436</v>
      </c>
      <c r="CO55" s="55">
        <v>436</v>
      </c>
      <c r="CP55" s="55">
        <v>436</v>
      </c>
      <c r="CQ55" s="55">
        <v>437</v>
      </c>
      <c r="CR55" s="55">
        <v>437</v>
      </c>
      <c r="CS55" s="55">
        <v>439</v>
      </c>
      <c r="CT55" s="77">
        <v>439</v>
      </c>
      <c r="CU55" s="55">
        <v>440</v>
      </c>
      <c r="CV55" s="55">
        <v>441</v>
      </c>
      <c r="CW55" s="55">
        <v>442</v>
      </c>
      <c r="CX55" s="55">
        <v>443</v>
      </c>
      <c r="CY55" s="55">
        <v>443</v>
      </c>
      <c r="CZ55" s="55">
        <v>443</v>
      </c>
      <c r="DA55" s="55">
        <v>443</v>
      </c>
      <c r="DB55" s="55">
        <v>443</v>
      </c>
      <c r="DC55" s="55">
        <v>444</v>
      </c>
      <c r="DD55" s="55">
        <v>444</v>
      </c>
      <c r="DE55" s="55">
        <v>445</v>
      </c>
      <c r="DF55" s="77">
        <v>445</v>
      </c>
      <c r="DG55" s="55">
        <v>445</v>
      </c>
      <c r="DH55" s="55">
        <v>445</v>
      </c>
      <c r="DI55" s="55">
        <v>445</v>
      </c>
      <c r="DJ55" s="55">
        <v>445</v>
      </c>
      <c r="DK55" s="55">
        <v>445</v>
      </c>
      <c r="DL55" s="55">
        <v>446</v>
      </c>
      <c r="DM55" s="55">
        <v>446</v>
      </c>
      <c r="DN55" s="55">
        <v>446</v>
      </c>
      <c r="DO55" s="55">
        <v>446</v>
      </c>
      <c r="DP55" s="55">
        <v>446</v>
      </c>
      <c r="DQ55" s="55">
        <v>446</v>
      </c>
      <c r="DR55" s="77">
        <v>448</v>
      </c>
      <c r="DS55" s="55">
        <v>449</v>
      </c>
      <c r="DT55" s="55">
        <v>449</v>
      </c>
      <c r="DU55" s="55">
        <v>449</v>
      </c>
      <c r="DV55" s="55">
        <v>450</v>
      </c>
      <c r="DW55" s="55">
        <v>450</v>
      </c>
      <c r="DX55" s="55">
        <v>450</v>
      </c>
      <c r="DY55" s="55">
        <v>451</v>
      </c>
      <c r="DZ55" s="55">
        <v>451</v>
      </c>
      <c r="EA55" s="55">
        <v>451</v>
      </c>
      <c r="EB55" s="55">
        <v>451</v>
      </c>
      <c r="EC55" s="55">
        <v>452</v>
      </c>
      <c r="ED55" s="77">
        <v>453</v>
      </c>
      <c r="EE55" s="55">
        <v>453</v>
      </c>
      <c r="EF55" s="55">
        <v>454</v>
      </c>
      <c r="EG55" s="55">
        <v>454</v>
      </c>
      <c r="EH55" s="55">
        <v>455</v>
      </c>
      <c r="EI55" s="55">
        <v>457</v>
      </c>
      <c r="EJ55" s="55">
        <v>457</v>
      </c>
      <c r="EK55" s="55">
        <v>457</v>
      </c>
      <c r="EL55" s="55">
        <v>457</v>
      </c>
      <c r="EM55" s="55">
        <v>457</v>
      </c>
      <c r="EN55" s="55">
        <v>457</v>
      </c>
      <c r="EO55" s="55">
        <v>457</v>
      </c>
      <c r="EP55" s="77">
        <v>460</v>
      </c>
      <c r="EQ55" s="55">
        <v>460</v>
      </c>
      <c r="ER55" s="55">
        <v>460</v>
      </c>
      <c r="ES55" s="55">
        <v>460</v>
      </c>
      <c r="ET55" s="55">
        <v>461</v>
      </c>
      <c r="EU55" s="55">
        <v>461</v>
      </c>
      <c r="EV55" s="55">
        <v>462</v>
      </c>
      <c r="EW55" s="55">
        <v>462</v>
      </c>
      <c r="EX55" s="55">
        <v>463</v>
      </c>
      <c r="EY55" s="55">
        <v>465</v>
      </c>
      <c r="EZ55" s="55">
        <v>465</v>
      </c>
      <c r="FA55" s="83">
        <v>467</v>
      </c>
      <c r="FB55" s="55">
        <v>476</v>
      </c>
      <c r="FC55" s="55">
        <v>479</v>
      </c>
      <c r="FD55" s="55">
        <v>481</v>
      </c>
      <c r="FE55" s="55">
        <v>482</v>
      </c>
      <c r="FF55" s="55">
        <v>483</v>
      </c>
      <c r="FG55" s="55">
        <v>484</v>
      </c>
      <c r="FH55" s="55">
        <v>484</v>
      </c>
      <c r="FI55" s="55">
        <v>484</v>
      </c>
      <c r="FJ55" s="39">
        <v>485</v>
      </c>
      <c r="FK55" s="39">
        <v>488</v>
      </c>
      <c r="FL55" s="39">
        <v>490</v>
      </c>
      <c r="FM55" s="39">
        <v>490</v>
      </c>
      <c r="FN55" s="77">
        <v>492</v>
      </c>
      <c r="FO55" s="39">
        <v>492</v>
      </c>
      <c r="FP55" s="39">
        <v>495</v>
      </c>
      <c r="FQ55" s="39">
        <v>495</v>
      </c>
      <c r="FR55" s="39">
        <v>495</v>
      </c>
      <c r="FS55" s="39">
        <v>497</v>
      </c>
      <c r="FT55" s="39">
        <v>497</v>
      </c>
      <c r="FU55" s="39">
        <v>497</v>
      </c>
      <c r="FV55" s="39">
        <v>497</v>
      </c>
      <c r="FW55" s="39">
        <v>498</v>
      </c>
      <c r="FX55" s="39">
        <v>498</v>
      </c>
      <c r="FY55" s="197">
        <v>500</v>
      </c>
      <c r="FZ55" s="39">
        <v>503</v>
      </c>
      <c r="GA55" s="39">
        <v>504</v>
      </c>
      <c r="GB55" s="39">
        <v>504</v>
      </c>
      <c r="GC55" s="39">
        <v>504</v>
      </c>
      <c r="GD55" s="39">
        <v>506</v>
      </c>
      <c r="GE55" s="39">
        <v>507</v>
      </c>
      <c r="GF55" s="39">
        <v>507</v>
      </c>
      <c r="GG55" s="39">
        <v>508</v>
      </c>
      <c r="GH55" s="39">
        <v>508</v>
      </c>
      <c r="GI55" s="39">
        <v>509</v>
      </c>
      <c r="GJ55" s="39">
        <v>509</v>
      </c>
      <c r="GK55" s="197">
        <v>509</v>
      </c>
      <c r="GL55" s="39">
        <v>509</v>
      </c>
      <c r="GM55" s="39">
        <v>509</v>
      </c>
      <c r="GN55" s="39">
        <v>509</v>
      </c>
      <c r="GO55" s="39">
        <v>509</v>
      </c>
      <c r="GP55" s="39">
        <v>509</v>
      </c>
      <c r="GQ55" s="39">
        <v>509</v>
      </c>
    </row>
    <row r="56" spans="1:199" s="1" customFormat="1" ht="20.149999999999999" customHeight="1" x14ac:dyDescent="0.4">
      <c r="A56" s="31" t="s">
        <v>1628</v>
      </c>
      <c r="B56" s="58">
        <v>0</v>
      </c>
      <c r="C56" s="58">
        <v>0</v>
      </c>
      <c r="D56" s="58">
        <v>0</v>
      </c>
      <c r="E56" s="58">
        <v>0</v>
      </c>
      <c r="F56" s="58">
        <v>0</v>
      </c>
      <c r="G56" s="58">
        <v>0</v>
      </c>
      <c r="H56" s="58">
        <v>0</v>
      </c>
      <c r="I56" s="58">
        <v>0</v>
      </c>
      <c r="J56" s="58">
        <v>0</v>
      </c>
      <c r="K56" s="58">
        <v>0</v>
      </c>
      <c r="L56" s="58">
        <v>0</v>
      </c>
      <c r="M56" s="59">
        <v>0</v>
      </c>
      <c r="N56" s="60">
        <v>0</v>
      </c>
      <c r="O56" s="58">
        <v>0</v>
      </c>
      <c r="P56" s="58">
        <v>0</v>
      </c>
      <c r="Q56" s="58">
        <v>0</v>
      </c>
      <c r="R56" s="58">
        <v>0</v>
      </c>
      <c r="S56" s="58">
        <v>0</v>
      </c>
      <c r="T56" s="58">
        <v>0</v>
      </c>
      <c r="U56" s="58">
        <v>0</v>
      </c>
      <c r="V56" s="58">
        <v>0</v>
      </c>
      <c r="W56" s="58">
        <v>0</v>
      </c>
      <c r="X56" s="58">
        <v>0</v>
      </c>
      <c r="Y56" s="59">
        <v>0</v>
      </c>
      <c r="Z56" s="60">
        <v>0</v>
      </c>
      <c r="AA56" s="58">
        <v>0</v>
      </c>
      <c r="AB56" s="58">
        <v>0</v>
      </c>
      <c r="AC56" s="58">
        <v>0</v>
      </c>
      <c r="AD56" s="58">
        <v>0</v>
      </c>
      <c r="AE56" s="58">
        <v>0</v>
      </c>
      <c r="AF56" s="58">
        <v>0</v>
      </c>
      <c r="AG56" s="58">
        <v>0</v>
      </c>
      <c r="AH56" s="58">
        <v>0</v>
      </c>
      <c r="AI56" s="58">
        <v>0</v>
      </c>
      <c r="AJ56" s="58">
        <v>0</v>
      </c>
      <c r="AK56" s="59">
        <v>0</v>
      </c>
      <c r="AL56" s="60">
        <v>0</v>
      </c>
      <c r="AM56" s="58">
        <v>0</v>
      </c>
      <c r="AN56" s="58">
        <v>1</v>
      </c>
      <c r="AO56" s="58">
        <v>1</v>
      </c>
      <c r="AP56" s="58">
        <v>1</v>
      </c>
      <c r="AQ56" s="58">
        <v>1</v>
      </c>
      <c r="AR56" s="58">
        <v>1</v>
      </c>
      <c r="AS56" s="58">
        <v>1</v>
      </c>
      <c r="AT56" s="58">
        <v>1</v>
      </c>
      <c r="AU56" s="58">
        <v>1</v>
      </c>
      <c r="AV56" s="58">
        <v>1</v>
      </c>
      <c r="AW56" s="59">
        <v>1</v>
      </c>
      <c r="AX56" s="58">
        <v>1</v>
      </c>
      <c r="AY56" s="58">
        <v>2</v>
      </c>
      <c r="AZ56" s="58">
        <v>3</v>
      </c>
      <c r="BA56" s="58">
        <v>4</v>
      </c>
      <c r="BB56" s="58">
        <v>4</v>
      </c>
      <c r="BC56" s="58">
        <v>4</v>
      </c>
      <c r="BD56" s="58">
        <v>5</v>
      </c>
      <c r="BE56" s="58">
        <v>5</v>
      </c>
      <c r="BF56" s="58">
        <v>7</v>
      </c>
      <c r="BG56" s="58">
        <v>9</v>
      </c>
      <c r="BH56" s="58">
        <v>9</v>
      </c>
      <c r="BI56" s="59">
        <v>11</v>
      </c>
      <c r="BJ56" s="58">
        <v>11</v>
      </c>
      <c r="BK56" s="58">
        <v>11</v>
      </c>
      <c r="BL56" s="58">
        <v>28</v>
      </c>
      <c r="BM56" s="58">
        <v>28</v>
      </c>
      <c r="BN56" s="58">
        <v>28</v>
      </c>
      <c r="BO56" s="58">
        <v>28</v>
      </c>
      <c r="BP56" s="58">
        <v>28</v>
      </c>
      <c r="BQ56" s="58">
        <v>28</v>
      </c>
      <c r="BR56" s="58">
        <v>28</v>
      </c>
      <c r="BS56" s="58">
        <v>28</v>
      </c>
      <c r="BT56" s="58">
        <v>28</v>
      </c>
      <c r="BU56" s="59">
        <v>28</v>
      </c>
      <c r="BV56" s="55">
        <v>28</v>
      </c>
      <c r="BW56" s="55">
        <v>28</v>
      </c>
      <c r="BX56" s="55">
        <v>37</v>
      </c>
      <c r="BY56" s="55">
        <v>37</v>
      </c>
      <c r="BZ56" s="55">
        <v>37</v>
      </c>
      <c r="CA56" s="55">
        <v>37</v>
      </c>
      <c r="CB56" s="55">
        <v>37</v>
      </c>
      <c r="CC56" s="55">
        <v>37</v>
      </c>
      <c r="CD56" s="55">
        <v>37</v>
      </c>
      <c r="CE56" s="55">
        <v>37</v>
      </c>
      <c r="CF56" s="55">
        <v>37</v>
      </c>
      <c r="CG56" s="55">
        <v>37</v>
      </c>
      <c r="CH56" s="77">
        <v>37</v>
      </c>
      <c r="CI56" s="55">
        <v>37</v>
      </c>
      <c r="CJ56" s="55">
        <v>38</v>
      </c>
      <c r="CK56" s="55">
        <v>38</v>
      </c>
      <c r="CL56" s="55">
        <v>38</v>
      </c>
      <c r="CM56" s="55">
        <v>38</v>
      </c>
      <c r="CN56" s="55">
        <v>38</v>
      </c>
      <c r="CO56" s="55">
        <v>38</v>
      </c>
      <c r="CP56" s="55">
        <v>38</v>
      </c>
      <c r="CQ56" s="55">
        <v>38</v>
      </c>
      <c r="CR56" s="55">
        <v>38</v>
      </c>
      <c r="CS56" s="55">
        <v>38</v>
      </c>
      <c r="CT56" s="77">
        <v>39</v>
      </c>
      <c r="CU56" s="55">
        <v>39</v>
      </c>
      <c r="CV56" s="55">
        <v>39</v>
      </c>
      <c r="CW56" s="55">
        <v>39</v>
      </c>
      <c r="CX56" s="55">
        <v>39</v>
      </c>
      <c r="CY56" s="55">
        <v>39</v>
      </c>
      <c r="CZ56" s="55">
        <v>39</v>
      </c>
      <c r="DA56" s="55">
        <v>39</v>
      </c>
      <c r="DB56" s="55">
        <v>39</v>
      </c>
      <c r="DC56" s="55">
        <v>39</v>
      </c>
      <c r="DD56" s="55">
        <v>39</v>
      </c>
      <c r="DE56" s="55">
        <v>39</v>
      </c>
      <c r="DF56" s="77">
        <v>39</v>
      </c>
      <c r="DG56" s="55">
        <v>39</v>
      </c>
      <c r="DH56" s="55">
        <v>39</v>
      </c>
      <c r="DI56" s="55">
        <v>39</v>
      </c>
      <c r="DJ56" s="55">
        <v>39</v>
      </c>
      <c r="DK56" s="55">
        <v>39</v>
      </c>
      <c r="DL56" s="55">
        <v>39</v>
      </c>
      <c r="DM56" s="55">
        <v>39</v>
      </c>
      <c r="DN56" s="55">
        <v>39</v>
      </c>
      <c r="DO56" s="55">
        <v>39</v>
      </c>
      <c r="DP56" s="55">
        <v>39</v>
      </c>
      <c r="DQ56" s="55">
        <v>40</v>
      </c>
      <c r="DR56" s="77">
        <v>41</v>
      </c>
      <c r="DS56" s="55">
        <v>41</v>
      </c>
      <c r="DT56" s="55">
        <v>41</v>
      </c>
      <c r="DU56" s="55">
        <v>41</v>
      </c>
      <c r="DV56" s="55">
        <v>41</v>
      </c>
      <c r="DW56" s="55">
        <v>41</v>
      </c>
      <c r="DX56" s="55">
        <v>41</v>
      </c>
      <c r="DY56" s="55">
        <v>41</v>
      </c>
      <c r="DZ56" s="55">
        <v>41</v>
      </c>
      <c r="EA56" s="55">
        <v>41</v>
      </c>
      <c r="EB56" s="55">
        <v>41</v>
      </c>
      <c r="EC56" s="55">
        <v>42</v>
      </c>
      <c r="ED56" s="77">
        <v>42</v>
      </c>
      <c r="EE56" s="55">
        <v>42</v>
      </c>
      <c r="EF56" s="55">
        <v>44</v>
      </c>
      <c r="EG56" s="55">
        <v>45</v>
      </c>
      <c r="EH56" s="55">
        <v>45</v>
      </c>
      <c r="EI56" s="55">
        <v>45</v>
      </c>
      <c r="EJ56" s="55">
        <v>45</v>
      </c>
      <c r="EK56" s="55">
        <v>45</v>
      </c>
      <c r="EL56" s="55">
        <v>45</v>
      </c>
      <c r="EM56" s="55">
        <v>45</v>
      </c>
      <c r="EN56" s="55">
        <v>45</v>
      </c>
      <c r="EO56" s="55">
        <v>45</v>
      </c>
      <c r="EP56" s="77">
        <v>45</v>
      </c>
      <c r="EQ56" s="55">
        <v>45</v>
      </c>
      <c r="ER56" s="55">
        <v>45</v>
      </c>
      <c r="ES56" s="55">
        <v>45</v>
      </c>
      <c r="ET56" s="55">
        <v>45</v>
      </c>
      <c r="EU56" s="55">
        <v>45</v>
      </c>
      <c r="EV56" s="55">
        <v>45</v>
      </c>
      <c r="EW56" s="55">
        <v>45</v>
      </c>
      <c r="EX56" s="55">
        <v>45</v>
      </c>
      <c r="EY56" s="55">
        <v>45</v>
      </c>
      <c r="EZ56" s="55">
        <v>45</v>
      </c>
      <c r="FA56" s="83">
        <v>46</v>
      </c>
      <c r="FB56" s="160">
        <v>52</v>
      </c>
      <c r="FC56" s="160">
        <v>57</v>
      </c>
      <c r="FD56" s="160">
        <v>66</v>
      </c>
      <c r="FE56" s="160">
        <v>66</v>
      </c>
      <c r="FF56" s="160">
        <v>67</v>
      </c>
      <c r="FG56" s="160">
        <v>68</v>
      </c>
      <c r="FH56" s="160">
        <v>68</v>
      </c>
      <c r="FI56" s="160">
        <v>68</v>
      </c>
      <c r="FJ56" s="160">
        <v>70</v>
      </c>
      <c r="FK56" s="160">
        <v>70</v>
      </c>
      <c r="FL56" s="160">
        <v>70</v>
      </c>
      <c r="FM56" s="39">
        <v>70</v>
      </c>
      <c r="FN56" s="77">
        <v>71</v>
      </c>
      <c r="FO56" s="39">
        <v>72</v>
      </c>
      <c r="FP56" s="39">
        <v>75</v>
      </c>
      <c r="FQ56" s="39">
        <v>76</v>
      </c>
      <c r="FR56" s="39">
        <v>77</v>
      </c>
      <c r="FS56" s="39">
        <v>78</v>
      </c>
      <c r="FT56" s="39">
        <v>80</v>
      </c>
      <c r="FU56" s="39">
        <v>81</v>
      </c>
      <c r="FV56" s="39">
        <v>81</v>
      </c>
      <c r="FW56" s="39">
        <v>87</v>
      </c>
      <c r="FX56" s="39">
        <v>88</v>
      </c>
      <c r="FY56" s="197">
        <v>89</v>
      </c>
      <c r="FZ56" s="39">
        <v>91</v>
      </c>
      <c r="GA56" s="39">
        <v>91</v>
      </c>
      <c r="GB56" s="39">
        <v>96</v>
      </c>
      <c r="GC56" s="39">
        <v>98</v>
      </c>
      <c r="GD56" s="39">
        <v>98</v>
      </c>
      <c r="GE56" s="39">
        <v>99</v>
      </c>
      <c r="GF56" s="39">
        <v>102</v>
      </c>
      <c r="GG56" s="39">
        <v>104</v>
      </c>
      <c r="GH56" s="39">
        <v>105</v>
      </c>
      <c r="GI56" s="39">
        <v>108</v>
      </c>
      <c r="GJ56" s="39">
        <v>109</v>
      </c>
      <c r="GK56" s="197">
        <v>110</v>
      </c>
      <c r="GL56" s="39">
        <v>110</v>
      </c>
      <c r="GM56" s="39">
        <v>110</v>
      </c>
      <c r="GN56" s="39">
        <v>111</v>
      </c>
      <c r="GO56" s="39">
        <v>111</v>
      </c>
      <c r="GP56" s="39">
        <v>111</v>
      </c>
      <c r="GQ56" s="39">
        <v>111</v>
      </c>
    </row>
    <row r="57" spans="1:199" s="1" customFormat="1" ht="20.149999999999999" customHeight="1" thickBot="1" x14ac:dyDescent="0.4">
      <c r="A57" s="32" t="s">
        <v>267</v>
      </c>
      <c r="B57" s="64">
        <f>SUM(B51:B56)</f>
        <v>5092</v>
      </c>
      <c r="C57" s="65">
        <f t="shared" ref="C57:BN57" si="116">SUM(C51:C56)</f>
        <v>5683</v>
      </c>
      <c r="D57" s="65">
        <f t="shared" si="116"/>
        <v>6718</v>
      </c>
      <c r="E57" s="65">
        <f t="shared" si="116"/>
        <v>7778</v>
      </c>
      <c r="F57" s="65">
        <f t="shared" si="116"/>
        <v>9307</v>
      </c>
      <c r="G57" s="65">
        <f t="shared" si="116"/>
        <v>11240</v>
      </c>
      <c r="H57" s="65">
        <f t="shared" si="116"/>
        <v>13566</v>
      </c>
      <c r="I57" s="65">
        <f t="shared" si="116"/>
        <v>15859</v>
      </c>
      <c r="J57" s="65">
        <f t="shared" si="116"/>
        <v>18726</v>
      </c>
      <c r="K57" s="65">
        <f t="shared" si="116"/>
        <v>22198</v>
      </c>
      <c r="L57" s="65">
        <f t="shared" si="116"/>
        <v>26183</v>
      </c>
      <c r="M57" s="65">
        <f t="shared" si="116"/>
        <v>29237</v>
      </c>
      <c r="N57" s="64">
        <f t="shared" si="116"/>
        <v>33398</v>
      </c>
      <c r="O57" s="65">
        <f t="shared" si="116"/>
        <v>38086</v>
      </c>
      <c r="P57" s="65">
        <f t="shared" si="116"/>
        <v>45196</v>
      </c>
      <c r="Q57" s="65">
        <f t="shared" si="116"/>
        <v>51615</v>
      </c>
      <c r="R57" s="65">
        <f t="shared" si="116"/>
        <v>58992</v>
      </c>
      <c r="S57" s="65">
        <f t="shared" si="116"/>
        <v>68565</v>
      </c>
      <c r="T57" s="65">
        <f t="shared" si="116"/>
        <v>79892</v>
      </c>
      <c r="U57" s="65">
        <f t="shared" si="116"/>
        <v>94145</v>
      </c>
      <c r="V57" s="65">
        <f t="shared" si="116"/>
        <v>111675</v>
      </c>
      <c r="W57" s="65">
        <f t="shared" si="116"/>
        <v>132175</v>
      </c>
      <c r="X57" s="65">
        <f t="shared" si="116"/>
        <v>189424</v>
      </c>
      <c r="Y57" s="65">
        <f t="shared" si="116"/>
        <v>235881</v>
      </c>
      <c r="Z57" s="64">
        <f t="shared" si="116"/>
        <v>244405</v>
      </c>
      <c r="AA57" s="65">
        <f t="shared" si="116"/>
        <v>288511</v>
      </c>
      <c r="AB57" s="65">
        <f t="shared" si="116"/>
        <v>315613</v>
      </c>
      <c r="AC57" s="65">
        <f t="shared" si="116"/>
        <v>321141</v>
      </c>
      <c r="AD57" s="65">
        <f t="shared" si="116"/>
        <v>331657</v>
      </c>
      <c r="AE57" s="65">
        <f t="shared" si="116"/>
        <v>344942</v>
      </c>
      <c r="AF57" s="65">
        <f t="shared" si="116"/>
        <v>371724</v>
      </c>
      <c r="AG57" s="65">
        <f t="shared" si="116"/>
        <v>375756</v>
      </c>
      <c r="AH57" s="65">
        <f t="shared" si="116"/>
        <v>381147</v>
      </c>
      <c r="AI57" s="65">
        <f t="shared" si="116"/>
        <v>392049</v>
      </c>
      <c r="AJ57" s="65">
        <f t="shared" si="116"/>
        <v>398017</v>
      </c>
      <c r="AK57" s="65">
        <f t="shared" si="116"/>
        <v>404218</v>
      </c>
      <c r="AL57" s="64">
        <f t="shared" si="116"/>
        <v>410888</v>
      </c>
      <c r="AM57" s="65">
        <f t="shared" si="116"/>
        <v>418097</v>
      </c>
      <c r="AN57" s="65">
        <f t="shared" si="116"/>
        <v>426451</v>
      </c>
      <c r="AO57" s="65">
        <f t="shared" si="116"/>
        <v>435069</v>
      </c>
      <c r="AP57" s="65">
        <f t="shared" si="116"/>
        <v>443870</v>
      </c>
      <c r="AQ57" s="65">
        <f t="shared" si="116"/>
        <v>456784</v>
      </c>
      <c r="AR57" s="65">
        <f t="shared" si="116"/>
        <v>463848</v>
      </c>
      <c r="AS57" s="65">
        <f t="shared" si="116"/>
        <v>472194</v>
      </c>
      <c r="AT57" s="65">
        <f t="shared" si="116"/>
        <v>481079</v>
      </c>
      <c r="AU57" s="65">
        <f t="shared" si="116"/>
        <v>490535</v>
      </c>
      <c r="AV57" s="65">
        <f t="shared" si="116"/>
        <v>501308</v>
      </c>
      <c r="AW57" s="66">
        <f t="shared" si="116"/>
        <v>510367</v>
      </c>
      <c r="AX57" s="65">
        <f t="shared" si="116"/>
        <v>519120</v>
      </c>
      <c r="AY57" s="65">
        <f t="shared" si="116"/>
        <v>529473</v>
      </c>
      <c r="AZ57" s="65">
        <f t="shared" si="116"/>
        <v>545748</v>
      </c>
      <c r="BA57" s="65">
        <f t="shared" si="116"/>
        <v>554380</v>
      </c>
      <c r="BB57" s="65">
        <f t="shared" si="116"/>
        <v>563936</v>
      </c>
      <c r="BC57" s="65">
        <f t="shared" si="116"/>
        <v>574615</v>
      </c>
      <c r="BD57" s="65">
        <f t="shared" si="116"/>
        <v>586392</v>
      </c>
      <c r="BE57" s="65">
        <f t="shared" si="116"/>
        <v>597728</v>
      </c>
      <c r="BF57" s="65">
        <f t="shared" si="116"/>
        <v>611220</v>
      </c>
      <c r="BG57" s="65">
        <f t="shared" si="116"/>
        <v>625228</v>
      </c>
      <c r="BH57" s="65">
        <f t="shared" si="116"/>
        <v>638518</v>
      </c>
      <c r="BI57" s="66">
        <f t="shared" si="116"/>
        <v>652352</v>
      </c>
      <c r="BJ57" s="65">
        <f t="shared" si="116"/>
        <v>661317</v>
      </c>
      <c r="BK57" s="65">
        <f t="shared" si="116"/>
        <v>672293</v>
      </c>
      <c r="BL57" s="65">
        <f t="shared" si="116"/>
        <v>689705</v>
      </c>
      <c r="BM57" s="65">
        <f t="shared" si="116"/>
        <v>701109</v>
      </c>
      <c r="BN57" s="65">
        <f t="shared" si="116"/>
        <v>713197</v>
      </c>
      <c r="BO57" s="65">
        <f t="shared" ref="BO57:BV57" si="117">SUM(BO51:BO56)</f>
        <v>730476</v>
      </c>
      <c r="BP57" s="65">
        <f t="shared" si="117"/>
        <v>742664</v>
      </c>
      <c r="BQ57" s="65">
        <f t="shared" si="117"/>
        <v>755130</v>
      </c>
      <c r="BR57" s="65">
        <f t="shared" si="117"/>
        <v>776158</v>
      </c>
      <c r="BS57" s="65">
        <f t="shared" si="117"/>
        <v>793278</v>
      </c>
      <c r="BT57" s="65">
        <f t="shared" si="117"/>
        <v>815429</v>
      </c>
      <c r="BU57" s="66">
        <f t="shared" si="117"/>
        <v>841824</v>
      </c>
      <c r="BV57" s="65">
        <f t="shared" si="117"/>
        <v>857297</v>
      </c>
      <c r="BW57" s="65">
        <f t="shared" ref="BW57:EH57" si="118">SUM(BW51:BW56)</f>
        <v>860994</v>
      </c>
      <c r="BX57" s="65">
        <f t="shared" si="118"/>
        <v>865863</v>
      </c>
      <c r="BY57" s="65">
        <f t="shared" si="118"/>
        <v>869610</v>
      </c>
      <c r="BZ57" s="65">
        <f t="shared" si="118"/>
        <v>873333</v>
      </c>
      <c r="CA57" s="65">
        <f t="shared" si="118"/>
        <v>877770</v>
      </c>
      <c r="CB57" s="65">
        <f t="shared" si="118"/>
        <v>881302</v>
      </c>
      <c r="CC57" s="65">
        <f t="shared" si="118"/>
        <v>884750</v>
      </c>
      <c r="CD57" s="65">
        <f t="shared" si="118"/>
        <v>889715</v>
      </c>
      <c r="CE57" s="65">
        <f t="shared" si="118"/>
        <v>892598</v>
      </c>
      <c r="CF57" s="65">
        <f t="shared" si="118"/>
        <v>896117</v>
      </c>
      <c r="CG57" s="65">
        <f t="shared" si="118"/>
        <v>898767</v>
      </c>
      <c r="CH57" s="78">
        <f t="shared" si="118"/>
        <v>901303</v>
      </c>
      <c r="CI57" s="65">
        <f t="shared" si="118"/>
        <v>904154</v>
      </c>
      <c r="CJ57" s="65">
        <f t="shared" si="118"/>
        <v>908203</v>
      </c>
      <c r="CK57" s="65">
        <f t="shared" si="118"/>
        <v>910633</v>
      </c>
      <c r="CL57" s="65">
        <f t="shared" si="118"/>
        <v>913896</v>
      </c>
      <c r="CM57" s="65">
        <f t="shared" si="118"/>
        <v>917187</v>
      </c>
      <c r="CN57" s="65">
        <f t="shared" si="118"/>
        <v>920055</v>
      </c>
      <c r="CO57" s="65">
        <f t="shared" si="118"/>
        <v>923283</v>
      </c>
      <c r="CP57" s="65">
        <f t="shared" si="118"/>
        <v>926675</v>
      </c>
      <c r="CQ57" s="65">
        <f t="shared" si="118"/>
        <v>929863</v>
      </c>
      <c r="CR57" s="65">
        <f t="shared" si="118"/>
        <v>933672</v>
      </c>
      <c r="CS57" s="65">
        <f t="shared" si="118"/>
        <v>936152</v>
      </c>
      <c r="CT57" s="78">
        <f t="shared" si="118"/>
        <v>938974</v>
      </c>
      <c r="CU57" s="65">
        <f t="shared" si="118"/>
        <v>941739</v>
      </c>
      <c r="CV57" s="65">
        <f t="shared" si="118"/>
        <v>945126</v>
      </c>
      <c r="CW57" s="65">
        <f t="shared" si="118"/>
        <v>948164</v>
      </c>
      <c r="CX57" s="65">
        <f t="shared" si="118"/>
        <v>951547</v>
      </c>
      <c r="CY57" s="65">
        <f t="shared" si="118"/>
        <v>955045</v>
      </c>
      <c r="CZ57" s="65">
        <f t="shared" si="118"/>
        <v>958334</v>
      </c>
      <c r="DA57" s="65">
        <f t="shared" si="118"/>
        <v>962100</v>
      </c>
      <c r="DB57" s="65">
        <f t="shared" si="118"/>
        <v>965968</v>
      </c>
      <c r="DC57" s="65">
        <f t="shared" si="118"/>
        <v>970434</v>
      </c>
      <c r="DD57" s="65">
        <f t="shared" si="118"/>
        <v>975326</v>
      </c>
      <c r="DE57" s="65">
        <f t="shared" si="118"/>
        <v>979371</v>
      </c>
      <c r="DF57" s="78">
        <f t="shared" si="118"/>
        <v>984454</v>
      </c>
      <c r="DG57" s="65">
        <f t="shared" si="118"/>
        <v>990544</v>
      </c>
      <c r="DH57" s="65">
        <f t="shared" si="118"/>
        <v>1005599</v>
      </c>
      <c r="DI57" s="65">
        <f t="shared" si="118"/>
        <v>1007721</v>
      </c>
      <c r="DJ57" s="65">
        <f t="shared" si="118"/>
        <v>1010388</v>
      </c>
      <c r="DK57" s="65">
        <f t="shared" si="118"/>
        <v>1013300</v>
      </c>
      <c r="DL57" s="65">
        <f t="shared" si="118"/>
        <v>1016253</v>
      </c>
      <c r="DM57" s="65">
        <f t="shared" si="118"/>
        <v>1019370</v>
      </c>
      <c r="DN57" s="65">
        <f t="shared" si="118"/>
        <v>1022796</v>
      </c>
      <c r="DO57" s="65">
        <f t="shared" si="118"/>
        <v>1026377</v>
      </c>
      <c r="DP57" s="65">
        <f t="shared" si="118"/>
        <v>1030041</v>
      </c>
      <c r="DQ57" s="65">
        <f t="shared" si="118"/>
        <v>1032545</v>
      </c>
      <c r="DR57" s="78">
        <f t="shared" si="118"/>
        <v>1035725</v>
      </c>
      <c r="DS57" s="65">
        <f t="shared" si="118"/>
        <v>1038795</v>
      </c>
      <c r="DT57" s="65">
        <f t="shared" si="118"/>
        <v>1042064</v>
      </c>
      <c r="DU57" s="65">
        <f t="shared" si="118"/>
        <v>1042737</v>
      </c>
      <c r="DV57" s="65">
        <f t="shared" si="118"/>
        <v>1043821</v>
      </c>
      <c r="DW57" s="65">
        <f t="shared" si="118"/>
        <v>1046241</v>
      </c>
      <c r="DX57" s="65">
        <f t="shared" si="118"/>
        <v>1049545</v>
      </c>
      <c r="DY57" s="65">
        <f t="shared" si="118"/>
        <v>1052821</v>
      </c>
      <c r="DZ57" s="65">
        <f t="shared" si="118"/>
        <v>1056961</v>
      </c>
      <c r="EA57" s="65">
        <f t="shared" si="118"/>
        <v>1060965</v>
      </c>
      <c r="EB57" s="65">
        <f t="shared" si="118"/>
        <v>1065318</v>
      </c>
      <c r="EC57" s="65">
        <f t="shared" si="118"/>
        <v>1068474</v>
      </c>
      <c r="ED57" s="78">
        <f t="shared" si="118"/>
        <v>1072159</v>
      </c>
      <c r="EE57" s="65">
        <f t="shared" si="118"/>
        <v>1075744</v>
      </c>
      <c r="EF57" s="65">
        <f t="shared" si="118"/>
        <v>1080739</v>
      </c>
      <c r="EG57" s="65">
        <f t="shared" si="118"/>
        <v>1085743</v>
      </c>
      <c r="EH57" s="65">
        <f t="shared" si="118"/>
        <v>1090817</v>
      </c>
      <c r="EI57" s="65">
        <f t="shared" ref="EI57:EX57" si="119">SUM(EI51:EI56)</f>
        <v>1096080</v>
      </c>
      <c r="EJ57" s="65">
        <f t="shared" si="119"/>
        <v>1100991</v>
      </c>
      <c r="EK57" s="65">
        <f t="shared" si="119"/>
        <v>1106100</v>
      </c>
      <c r="EL57" s="65">
        <f t="shared" si="119"/>
        <v>1112077</v>
      </c>
      <c r="EM57" s="65">
        <f t="shared" si="119"/>
        <v>1117700</v>
      </c>
      <c r="EN57" s="65">
        <f t="shared" si="119"/>
        <v>1124844</v>
      </c>
      <c r="EO57" s="65">
        <f t="shared" si="119"/>
        <v>1130031</v>
      </c>
      <c r="EP57" s="78">
        <f t="shared" si="119"/>
        <v>1136199</v>
      </c>
      <c r="EQ57" s="65">
        <f t="shared" si="119"/>
        <v>1143784</v>
      </c>
      <c r="ER57" s="65">
        <f t="shared" si="119"/>
        <v>1153951</v>
      </c>
      <c r="ES57" s="65">
        <f t="shared" si="119"/>
        <v>1163853</v>
      </c>
      <c r="ET57" s="65">
        <f t="shared" si="119"/>
        <v>1175139</v>
      </c>
      <c r="EU57" s="65">
        <f t="shared" si="119"/>
        <v>1186730</v>
      </c>
      <c r="EV57" s="65">
        <f t="shared" si="119"/>
        <v>1198067</v>
      </c>
      <c r="EW57" s="65">
        <f t="shared" si="119"/>
        <v>1210613</v>
      </c>
      <c r="EX57" s="65">
        <f t="shared" si="119"/>
        <v>1225317</v>
      </c>
      <c r="EY57" s="65">
        <f t="shared" ref="EY57:FA57" si="120">SUM(EY51:EY56)</f>
        <v>1239774</v>
      </c>
      <c r="EZ57" s="65">
        <f t="shared" si="120"/>
        <v>1256308</v>
      </c>
      <c r="FA57" s="84">
        <f t="shared" si="120"/>
        <v>1268812</v>
      </c>
      <c r="FB57" s="65">
        <f t="shared" ref="FB57:FC57" si="121">SUM(FB51:FB56)</f>
        <v>1285533</v>
      </c>
      <c r="FC57" s="65">
        <f t="shared" si="121"/>
        <v>1303426</v>
      </c>
      <c r="FD57" s="65">
        <f t="shared" ref="FD57:FE57" si="122">SUM(FD51:FD56)</f>
        <v>1323777</v>
      </c>
      <c r="FE57" s="65">
        <f t="shared" si="122"/>
        <v>1340004</v>
      </c>
      <c r="FF57" s="65">
        <f t="shared" ref="FF57" si="123">SUM(FF51:FF56)</f>
        <v>1358342</v>
      </c>
      <c r="FG57" s="65">
        <f t="shared" ref="FG57:FH57" si="124">SUM(FG51:FG56)</f>
        <v>1377129</v>
      </c>
      <c r="FH57" s="65">
        <f t="shared" si="124"/>
        <v>1393180</v>
      </c>
      <c r="FI57" s="65">
        <f t="shared" ref="FI57:FJ57" si="125">SUM(FI51:FI56)</f>
        <v>1409457</v>
      </c>
      <c r="FJ57" s="65">
        <f t="shared" si="125"/>
        <v>1425438</v>
      </c>
      <c r="FK57" s="159">
        <f t="shared" ref="FK57:FL57" si="126">SUM(FK51:FK56)</f>
        <v>1441246</v>
      </c>
      <c r="FL57" s="159">
        <f t="shared" si="126"/>
        <v>1457493</v>
      </c>
      <c r="FM57" s="159">
        <f t="shared" ref="FM57:FN57" si="127">SUM(FM51:FM56)</f>
        <v>1467830</v>
      </c>
      <c r="FN57" s="78">
        <f t="shared" si="127"/>
        <v>1481213</v>
      </c>
      <c r="FO57" s="159">
        <f t="shared" ref="FO57" si="128">SUM(FO51:FO56)</f>
        <v>1495361</v>
      </c>
      <c r="FP57" s="159">
        <f t="shared" ref="FP57" si="129">SUM(FP51:FP56)</f>
        <v>1510565</v>
      </c>
      <c r="FQ57" s="159">
        <f t="shared" ref="FQ57:FY57" si="130">SUM(FQ51:FQ56)</f>
        <v>1526204</v>
      </c>
      <c r="FR57" s="159">
        <f t="shared" si="130"/>
        <v>1542567</v>
      </c>
      <c r="FS57" s="159">
        <f t="shared" si="130"/>
        <v>1558514</v>
      </c>
      <c r="FT57" s="159">
        <f t="shared" si="130"/>
        <v>1575119</v>
      </c>
      <c r="FU57" s="159">
        <f t="shared" si="130"/>
        <v>1590873</v>
      </c>
      <c r="FV57" s="159">
        <f t="shared" si="130"/>
        <v>1608169</v>
      </c>
      <c r="FW57" s="159">
        <f t="shared" si="130"/>
        <v>1628389</v>
      </c>
      <c r="FX57" s="159">
        <f t="shared" si="130"/>
        <v>1649704</v>
      </c>
      <c r="FY57" s="199">
        <f t="shared" si="130"/>
        <v>1663942</v>
      </c>
      <c r="FZ57" s="159">
        <f t="shared" ref="FZ57:GB57" si="131">SUM(FZ51:FZ56)</f>
        <v>1681700</v>
      </c>
      <c r="GA57" s="159">
        <f t="shared" si="131"/>
        <v>1702317</v>
      </c>
      <c r="GB57" s="159">
        <f t="shared" si="131"/>
        <v>1727204</v>
      </c>
      <c r="GC57" s="159">
        <f t="shared" ref="GC57:GD57" si="132">SUM(GC51:GC56)</f>
        <v>1747868</v>
      </c>
      <c r="GD57" s="159">
        <f t="shared" si="132"/>
        <v>1771443</v>
      </c>
      <c r="GE57" s="159">
        <f t="shared" ref="GE57:GG57" si="133">SUM(GE51:GE56)</f>
        <v>1795458</v>
      </c>
      <c r="GF57" s="159">
        <f t="shared" si="133"/>
        <v>1818684</v>
      </c>
      <c r="GG57" s="159">
        <f t="shared" si="133"/>
        <v>1839420</v>
      </c>
      <c r="GH57" s="159">
        <f t="shared" ref="GH57:GI57" si="134">SUM(GH51:GH56)</f>
        <v>1863675</v>
      </c>
      <c r="GI57" s="159">
        <f t="shared" si="134"/>
        <v>1890271</v>
      </c>
      <c r="GJ57" s="159">
        <f t="shared" ref="GJ57:GK57" si="135">SUM(GJ51:GJ56)</f>
        <v>1914583</v>
      </c>
      <c r="GK57" s="199">
        <f t="shared" si="135"/>
        <v>1933268</v>
      </c>
      <c r="GL57" s="159">
        <f t="shared" ref="GL57:GM57" si="136">SUM(GL51:GL56)</f>
        <v>1953218</v>
      </c>
      <c r="GM57" s="159">
        <f t="shared" si="136"/>
        <v>1976548</v>
      </c>
      <c r="GN57" s="159">
        <f t="shared" ref="GN57:GO57" si="137">SUM(GN51:GN56)</f>
        <v>2005330</v>
      </c>
      <c r="GO57" s="159">
        <f t="shared" si="137"/>
        <v>2029113</v>
      </c>
      <c r="GP57" s="159">
        <f t="shared" ref="GP57:GQ57" si="138">SUM(GP51:GP56)</f>
        <v>2048413</v>
      </c>
      <c r="GQ57" s="159">
        <f t="shared" si="138"/>
        <v>2075804</v>
      </c>
    </row>
    <row r="58" spans="1:199" s="25" customFormat="1" ht="20.149999999999999" customHeight="1" thickTop="1" x14ac:dyDescent="0.35">
      <c r="A58" s="90" t="s">
        <v>271</v>
      </c>
      <c r="B58" s="128">
        <v>4454</v>
      </c>
      <c r="C58" s="128">
        <v>5031</v>
      </c>
      <c r="D58" s="128">
        <v>6038</v>
      </c>
      <c r="E58" s="128">
        <v>7074</v>
      </c>
      <c r="F58" s="128">
        <v>8576</v>
      </c>
      <c r="G58" s="128">
        <v>10453</v>
      </c>
      <c r="H58" s="128">
        <v>12728</v>
      </c>
      <c r="I58" s="128">
        <v>14976</v>
      </c>
      <c r="J58" s="128">
        <v>17796</v>
      </c>
      <c r="K58" s="128">
        <v>21220</v>
      </c>
      <c r="L58" s="128">
        <v>25130</v>
      </c>
      <c r="M58" s="130">
        <v>28127</v>
      </c>
      <c r="N58" s="128">
        <v>32191</v>
      </c>
      <c r="O58" s="128">
        <v>36790</v>
      </c>
      <c r="P58" s="128">
        <v>43745</v>
      </c>
      <c r="Q58" s="128">
        <v>49989</v>
      </c>
      <c r="R58" s="128">
        <v>57190</v>
      </c>
      <c r="S58" s="128">
        <v>66508</v>
      </c>
      <c r="T58" s="128">
        <v>77415</v>
      </c>
      <c r="U58" s="128">
        <v>91361</v>
      </c>
      <c r="V58" s="128">
        <v>108550</v>
      </c>
      <c r="W58" s="128">
        <v>128648</v>
      </c>
      <c r="X58" s="128">
        <v>184293</v>
      </c>
      <c r="Y58" s="130">
        <v>228592</v>
      </c>
      <c r="Z58" s="128">
        <v>237030</v>
      </c>
      <c r="AA58" s="128">
        <v>279429</v>
      </c>
      <c r="AB58" s="128">
        <v>305522</v>
      </c>
      <c r="AC58" s="128">
        <v>310908</v>
      </c>
      <c r="AD58" s="128">
        <v>321163</v>
      </c>
      <c r="AE58" s="128">
        <v>334031</v>
      </c>
      <c r="AF58" s="128">
        <v>359447</v>
      </c>
      <c r="AG58" s="128">
        <v>363387</v>
      </c>
      <c r="AH58" s="128">
        <v>368662</v>
      </c>
      <c r="AI58" s="128">
        <v>379202</v>
      </c>
      <c r="AJ58" s="128">
        <v>385071</v>
      </c>
      <c r="AK58" s="130">
        <v>391150</v>
      </c>
      <c r="AL58" s="128">
        <v>397665</v>
      </c>
      <c r="AM58" s="128">
        <v>404652</v>
      </c>
      <c r="AN58" s="128">
        <v>412640</v>
      </c>
      <c r="AO58" s="128">
        <v>420895</v>
      </c>
      <c r="AP58" s="128">
        <v>429350</v>
      </c>
      <c r="AQ58" s="128">
        <v>441566</v>
      </c>
      <c r="AR58" s="128">
        <v>448394</v>
      </c>
      <c r="AS58" s="128">
        <v>456464</v>
      </c>
      <c r="AT58" s="128">
        <v>465074</v>
      </c>
      <c r="AU58" s="128">
        <v>474285</v>
      </c>
      <c r="AV58" s="128">
        <v>484793</v>
      </c>
      <c r="AW58" s="130">
        <v>493566</v>
      </c>
      <c r="AX58" s="128">
        <v>502081</v>
      </c>
      <c r="AY58" s="128">
        <v>512175</v>
      </c>
      <c r="AZ58" s="128">
        <v>527583</v>
      </c>
      <c r="BA58" s="128">
        <v>536049</v>
      </c>
      <c r="BB58" s="128">
        <v>545355</v>
      </c>
      <c r="BC58" s="128">
        <v>555632</v>
      </c>
      <c r="BD58" s="128">
        <v>567097</v>
      </c>
      <c r="BE58" s="128">
        <v>578104</v>
      </c>
      <c r="BF58" s="128">
        <v>591123</v>
      </c>
      <c r="BG58" s="128">
        <v>604710</v>
      </c>
      <c r="BH58" s="128">
        <v>617625</v>
      </c>
      <c r="BI58" s="130">
        <v>630898</v>
      </c>
      <c r="BJ58" s="128">
        <v>639640</v>
      </c>
      <c r="BK58" s="128">
        <v>650358</v>
      </c>
      <c r="BL58" s="128">
        <v>666805</v>
      </c>
      <c r="BM58" s="128">
        <v>677872</v>
      </c>
      <c r="BN58" s="128">
        <v>689623</v>
      </c>
      <c r="BO58" s="128">
        <v>706289</v>
      </c>
      <c r="BP58" s="128">
        <v>718044</v>
      </c>
      <c r="BQ58" s="128">
        <v>730040</v>
      </c>
      <c r="BR58" s="128">
        <v>750065</v>
      </c>
      <c r="BS58" s="128">
        <v>766553</v>
      </c>
      <c r="BT58" s="128">
        <v>786746</v>
      </c>
      <c r="BU58" s="130">
        <v>810030</v>
      </c>
      <c r="BV58" s="128">
        <v>823392</v>
      </c>
      <c r="BW58" s="128">
        <v>826272</v>
      </c>
      <c r="BX58" s="128">
        <v>829926</v>
      </c>
      <c r="BY58" s="128">
        <v>832874</v>
      </c>
      <c r="BZ58" s="128">
        <v>835877</v>
      </c>
      <c r="CA58" s="128">
        <v>839402</v>
      </c>
      <c r="CB58" s="128">
        <v>842196</v>
      </c>
      <c r="CC58" s="128">
        <v>844898</v>
      </c>
      <c r="CD58" s="128">
        <v>848605</v>
      </c>
      <c r="CE58" s="128">
        <v>850832</v>
      </c>
      <c r="CF58" s="128">
        <v>853474</v>
      </c>
      <c r="CG58" s="130">
        <v>855516</v>
      </c>
      <c r="CH58" s="128">
        <v>857335</v>
      </c>
      <c r="CI58" s="128">
        <v>859440</v>
      </c>
      <c r="CJ58" s="128">
        <v>862361</v>
      </c>
      <c r="CK58" s="128">
        <v>864171</v>
      </c>
      <c r="CL58" s="128">
        <v>866450</v>
      </c>
      <c r="CM58" s="128">
        <v>868754</v>
      </c>
      <c r="CN58" s="128">
        <v>870887</v>
      </c>
      <c r="CO58" s="128">
        <v>873315</v>
      </c>
      <c r="CP58" s="128">
        <v>875781</v>
      </c>
      <c r="CQ58" s="128">
        <v>878028</v>
      </c>
      <c r="CR58" s="128">
        <v>880675</v>
      </c>
      <c r="CS58" s="130">
        <v>882486</v>
      </c>
      <c r="CT58" s="128">
        <v>884490</v>
      </c>
      <c r="CU58" s="128">
        <v>886385</v>
      </c>
      <c r="CV58" s="128">
        <v>888759</v>
      </c>
      <c r="CW58" s="128">
        <v>890922</v>
      </c>
      <c r="CX58" s="128">
        <v>893352</v>
      </c>
      <c r="CY58" s="128">
        <v>895803</v>
      </c>
      <c r="CZ58" s="128">
        <v>898079</v>
      </c>
      <c r="DA58" s="128">
        <v>900727</v>
      </c>
      <c r="DB58" s="128">
        <v>903588</v>
      </c>
      <c r="DC58" s="128">
        <v>906788</v>
      </c>
      <c r="DD58" s="128">
        <v>910333</v>
      </c>
      <c r="DE58" s="130">
        <v>913399</v>
      </c>
      <c r="DF58" s="128">
        <v>917468</v>
      </c>
      <c r="DG58" s="128">
        <v>922221</v>
      </c>
      <c r="DH58" s="128">
        <v>933434</v>
      </c>
      <c r="DI58" s="128">
        <v>934210</v>
      </c>
      <c r="DJ58" s="128">
        <v>935239</v>
      </c>
      <c r="DK58" s="128">
        <v>936324</v>
      </c>
      <c r="DL58" s="128">
        <v>937690</v>
      </c>
      <c r="DM58" s="128">
        <v>939135</v>
      </c>
      <c r="DN58" s="128">
        <v>940763</v>
      </c>
      <c r="DO58" s="128">
        <v>942545</v>
      </c>
      <c r="DP58" s="128">
        <v>944226</v>
      </c>
      <c r="DQ58" s="130">
        <v>945416</v>
      </c>
      <c r="DR58" s="128">
        <v>947106</v>
      </c>
      <c r="DS58" s="128">
        <v>948775</v>
      </c>
      <c r="DT58" s="128">
        <v>950495</v>
      </c>
      <c r="DU58" s="128">
        <v>950996</v>
      </c>
      <c r="DV58" s="128">
        <v>951816</v>
      </c>
      <c r="DW58" s="128">
        <v>953341</v>
      </c>
      <c r="DX58" s="128">
        <v>955242</v>
      </c>
      <c r="DY58" s="128">
        <v>957046</v>
      </c>
      <c r="DZ58" s="128">
        <v>959290</v>
      </c>
      <c r="EA58" s="128">
        <v>961537</v>
      </c>
      <c r="EB58" s="128">
        <v>964186</v>
      </c>
      <c r="EC58" s="130">
        <v>966631</v>
      </c>
      <c r="ED58" s="128">
        <v>969792</v>
      </c>
      <c r="EE58" s="128">
        <v>972593</v>
      </c>
      <c r="EF58" s="128">
        <v>976670</v>
      </c>
      <c r="EG58" s="128">
        <v>980784</v>
      </c>
      <c r="EH58" s="128">
        <v>984974</v>
      </c>
      <c r="EI58" s="128">
        <v>988953</v>
      </c>
      <c r="EJ58" s="128">
        <v>992483</v>
      </c>
      <c r="EK58" s="128">
        <v>996197</v>
      </c>
      <c r="EL58" s="128">
        <v>1000486</v>
      </c>
      <c r="EM58" s="128">
        <v>1004439</v>
      </c>
      <c r="EN58" s="128">
        <v>1009464</v>
      </c>
      <c r="EO58" s="129">
        <v>1013091</v>
      </c>
      <c r="EP58" s="128">
        <v>1017651</v>
      </c>
      <c r="EQ58" s="128">
        <v>1023279</v>
      </c>
      <c r="ER58" s="128">
        <v>1031027</v>
      </c>
      <c r="ES58" s="128">
        <v>1038729</v>
      </c>
      <c r="ET58" s="128">
        <v>1047838</v>
      </c>
      <c r="EU58" s="128">
        <v>1057171</v>
      </c>
      <c r="EV58" s="128">
        <v>1066342</v>
      </c>
      <c r="EW58" s="128">
        <v>1076661</v>
      </c>
      <c r="EX58" s="128">
        <v>1089132</v>
      </c>
      <c r="EY58" s="128">
        <v>1101182</v>
      </c>
      <c r="EZ58" s="128">
        <v>1114981</v>
      </c>
      <c r="FA58" s="130">
        <v>1125416</v>
      </c>
      <c r="FB58" s="128">
        <v>1140084</v>
      </c>
      <c r="FC58" s="128">
        <v>1155491</v>
      </c>
      <c r="FD58" s="128">
        <v>1173020</v>
      </c>
      <c r="FE58" s="128">
        <v>1186936</v>
      </c>
      <c r="FF58" s="128">
        <v>1202171</v>
      </c>
      <c r="FG58" s="128">
        <v>1217860</v>
      </c>
      <c r="FH58" s="128">
        <v>1231230</v>
      </c>
      <c r="FI58" s="128">
        <v>1244746</v>
      </c>
      <c r="FJ58" s="156">
        <v>1258159</v>
      </c>
      <c r="FK58" s="156">
        <v>1271096</v>
      </c>
      <c r="FL58" s="156">
        <v>1284287</v>
      </c>
      <c r="FM58" s="156">
        <v>1292769</v>
      </c>
      <c r="FN58" s="168">
        <v>1303949</v>
      </c>
      <c r="FO58" s="156">
        <v>1315672</v>
      </c>
      <c r="FP58" s="156">
        <v>1328233</v>
      </c>
      <c r="FQ58" s="156">
        <v>1341125</v>
      </c>
      <c r="FR58" s="156">
        <v>1354196</v>
      </c>
      <c r="FS58" s="156">
        <v>1366627</v>
      </c>
      <c r="FT58" s="156">
        <v>1379336</v>
      </c>
      <c r="FU58" s="156">
        <v>1391300</v>
      </c>
      <c r="FV58" s="156">
        <v>1404172</v>
      </c>
      <c r="FW58" s="156">
        <v>1418992</v>
      </c>
      <c r="FX58" s="156">
        <v>1433743</v>
      </c>
      <c r="FY58" s="200">
        <v>1444043</v>
      </c>
      <c r="FZ58" s="156">
        <v>1457500</v>
      </c>
      <c r="GA58" s="156">
        <v>1472213</v>
      </c>
      <c r="GB58" s="156">
        <v>1489434</v>
      </c>
      <c r="GC58" s="156">
        <v>1503505</v>
      </c>
      <c r="GD58" s="156">
        <v>1519139</v>
      </c>
      <c r="GE58" s="156">
        <v>1534726</v>
      </c>
      <c r="GF58" s="156">
        <v>1551110</v>
      </c>
      <c r="GG58" s="156">
        <v>1565467</v>
      </c>
      <c r="GH58" s="156">
        <v>1581815</v>
      </c>
      <c r="GI58" s="156">
        <v>1599243</v>
      </c>
      <c r="GJ58" s="156">
        <v>1614568</v>
      </c>
      <c r="GK58" s="200">
        <v>1626567</v>
      </c>
      <c r="GL58" s="156">
        <v>1639982</v>
      </c>
      <c r="GM58" s="156">
        <v>1655678</v>
      </c>
      <c r="GN58" s="156">
        <v>1674779</v>
      </c>
      <c r="GO58" s="156">
        <v>1690914</v>
      </c>
      <c r="GP58" s="156">
        <v>1703296</v>
      </c>
      <c r="GQ58" s="156">
        <v>1721751</v>
      </c>
    </row>
    <row r="59" spans="1:199" s="1" customFormat="1" ht="20.149999999999999" customHeight="1" x14ac:dyDescent="0.3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1"/>
      <c r="DK59" s="41"/>
      <c r="DL59" s="41"/>
      <c r="DM59" s="41"/>
      <c r="DN59" s="41"/>
      <c r="DO59" s="41"/>
      <c r="DP59" s="41"/>
      <c r="DQ59" s="41"/>
      <c r="DR59" s="41"/>
      <c r="DS59" s="41"/>
      <c r="DT59" s="41"/>
      <c r="DU59" s="41"/>
      <c r="DV59" s="41"/>
      <c r="DW59" s="41"/>
      <c r="DX59" s="41"/>
      <c r="DY59" s="41"/>
      <c r="DZ59" s="41"/>
      <c r="EA59" s="41"/>
      <c r="EB59" s="41"/>
      <c r="EC59" s="41"/>
      <c r="ED59" s="70"/>
      <c r="EE59" s="70"/>
      <c r="EF59" s="70"/>
      <c r="EG59" s="70"/>
      <c r="EH59" s="70"/>
      <c r="EI59" s="70"/>
      <c r="EJ59" s="70"/>
      <c r="EK59" s="70"/>
      <c r="EL59" s="70"/>
      <c r="EM59" s="70"/>
      <c r="EN59" s="70"/>
      <c r="EO59" s="70"/>
      <c r="EP59" s="70"/>
      <c r="EQ59" s="70"/>
      <c r="ER59" s="70"/>
      <c r="ES59" s="70"/>
      <c r="ET59" s="70"/>
      <c r="EU59" s="70"/>
      <c r="EV59" s="70"/>
      <c r="EW59" s="70"/>
      <c r="EX59" s="70"/>
      <c r="EY59" s="70"/>
      <c r="EZ59" s="70"/>
      <c r="FA59" s="70"/>
    </row>
    <row r="60" spans="1:199" s="1" customFormat="1" ht="20.149999999999999" customHeight="1" x14ac:dyDescent="0.35">
      <c r="A60" s="6"/>
      <c r="B60" s="70"/>
      <c r="C60" s="160"/>
      <c r="D60" s="160"/>
      <c r="E60" s="160"/>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0"/>
      <c r="BB60" s="160"/>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0"/>
      <c r="CA60" s="160"/>
      <c r="CB60" s="160"/>
      <c r="CC60" s="160"/>
      <c r="CD60" s="160"/>
      <c r="CE60" s="160"/>
      <c r="CF60" s="160"/>
      <c r="CG60" s="160"/>
      <c r="CH60" s="160"/>
      <c r="CI60" s="160"/>
      <c r="CJ60" s="160"/>
      <c r="CK60" s="160"/>
      <c r="CL60" s="160"/>
      <c r="CM60" s="160"/>
      <c r="CN60" s="160"/>
      <c r="CO60" s="160"/>
      <c r="CP60" s="160"/>
      <c r="CQ60" s="160"/>
      <c r="CR60" s="160"/>
      <c r="CS60" s="160"/>
      <c r="CT60" s="160"/>
      <c r="CU60" s="160"/>
      <c r="CV60" s="160"/>
      <c r="CW60" s="160"/>
      <c r="CX60" s="160"/>
      <c r="CY60" s="160"/>
      <c r="CZ60" s="160"/>
      <c r="DA60" s="160"/>
      <c r="DB60" s="160"/>
      <c r="DC60" s="160"/>
      <c r="DD60" s="160"/>
      <c r="DE60" s="160"/>
      <c r="DF60" s="160"/>
      <c r="DG60" s="160"/>
      <c r="DH60" s="160"/>
      <c r="DI60" s="160"/>
      <c r="DJ60" s="160"/>
      <c r="DK60" s="160"/>
      <c r="DL60" s="160"/>
      <c r="DM60" s="160"/>
      <c r="DN60" s="160"/>
      <c r="DO60" s="160"/>
      <c r="DP60" s="160"/>
      <c r="DQ60" s="160"/>
      <c r="DR60" s="160"/>
      <c r="DS60" s="160"/>
      <c r="DT60" s="160"/>
      <c r="DU60" s="160"/>
      <c r="DV60" s="160"/>
      <c r="DW60" s="160"/>
      <c r="DX60" s="160"/>
      <c r="DY60" s="160"/>
      <c r="DZ60" s="160"/>
      <c r="EA60" s="160"/>
      <c r="EB60" s="160"/>
      <c r="EC60" s="160"/>
      <c r="ED60" s="160"/>
      <c r="EE60" s="160"/>
      <c r="EF60" s="160"/>
      <c r="EG60" s="160"/>
      <c r="EH60" s="160"/>
      <c r="EI60" s="160"/>
      <c r="EJ60" s="160"/>
      <c r="EK60" s="160"/>
      <c r="EL60" s="160"/>
      <c r="EM60" s="160"/>
      <c r="EN60" s="160"/>
      <c r="EO60" s="160"/>
      <c r="EP60" s="160"/>
      <c r="EQ60" s="160"/>
      <c r="ER60" s="160"/>
      <c r="ES60" s="160"/>
      <c r="ET60" s="160"/>
      <c r="EU60" s="160"/>
      <c r="EV60" s="160"/>
      <c r="EW60" s="160"/>
      <c r="EX60" s="160"/>
      <c r="EY60" s="160"/>
      <c r="EZ60" s="160"/>
      <c r="FA60" s="160"/>
      <c r="FB60" s="160"/>
      <c r="FC60" s="160"/>
      <c r="FD60" s="160"/>
      <c r="FE60" s="160"/>
      <c r="FF60" s="160"/>
      <c r="FG60" s="160"/>
      <c r="FH60" s="160"/>
      <c r="FI60" s="160"/>
      <c r="FJ60" s="160"/>
      <c r="FK60" s="160"/>
      <c r="FL60" s="160"/>
      <c r="FM60" s="160"/>
      <c r="FN60" s="160"/>
      <c r="FO60" s="160"/>
      <c r="FP60" s="160"/>
      <c r="FQ60" s="160"/>
      <c r="FR60" s="160"/>
      <c r="FS60" s="160"/>
      <c r="FT60" s="160"/>
      <c r="FU60" s="160"/>
      <c r="FV60" s="160"/>
      <c r="FW60" s="160"/>
      <c r="FX60" s="160"/>
      <c r="FY60" s="160"/>
      <c r="GA60" s="160"/>
      <c r="GB60" s="160"/>
      <c r="GC60" s="160"/>
      <c r="GD60" s="160"/>
      <c r="GE60" s="160"/>
      <c r="GF60" s="160"/>
      <c r="GG60" s="160"/>
      <c r="GH60" s="160"/>
      <c r="GI60" s="160"/>
      <c r="GJ60" s="160"/>
      <c r="GK60" s="160"/>
      <c r="GL60" s="160"/>
      <c r="GM60" s="160"/>
      <c r="GN60" s="160"/>
      <c r="GO60" s="160"/>
      <c r="GP60" s="160"/>
    </row>
    <row r="61" spans="1:199" s="1" customFormat="1" ht="20.149999999999999" customHeight="1" x14ac:dyDescent="0.35">
      <c r="A61" s="6"/>
      <c r="B61" s="6"/>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0"/>
      <c r="CD61" s="70"/>
      <c r="CE61" s="70"/>
      <c r="CF61" s="70"/>
      <c r="CG61" s="70"/>
      <c r="CH61" s="153"/>
      <c r="CI61" s="153"/>
      <c r="CJ61" s="153"/>
      <c r="CK61" s="153"/>
      <c r="CL61" s="153"/>
      <c r="CM61" s="153"/>
      <c r="CN61" s="153"/>
      <c r="CO61" s="153"/>
      <c r="CP61" s="153"/>
      <c r="CQ61" s="153"/>
      <c r="CR61" s="153"/>
      <c r="CS61" s="153"/>
      <c r="CT61" s="153"/>
      <c r="CU61" s="153"/>
      <c r="CV61" s="153"/>
      <c r="CW61" s="153"/>
      <c r="CX61" s="153"/>
      <c r="CY61" s="153"/>
      <c r="CZ61" s="153"/>
      <c r="DA61" s="153"/>
      <c r="DB61" s="153"/>
      <c r="DC61" s="153"/>
      <c r="DD61" s="153"/>
      <c r="DE61" s="153"/>
      <c r="DF61" s="153"/>
      <c r="DG61" s="153"/>
      <c r="DH61" s="153"/>
      <c r="DI61" s="153"/>
      <c r="DJ61" s="153"/>
      <c r="DK61" s="153"/>
      <c r="DL61" s="153"/>
      <c r="DM61" s="153"/>
      <c r="DN61" s="153"/>
      <c r="DO61" s="153"/>
      <c r="DP61" s="153"/>
      <c r="DQ61" s="153"/>
      <c r="DR61" s="153"/>
      <c r="DS61" s="153"/>
      <c r="DT61" s="153"/>
      <c r="DU61" s="153"/>
      <c r="DV61" s="153"/>
      <c r="DW61" s="153"/>
      <c r="DX61" s="153"/>
      <c r="DY61" s="153"/>
      <c r="DZ61" s="153"/>
      <c r="EA61" s="153"/>
      <c r="EB61" s="153"/>
      <c r="EC61" s="153"/>
      <c r="ED61" s="153"/>
      <c r="EE61" s="153"/>
      <c r="EF61" s="153"/>
      <c r="EG61" s="153"/>
      <c r="EH61" s="153"/>
      <c r="EI61" s="153"/>
      <c r="EJ61" s="153"/>
      <c r="EK61" s="153"/>
      <c r="EL61" s="153"/>
      <c r="EM61" s="153"/>
      <c r="EN61" s="153"/>
      <c r="EO61" s="153"/>
      <c r="EP61" s="153"/>
      <c r="EQ61" s="160"/>
      <c r="ER61" s="160"/>
      <c r="ES61" s="160"/>
      <c r="ET61" s="160"/>
      <c r="EU61" s="160"/>
      <c r="EV61" s="160"/>
      <c r="EW61" s="160"/>
      <c r="EX61" s="160"/>
      <c r="EY61" s="160"/>
      <c r="EZ61" s="160"/>
      <c r="FA61" s="160"/>
      <c r="FB61" s="160"/>
      <c r="FC61" s="160"/>
      <c r="FD61" s="160"/>
      <c r="FE61" s="160"/>
      <c r="FF61" s="160"/>
      <c r="FG61" s="160"/>
      <c r="FH61" s="160"/>
      <c r="FI61" s="160"/>
      <c r="FJ61" s="160"/>
      <c r="FK61" s="160"/>
      <c r="FL61" s="160"/>
      <c r="FM61" s="160"/>
      <c r="FN61" s="160"/>
      <c r="FO61" s="160"/>
      <c r="FP61" s="160"/>
      <c r="FQ61" s="160"/>
      <c r="FY61" s="120"/>
      <c r="GE61" s="160"/>
    </row>
    <row r="62" spans="1:199" s="1" customFormat="1" ht="20.149999999999999" customHeight="1" x14ac:dyDescent="0.35">
      <c r="A62" s="6"/>
      <c r="B62" s="6"/>
      <c r="C62" s="6"/>
      <c r="D62" s="6"/>
      <c r="E62" s="119"/>
      <c r="F62" s="119"/>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c r="CF62" s="119"/>
      <c r="CG62" s="119"/>
      <c r="CH62" s="154"/>
      <c r="CI62" s="154"/>
      <c r="CJ62" s="154"/>
      <c r="CK62" s="154"/>
      <c r="CL62" s="154"/>
      <c r="CM62" s="154"/>
      <c r="CN62" s="154"/>
      <c r="CO62" s="154"/>
      <c r="CP62" s="154"/>
      <c r="CQ62" s="154"/>
      <c r="CR62" s="154"/>
      <c r="CS62" s="154"/>
      <c r="CT62" s="154"/>
      <c r="CU62" s="154"/>
      <c r="CV62" s="154"/>
      <c r="CW62" s="154"/>
      <c r="CX62" s="154"/>
      <c r="CY62" s="154"/>
      <c r="CZ62" s="154"/>
      <c r="DA62" s="154"/>
      <c r="DB62" s="154"/>
      <c r="DC62" s="154"/>
      <c r="DD62" s="154"/>
      <c r="DE62" s="154"/>
      <c r="DF62" s="154"/>
      <c r="DG62" s="154"/>
      <c r="DH62" s="154"/>
      <c r="DI62" s="154"/>
      <c r="DJ62" s="154"/>
      <c r="DK62" s="154"/>
      <c r="DL62" s="154"/>
      <c r="DM62" s="154"/>
      <c r="DN62" s="154"/>
      <c r="DO62" s="154"/>
      <c r="DP62" s="154"/>
      <c r="DQ62" s="154"/>
      <c r="DR62" s="154"/>
      <c r="DS62" s="154"/>
      <c r="DT62" s="154"/>
      <c r="DU62" s="154"/>
      <c r="DV62" s="154"/>
      <c r="DW62" s="154"/>
      <c r="DX62" s="154"/>
      <c r="DY62" s="154"/>
      <c r="DZ62" s="154"/>
      <c r="EA62" s="154"/>
      <c r="EB62" s="154"/>
      <c r="EC62" s="154"/>
      <c r="ED62" s="154"/>
      <c r="EE62" s="154"/>
      <c r="EF62" s="154"/>
      <c r="EG62" s="154"/>
      <c r="EH62" s="154"/>
      <c r="EI62" s="154"/>
      <c r="EJ62" s="154"/>
      <c r="EK62" s="154"/>
      <c r="EL62" s="154"/>
      <c r="EM62" s="154"/>
      <c r="EN62" s="154"/>
      <c r="EO62" s="154"/>
      <c r="EP62" s="154"/>
      <c r="EQ62" s="154"/>
      <c r="ER62" s="154"/>
      <c r="ES62" s="154"/>
      <c r="ET62" s="154"/>
      <c r="EU62" s="154"/>
      <c r="EV62" s="154"/>
      <c r="EW62" s="154"/>
      <c r="EX62" s="154"/>
      <c r="EY62" s="154"/>
      <c r="EZ62" s="154"/>
      <c r="FA62" s="160"/>
      <c r="FB62" s="160"/>
      <c r="FC62" s="160"/>
      <c r="FD62" s="160"/>
      <c r="FE62" s="160"/>
      <c r="FF62" s="160"/>
      <c r="FG62" s="160"/>
      <c r="FH62" s="160"/>
      <c r="FI62" s="160"/>
      <c r="FJ62" s="160"/>
      <c r="FK62" s="160"/>
      <c r="FL62" s="160"/>
      <c r="FM62" s="160"/>
      <c r="FQ62" s="160"/>
    </row>
    <row r="63" spans="1:199" s="1" customFormat="1" ht="20.149999999999999" customHeight="1" x14ac:dyDescent="0.35">
      <c r="A63" s="6"/>
      <c r="B63" s="6"/>
      <c r="C63" s="6"/>
      <c r="D63" s="6"/>
      <c r="E63" s="6"/>
      <c r="F63" s="6"/>
      <c r="G63" s="6"/>
      <c r="H63" s="6"/>
      <c r="I63" s="6"/>
      <c r="J63" s="6"/>
      <c r="K63" s="6"/>
      <c r="L63" s="6"/>
      <c r="M63" s="6"/>
      <c r="FC63" s="160"/>
      <c r="FD63" s="120"/>
    </row>
    <row r="64" spans="1:199" s="1" customFormat="1" ht="20.149999999999999" customHeight="1" x14ac:dyDescent="0.35">
      <c r="A64" s="6"/>
      <c r="B64" s="6"/>
      <c r="C64" s="6"/>
      <c r="D64" s="6"/>
      <c r="E64" s="6"/>
      <c r="F64" s="6"/>
      <c r="G64" s="6"/>
      <c r="H64" s="6"/>
      <c r="I64" s="6"/>
      <c r="J64" s="6"/>
      <c r="K64" s="6"/>
      <c r="L64" s="6"/>
      <c r="M64" s="160"/>
      <c r="N64" s="6"/>
      <c r="O64" s="6"/>
      <c r="P64" s="6"/>
      <c r="Q64" s="6"/>
      <c r="R64" s="6"/>
      <c r="S64" s="6"/>
      <c r="T64" s="6"/>
      <c r="U64" s="6"/>
      <c r="V64" s="6"/>
      <c r="W64" s="6"/>
      <c r="X64" s="6"/>
      <c r="Y64" s="160"/>
      <c r="Z64" s="6"/>
      <c r="AA64" s="6"/>
      <c r="AB64" s="6"/>
      <c r="AC64" s="6"/>
      <c r="AD64" s="6"/>
      <c r="AE64" s="6"/>
      <c r="AF64" s="6"/>
      <c r="AG64" s="6"/>
      <c r="AH64" s="6"/>
      <c r="AI64" s="6"/>
      <c r="AJ64" s="6"/>
      <c r="AK64" s="160"/>
      <c r="AL64" s="6"/>
      <c r="AM64" s="6"/>
      <c r="AN64" s="6"/>
      <c r="AO64" s="6"/>
      <c r="AP64" s="6"/>
      <c r="AQ64" s="6"/>
      <c r="AR64" s="6"/>
      <c r="AS64" s="6"/>
      <c r="AT64" s="6"/>
      <c r="AU64" s="6"/>
      <c r="AV64" s="6"/>
      <c r="AW64" s="160"/>
      <c r="AX64" s="6"/>
      <c r="AY64" s="6"/>
      <c r="AZ64" s="6"/>
      <c r="BA64" s="6"/>
      <c r="BB64" s="6"/>
      <c r="BC64" s="6"/>
      <c r="BD64" s="6"/>
      <c r="BE64" s="6"/>
      <c r="BF64" s="6"/>
      <c r="BG64" s="6"/>
      <c r="BH64" s="6"/>
      <c r="BI64" s="160"/>
      <c r="BJ64" s="6"/>
      <c r="BK64" s="6"/>
      <c r="BL64" s="6"/>
      <c r="BM64" s="6"/>
      <c r="BN64" s="6"/>
      <c r="BO64" s="6"/>
      <c r="BP64" s="6"/>
      <c r="BQ64" s="6"/>
      <c r="BR64" s="6"/>
      <c r="BS64" s="6"/>
      <c r="BT64" s="6"/>
      <c r="BU64" s="160"/>
      <c r="BV64" s="6"/>
      <c r="BW64" s="6"/>
      <c r="BX64" s="6"/>
      <c r="BY64" s="6"/>
      <c r="BZ64" s="6"/>
      <c r="CA64" s="6"/>
      <c r="CB64" s="6"/>
      <c r="CC64" s="6"/>
      <c r="CD64" s="6"/>
      <c r="CE64" s="6"/>
      <c r="CF64" s="6"/>
      <c r="CG64" s="160"/>
      <c r="CH64" s="6"/>
      <c r="CI64" s="6"/>
      <c r="CJ64" s="6"/>
      <c r="CK64" s="40"/>
      <c r="CL64" s="6"/>
      <c r="CM64" s="6"/>
      <c r="CN64" s="6"/>
      <c r="CO64" s="6"/>
      <c r="CP64" s="6"/>
      <c r="CQ64" s="6"/>
      <c r="CR64" s="6"/>
      <c r="CS64" s="160"/>
      <c r="CT64" s="6"/>
      <c r="CU64" s="6"/>
      <c r="CV64" s="6"/>
      <c r="CW64" s="6"/>
      <c r="CX64" s="6"/>
      <c r="CY64" s="6"/>
      <c r="CZ64" s="6"/>
      <c r="DA64" s="6"/>
      <c r="DB64" s="6"/>
      <c r="DC64" s="6"/>
      <c r="DD64" s="6"/>
      <c r="DE64" s="160"/>
      <c r="DF64" s="6"/>
      <c r="DG64" s="6"/>
      <c r="DH64" s="6"/>
      <c r="DI64" s="6"/>
      <c r="DJ64" s="6"/>
      <c r="DK64" s="6"/>
      <c r="DL64" s="6"/>
      <c r="DM64" s="6"/>
      <c r="DN64" s="6"/>
      <c r="DO64" s="6"/>
      <c r="DP64" s="6"/>
      <c r="DQ64" s="160"/>
      <c r="DR64" s="6"/>
      <c r="DS64" s="6"/>
      <c r="DT64" s="6"/>
      <c r="DU64" s="6"/>
      <c r="DV64" s="6"/>
      <c r="DW64" s="6"/>
      <c r="DX64" s="6"/>
      <c r="DY64" s="6"/>
      <c r="DZ64" s="6"/>
      <c r="EA64" s="6"/>
      <c r="EB64" s="6"/>
      <c r="EC64" s="160"/>
      <c r="ED64" s="6"/>
      <c r="EE64" s="6"/>
      <c r="EF64" s="6"/>
      <c r="EG64" s="6"/>
      <c r="EH64" s="6"/>
      <c r="EI64" s="6"/>
      <c r="EJ64" s="6"/>
      <c r="EK64" s="6"/>
      <c r="EL64" s="6"/>
      <c r="EM64" s="6"/>
      <c r="EO64" s="160"/>
      <c r="FA64" s="160"/>
      <c r="FM64" s="160"/>
    </row>
    <row r="65" spans="1:181" s="1" customFormat="1" ht="20.149999999999999" customHeight="1" x14ac:dyDescent="0.3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40"/>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row>
    <row r="66" spans="1:181" s="1" customFormat="1" ht="20.149999999999999" customHeight="1" x14ac:dyDescent="0.35">
      <c r="CK66" s="40"/>
      <c r="CL66" s="6"/>
      <c r="CM66" s="6"/>
      <c r="CN66" s="6"/>
      <c r="CO66" s="6"/>
      <c r="CP66" s="6"/>
      <c r="CQ66" s="6"/>
      <c r="CR66" s="6"/>
      <c r="CS66" s="6"/>
      <c r="CT66" s="6"/>
      <c r="CU66" s="6"/>
    </row>
    <row r="67" spans="1:181" s="1" customFormat="1" ht="20.149999999999999" customHeight="1" x14ac:dyDescent="0.35">
      <c r="CK67" s="40"/>
      <c r="CL67" s="6"/>
      <c r="CM67" s="6"/>
      <c r="CN67" s="6"/>
      <c r="CO67" s="6"/>
      <c r="CP67" s="6"/>
      <c r="CQ67" s="6"/>
      <c r="CR67" s="6"/>
      <c r="CS67" s="6"/>
      <c r="CT67" s="6"/>
      <c r="CU67" s="6"/>
      <c r="FY67" s="160"/>
    </row>
    <row r="68" spans="1:181" s="1" customFormat="1" ht="20.149999999999999" customHeight="1" x14ac:dyDescent="0.35">
      <c r="CK68" s="40"/>
      <c r="CL68" s="6"/>
      <c r="CM68" s="6"/>
      <c r="CN68" s="6"/>
      <c r="CO68" s="6"/>
      <c r="CP68" s="6"/>
      <c r="CQ68" s="6"/>
      <c r="CR68" s="6"/>
      <c r="CS68" s="6"/>
      <c r="CT68" s="6"/>
      <c r="CU68" s="6"/>
    </row>
    <row r="69" spans="1:181" s="1" customFormat="1" ht="20.149999999999999" customHeight="1" x14ac:dyDescent="0.35">
      <c r="CK69" s="40"/>
      <c r="CL69" s="6"/>
      <c r="CM69" s="6"/>
      <c r="CN69" s="6"/>
      <c r="CO69" s="6"/>
      <c r="CP69" s="6"/>
      <c r="CQ69" s="6"/>
      <c r="CR69" s="6"/>
      <c r="CS69" s="6"/>
      <c r="CT69" s="6"/>
      <c r="CU69" s="6"/>
    </row>
    <row r="70" spans="1:181" s="1" customFormat="1" ht="20.149999999999999" customHeight="1" x14ac:dyDescent="0.3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row>
    <row r="72" spans="1:181" ht="20.149999999999999"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42"/>
      <c r="CL72" s="36"/>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row>
    <row r="73" spans="1:181" s="1" customFormat="1" ht="20.149999999999999" customHeight="1" x14ac:dyDescent="0.35">
      <c r="CK73" s="42"/>
      <c r="CL73" s="36"/>
      <c r="CM73" s="6"/>
      <c r="CN73" s="6"/>
      <c r="CO73" s="6"/>
      <c r="CP73" s="6"/>
      <c r="CQ73" s="6"/>
      <c r="CR73" s="6"/>
      <c r="CS73" s="6"/>
      <c r="CT73" s="6"/>
      <c r="CU73" s="6"/>
    </row>
    <row r="74" spans="1:181" s="1" customFormat="1" ht="20.149999999999999" customHeight="1" x14ac:dyDescent="0.35">
      <c r="CK74" s="42"/>
      <c r="CL74" s="36"/>
      <c r="CM74" s="6"/>
      <c r="CN74" s="6"/>
      <c r="CO74" s="6"/>
      <c r="CP74" s="6"/>
      <c r="CQ74" s="6"/>
      <c r="CR74" s="6"/>
      <c r="CS74" s="6"/>
      <c r="CT74" s="6"/>
      <c r="CU74" s="6"/>
    </row>
    <row r="75" spans="1:181" s="1" customFormat="1" ht="20.149999999999999" customHeight="1" x14ac:dyDescent="0.35">
      <c r="CK75" s="42"/>
      <c r="CL75" s="36"/>
      <c r="CM75" s="6"/>
      <c r="CN75" s="6"/>
      <c r="CO75" s="6"/>
      <c r="CP75" s="6"/>
      <c r="CQ75" s="6"/>
      <c r="CR75" s="6"/>
      <c r="CS75" s="6"/>
      <c r="CT75" s="6"/>
      <c r="CU75" s="6"/>
    </row>
    <row r="76" spans="1:181" s="1" customFormat="1" ht="20.149999999999999" customHeight="1" x14ac:dyDescent="0.35">
      <c r="CK76" s="42"/>
      <c r="CL76" s="36"/>
      <c r="CM76" s="6"/>
      <c r="CN76" s="6"/>
      <c r="CO76" s="6"/>
      <c r="CP76" s="6"/>
      <c r="CQ76" s="6"/>
      <c r="CR76" s="6"/>
      <c r="CS76" s="6"/>
      <c r="CT76" s="6"/>
      <c r="CU76" s="6"/>
    </row>
    <row r="77" spans="1:181" s="1" customFormat="1" ht="20.149999999999999" customHeight="1" x14ac:dyDescent="0.35">
      <c r="CK77" s="42"/>
      <c r="CL77" s="36"/>
      <c r="CM77" s="6"/>
      <c r="CN77" s="6"/>
      <c r="CO77" s="6"/>
      <c r="CP77" s="6"/>
      <c r="CQ77" s="6"/>
      <c r="CR77" s="6"/>
      <c r="CS77" s="6"/>
      <c r="CT77" s="6"/>
      <c r="CU77" s="6"/>
    </row>
    <row r="78" spans="1:181" s="1" customFormat="1" ht="20.149999999999999" customHeight="1" x14ac:dyDescent="0.35">
      <c r="CK78" s="42"/>
      <c r="CL78" s="36"/>
      <c r="CM78" s="6"/>
      <c r="CN78" s="6"/>
      <c r="CO78" s="6"/>
      <c r="CP78" s="6"/>
      <c r="CQ78" s="6"/>
      <c r="CR78" s="6"/>
      <c r="CS78" s="6"/>
      <c r="CT78" s="6"/>
      <c r="CU78" s="6"/>
    </row>
    <row r="79" spans="1:181" s="1" customFormat="1" ht="20.149999999999999" customHeight="1" x14ac:dyDescent="0.35">
      <c r="CK79" s="42"/>
      <c r="CL79" s="6"/>
      <c r="CM79" s="6"/>
      <c r="CN79" s="6"/>
      <c r="CO79" s="6"/>
      <c r="CP79" s="6"/>
      <c r="CQ79" s="6"/>
      <c r="CR79" s="6"/>
      <c r="CS79" s="6"/>
      <c r="CT79" s="6"/>
      <c r="CU79" s="6"/>
    </row>
    <row r="80" spans="1:181" s="1" customFormat="1" ht="20.149999999999999" customHeight="1" x14ac:dyDescent="0.3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row>
  </sheetData>
  <phoneticPr fontId="35" type="noConversion"/>
  <pageMargins left="0.23622047244094502" right="0.23622047244094502" top="0.74803149606299213" bottom="0.74803149606299213" header="0.31496062992126012" footer="0.31496062992126012"/>
  <pageSetup paperSize="9" fitToWidth="0" orientation="landscape" r:id="rId1"/>
  <headerFooter>
    <oddHeader>&amp;LSolar Deployment Table&amp;RTable 1</oddHeader>
    <oddFooter>&amp;Lhttps://www.gov.uk/government/statistics/solar-photovoltaics-deployment</oddFooter>
  </headerFooter>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S49"/>
  <sheetViews>
    <sheetView showGridLines="0" zoomScaleNormal="100" workbookViewId="0">
      <pane xSplit="1" topLeftCell="GL1" activePane="topRight" state="frozen"/>
      <selection activeCell="B17" sqref="B17"/>
      <selection pane="topRight" activeCell="GL7" sqref="GL7"/>
    </sheetView>
  </sheetViews>
  <sheetFormatPr defaultColWidth="8.81640625" defaultRowHeight="20.149999999999999" customHeight="1" x14ac:dyDescent="0.35"/>
  <cols>
    <col min="1" max="1" width="42.54296875" style="6" customWidth="1"/>
    <col min="2" max="174" width="11.453125" style="6" customWidth="1"/>
    <col min="175" max="175" width="10.453125" style="6" customWidth="1"/>
    <col min="176" max="178" width="10.1796875" style="6" customWidth="1"/>
    <col min="179" max="181" width="11.453125" style="6" bestFit="1" customWidth="1"/>
    <col min="182" max="188" width="11.81640625" style="6" bestFit="1" customWidth="1"/>
    <col min="189" max="191" width="11.26953125" style="6" bestFit="1" customWidth="1"/>
    <col min="192" max="192" width="10.26953125" style="6" bestFit="1" customWidth="1"/>
    <col min="193" max="193" width="11.26953125" style="6" bestFit="1" customWidth="1"/>
    <col min="194" max="195" width="10.26953125" style="6" bestFit="1" customWidth="1"/>
    <col min="196" max="196" width="9.6328125" style="6" bestFit="1" customWidth="1"/>
    <col min="197" max="197" width="9.54296875" style="6" bestFit="1" customWidth="1"/>
    <col min="198" max="198" width="10.1796875" style="6" bestFit="1" customWidth="1"/>
    <col min="199" max="199" width="11.26953125" style="6" bestFit="1" customWidth="1"/>
    <col min="200" max="200" width="10.26953125" style="6" bestFit="1" customWidth="1"/>
    <col min="201" max="16384" width="8.81640625" style="6"/>
  </cols>
  <sheetData>
    <row r="1" spans="1:199" s="18" customFormat="1" ht="45" customHeight="1" x14ac:dyDescent="0.6">
      <c r="A1" s="17" t="s">
        <v>274</v>
      </c>
    </row>
    <row r="2" spans="1:199" s="19" customFormat="1" ht="20.149999999999999" customHeight="1" x14ac:dyDescent="0.35">
      <c r="A2" s="19" t="s">
        <v>72</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row>
    <row r="3" spans="1:199" s="19" customFormat="1" ht="20.149999999999999" customHeight="1" x14ac:dyDescent="0.35">
      <c r="A3" s="19" t="s">
        <v>73</v>
      </c>
    </row>
    <row r="4" spans="1:199" s="19" customFormat="1" ht="20.149999999999999" customHeight="1" x14ac:dyDescent="0.35">
      <c r="A4" s="19" t="s">
        <v>74</v>
      </c>
    </row>
    <row r="5" spans="1:199" s="25" customFormat="1" ht="30" customHeight="1" x14ac:dyDescent="0.35">
      <c r="A5" s="144" t="s">
        <v>75</v>
      </c>
      <c r="B5" s="145" t="s">
        <v>76</v>
      </c>
      <c r="C5" s="43" t="s">
        <v>77</v>
      </c>
      <c r="D5" s="43" t="s">
        <v>78</v>
      </c>
      <c r="E5" s="43" t="s">
        <v>79</v>
      </c>
      <c r="F5" s="43" t="s">
        <v>80</v>
      </c>
      <c r="G5" s="43" t="s">
        <v>81</v>
      </c>
      <c r="H5" s="43" t="s">
        <v>82</v>
      </c>
      <c r="I5" s="43" t="s">
        <v>83</v>
      </c>
      <c r="J5" s="43" t="s">
        <v>84</v>
      </c>
      <c r="K5" s="43" t="s">
        <v>85</v>
      </c>
      <c r="L5" s="43" t="s">
        <v>86</v>
      </c>
      <c r="M5" s="43" t="s">
        <v>87</v>
      </c>
      <c r="N5" s="145" t="s">
        <v>88</v>
      </c>
      <c r="O5" s="43" t="s">
        <v>89</v>
      </c>
      <c r="P5" s="43" t="s">
        <v>90</v>
      </c>
      <c r="Q5" s="43" t="s">
        <v>91</v>
      </c>
      <c r="R5" s="43" t="s">
        <v>92</v>
      </c>
      <c r="S5" s="43" t="s">
        <v>93</v>
      </c>
      <c r="T5" s="43" t="s">
        <v>94</v>
      </c>
      <c r="U5" s="43" t="s">
        <v>95</v>
      </c>
      <c r="V5" s="43" t="s">
        <v>96</v>
      </c>
      <c r="W5" s="43" t="s">
        <v>97</v>
      </c>
      <c r="X5" s="43" t="s">
        <v>98</v>
      </c>
      <c r="Y5" s="146" t="s">
        <v>99</v>
      </c>
      <c r="Z5" s="43" t="s">
        <v>100</v>
      </c>
      <c r="AA5" s="43" t="s">
        <v>101</v>
      </c>
      <c r="AB5" s="43" t="s">
        <v>102</v>
      </c>
      <c r="AC5" s="43" t="s">
        <v>103</v>
      </c>
      <c r="AD5" s="43" t="s">
        <v>104</v>
      </c>
      <c r="AE5" s="43" t="s">
        <v>105</v>
      </c>
      <c r="AF5" s="43" t="s">
        <v>106</v>
      </c>
      <c r="AG5" s="43" t="s">
        <v>107</v>
      </c>
      <c r="AH5" s="43" t="s">
        <v>108</v>
      </c>
      <c r="AI5" s="43" t="s">
        <v>109</v>
      </c>
      <c r="AJ5" s="43" t="s">
        <v>110</v>
      </c>
      <c r="AK5" s="146" t="s">
        <v>111</v>
      </c>
      <c r="AL5" s="43" t="s">
        <v>112</v>
      </c>
      <c r="AM5" s="43" t="s">
        <v>113</v>
      </c>
      <c r="AN5" s="43" t="s">
        <v>114</v>
      </c>
      <c r="AO5" s="43" t="s">
        <v>115</v>
      </c>
      <c r="AP5" s="43" t="s">
        <v>116</v>
      </c>
      <c r="AQ5" s="43" t="s">
        <v>117</v>
      </c>
      <c r="AR5" s="43" t="s">
        <v>118</v>
      </c>
      <c r="AS5" s="43" t="s">
        <v>119</v>
      </c>
      <c r="AT5" s="43" t="s">
        <v>120</v>
      </c>
      <c r="AU5" s="43" t="s">
        <v>121</v>
      </c>
      <c r="AV5" s="43" t="s">
        <v>122</v>
      </c>
      <c r="AW5" s="146" t="s">
        <v>123</v>
      </c>
      <c r="AX5" s="43" t="s">
        <v>124</v>
      </c>
      <c r="AY5" s="43" t="s">
        <v>125</v>
      </c>
      <c r="AZ5" s="43" t="s">
        <v>126</v>
      </c>
      <c r="BA5" s="43" t="s">
        <v>127</v>
      </c>
      <c r="BB5" s="43" t="s">
        <v>128</v>
      </c>
      <c r="BC5" s="43" t="s">
        <v>129</v>
      </c>
      <c r="BD5" s="43" t="s">
        <v>130</v>
      </c>
      <c r="BE5" s="43" t="s">
        <v>131</v>
      </c>
      <c r="BF5" s="43" t="s">
        <v>132</v>
      </c>
      <c r="BG5" s="43" t="s">
        <v>133</v>
      </c>
      <c r="BH5" s="43" t="s">
        <v>134</v>
      </c>
      <c r="BI5" s="146" t="s">
        <v>135</v>
      </c>
      <c r="BJ5" s="43" t="s">
        <v>136</v>
      </c>
      <c r="BK5" s="43" t="s">
        <v>137</v>
      </c>
      <c r="BL5" s="43" t="s">
        <v>138</v>
      </c>
      <c r="BM5" s="43" t="s">
        <v>139</v>
      </c>
      <c r="BN5" s="43" t="s">
        <v>140</v>
      </c>
      <c r="BO5" s="43" t="s">
        <v>141</v>
      </c>
      <c r="BP5" s="43" t="s">
        <v>142</v>
      </c>
      <c r="BQ5" s="43" t="s">
        <v>143</v>
      </c>
      <c r="BR5" s="43" t="s">
        <v>144</v>
      </c>
      <c r="BS5" s="43" t="s">
        <v>145</v>
      </c>
      <c r="BT5" s="43" t="s">
        <v>146</v>
      </c>
      <c r="BU5" s="146" t="s">
        <v>147</v>
      </c>
      <c r="BV5" s="43" t="s">
        <v>148</v>
      </c>
      <c r="BW5" s="43" t="s">
        <v>149</v>
      </c>
      <c r="BX5" s="43" t="s">
        <v>150</v>
      </c>
      <c r="BY5" s="43" t="s">
        <v>151</v>
      </c>
      <c r="BZ5" s="43" t="s">
        <v>152</v>
      </c>
      <c r="CA5" s="43" t="s">
        <v>153</v>
      </c>
      <c r="CB5" s="43" t="s">
        <v>154</v>
      </c>
      <c r="CC5" s="43" t="s">
        <v>155</v>
      </c>
      <c r="CD5" s="43" t="s">
        <v>156</v>
      </c>
      <c r="CE5" s="43" t="s">
        <v>157</v>
      </c>
      <c r="CF5" s="43" t="s">
        <v>158</v>
      </c>
      <c r="CG5" s="146" t="s">
        <v>159</v>
      </c>
      <c r="CH5" s="43" t="s">
        <v>160</v>
      </c>
      <c r="CI5" s="43" t="s">
        <v>161</v>
      </c>
      <c r="CJ5" s="43" t="s">
        <v>162</v>
      </c>
      <c r="CK5" s="43" t="s">
        <v>163</v>
      </c>
      <c r="CL5" s="43" t="s">
        <v>164</v>
      </c>
      <c r="CM5" s="43" t="s">
        <v>165</v>
      </c>
      <c r="CN5" s="43" t="s">
        <v>166</v>
      </c>
      <c r="CO5" s="43" t="s">
        <v>167</v>
      </c>
      <c r="CP5" s="43" t="s">
        <v>168</v>
      </c>
      <c r="CQ5" s="43" t="s">
        <v>169</v>
      </c>
      <c r="CR5" s="43" t="s">
        <v>170</v>
      </c>
      <c r="CS5" s="146" t="s">
        <v>171</v>
      </c>
      <c r="CT5" s="43" t="s">
        <v>172</v>
      </c>
      <c r="CU5" s="43" t="s">
        <v>173</v>
      </c>
      <c r="CV5" s="43" t="s">
        <v>174</v>
      </c>
      <c r="CW5" s="43" t="s">
        <v>175</v>
      </c>
      <c r="CX5" s="43" t="s">
        <v>176</v>
      </c>
      <c r="CY5" s="43" t="s">
        <v>177</v>
      </c>
      <c r="CZ5" s="43" t="s">
        <v>178</v>
      </c>
      <c r="DA5" s="43" t="s">
        <v>179</v>
      </c>
      <c r="DB5" s="43" t="s">
        <v>180</v>
      </c>
      <c r="DC5" s="43" t="s">
        <v>181</v>
      </c>
      <c r="DD5" s="43" t="s">
        <v>182</v>
      </c>
      <c r="DE5" s="146" t="s">
        <v>183</v>
      </c>
      <c r="DF5" s="43" t="s">
        <v>184</v>
      </c>
      <c r="DG5" s="43" t="s">
        <v>185</v>
      </c>
      <c r="DH5" s="43" t="s">
        <v>186</v>
      </c>
      <c r="DI5" s="43" t="s">
        <v>187</v>
      </c>
      <c r="DJ5" s="43" t="s">
        <v>188</v>
      </c>
      <c r="DK5" s="43" t="s">
        <v>189</v>
      </c>
      <c r="DL5" s="43" t="s">
        <v>190</v>
      </c>
      <c r="DM5" s="43" t="s">
        <v>191</v>
      </c>
      <c r="DN5" s="43" t="s">
        <v>192</v>
      </c>
      <c r="DO5" s="43" t="s">
        <v>193</v>
      </c>
      <c r="DP5" s="43" t="s">
        <v>194</v>
      </c>
      <c r="DQ5" s="146" t="s">
        <v>195</v>
      </c>
      <c r="DR5" s="43" t="s">
        <v>196</v>
      </c>
      <c r="DS5" s="43" t="s">
        <v>197</v>
      </c>
      <c r="DT5" s="43" t="s">
        <v>198</v>
      </c>
      <c r="DU5" s="43" t="s">
        <v>199</v>
      </c>
      <c r="DV5" s="43" t="s">
        <v>200</v>
      </c>
      <c r="DW5" s="43" t="s">
        <v>201</v>
      </c>
      <c r="DX5" s="43" t="s">
        <v>202</v>
      </c>
      <c r="DY5" s="43" t="s">
        <v>203</v>
      </c>
      <c r="DZ5" s="43" t="s">
        <v>204</v>
      </c>
      <c r="EA5" s="43" t="s">
        <v>205</v>
      </c>
      <c r="EB5" s="43" t="s">
        <v>206</v>
      </c>
      <c r="EC5" s="146" t="s">
        <v>207</v>
      </c>
      <c r="ED5" s="43" t="s">
        <v>208</v>
      </c>
      <c r="EE5" s="43" t="s">
        <v>209</v>
      </c>
      <c r="EF5" s="43" t="s">
        <v>210</v>
      </c>
      <c r="EG5" s="43" t="s">
        <v>211</v>
      </c>
      <c r="EH5" s="43" t="s">
        <v>212</v>
      </c>
      <c r="EI5" s="43" t="s">
        <v>213</v>
      </c>
      <c r="EJ5" s="43" t="s">
        <v>275</v>
      </c>
      <c r="EK5" s="43" t="s">
        <v>215</v>
      </c>
      <c r="EL5" s="43" t="s">
        <v>216</v>
      </c>
      <c r="EM5" s="43" t="s">
        <v>217</v>
      </c>
      <c r="EN5" s="43" t="s">
        <v>218</v>
      </c>
      <c r="EO5" s="43" t="s">
        <v>219</v>
      </c>
      <c r="EP5" s="147" t="s">
        <v>220</v>
      </c>
      <c r="EQ5" s="43" t="s">
        <v>221</v>
      </c>
      <c r="ER5" s="43" t="s">
        <v>222</v>
      </c>
      <c r="ES5" s="43" t="s">
        <v>223</v>
      </c>
      <c r="ET5" s="43" t="s">
        <v>224</v>
      </c>
      <c r="EU5" s="43" t="s">
        <v>225</v>
      </c>
      <c r="EV5" s="43" t="s">
        <v>226</v>
      </c>
      <c r="EW5" s="43" t="s">
        <v>276</v>
      </c>
      <c r="EX5" s="43" t="s">
        <v>228</v>
      </c>
      <c r="EY5" s="43" t="s">
        <v>229</v>
      </c>
      <c r="EZ5" s="43" t="s">
        <v>230</v>
      </c>
      <c r="FA5" s="141" t="s">
        <v>231</v>
      </c>
      <c r="FB5" s="43" t="s">
        <v>232</v>
      </c>
      <c r="FC5" s="43" t="s">
        <v>233</v>
      </c>
      <c r="FD5" s="43" t="s">
        <v>234</v>
      </c>
      <c r="FE5" s="43" t="s">
        <v>235</v>
      </c>
      <c r="FF5" s="43" t="s">
        <v>236</v>
      </c>
      <c r="FG5" s="43" t="s">
        <v>237</v>
      </c>
      <c r="FH5" s="43" t="s">
        <v>238</v>
      </c>
      <c r="FI5" s="43" t="s">
        <v>239</v>
      </c>
      <c r="FJ5" s="43" t="s">
        <v>240</v>
      </c>
      <c r="FK5" s="43" t="s">
        <v>241</v>
      </c>
      <c r="FL5" s="43" t="s">
        <v>242</v>
      </c>
      <c r="FM5" s="43" t="s">
        <v>243</v>
      </c>
      <c r="FN5" s="147" t="s">
        <v>244</v>
      </c>
      <c r="FO5" s="43" t="s">
        <v>245</v>
      </c>
      <c r="FP5" s="43" t="s">
        <v>246</v>
      </c>
      <c r="FQ5" s="43" t="s">
        <v>247</v>
      </c>
      <c r="FR5" s="43" t="s">
        <v>248</v>
      </c>
      <c r="FS5" s="43" t="s">
        <v>249</v>
      </c>
      <c r="FT5" s="43" t="s">
        <v>250</v>
      </c>
      <c r="FU5" s="43" t="s">
        <v>251</v>
      </c>
      <c r="FV5" s="43" t="s">
        <v>252</v>
      </c>
      <c r="FW5" s="43" t="s">
        <v>253</v>
      </c>
      <c r="FX5" s="43" t="s">
        <v>254</v>
      </c>
      <c r="FY5" s="43" t="s">
        <v>255</v>
      </c>
      <c r="FZ5" s="147" t="s">
        <v>256</v>
      </c>
      <c r="GA5" s="43" t="s">
        <v>257</v>
      </c>
      <c r="GB5" s="43" t="s">
        <v>258</v>
      </c>
      <c r="GC5" s="43" t="s">
        <v>259</v>
      </c>
      <c r="GD5" s="43" t="s">
        <v>260</v>
      </c>
      <c r="GE5" s="43" t="s">
        <v>261</v>
      </c>
      <c r="GF5" s="43" t="s">
        <v>262</v>
      </c>
      <c r="GG5" s="43" t="s">
        <v>263</v>
      </c>
      <c r="GH5" s="43" t="s">
        <v>264</v>
      </c>
      <c r="GI5" s="43" t="s">
        <v>265</v>
      </c>
      <c r="GJ5" s="43" t="s">
        <v>1622</v>
      </c>
      <c r="GK5" s="43" t="s">
        <v>1629</v>
      </c>
      <c r="GL5" s="147" t="s">
        <v>1630</v>
      </c>
      <c r="GM5" s="43" t="s">
        <v>1635</v>
      </c>
      <c r="GN5" s="43" t="s">
        <v>1638</v>
      </c>
      <c r="GO5" s="43" t="s">
        <v>1645</v>
      </c>
      <c r="GP5" s="43" t="s">
        <v>1649</v>
      </c>
      <c r="GQ5" s="43" t="s">
        <v>1663</v>
      </c>
    </row>
    <row r="6" spans="1:199" s="30" customFormat="1" ht="20.149999999999999" customHeight="1" x14ac:dyDescent="0.35">
      <c r="A6" s="26" t="s">
        <v>266</v>
      </c>
      <c r="B6" s="27"/>
      <c r="C6" s="27"/>
      <c r="D6" s="27"/>
      <c r="E6" s="27"/>
      <c r="F6" s="27"/>
      <c r="G6" s="27"/>
      <c r="H6" s="27"/>
      <c r="I6" s="27"/>
      <c r="J6" s="27"/>
      <c r="K6" s="27"/>
      <c r="L6" s="27"/>
      <c r="M6" s="28"/>
      <c r="N6" s="29"/>
      <c r="O6" s="27"/>
      <c r="P6" s="27"/>
      <c r="Q6" s="27"/>
      <c r="R6" s="27"/>
      <c r="S6" s="27"/>
      <c r="T6" s="27"/>
      <c r="U6" s="27"/>
      <c r="V6" s="27"/>
      <c r="W6" s="27"/>
      <c r="X6" s="27"/>
      <c r="Y6" s="28"/>
      <c r="Z6" s="27"/>
      <c r="AA6" s="27"/>
      <c r="AB6" s="27"/>
      <c r="AC6" s="27"/>
      <c r="AD6" s="27"/>
      <c r="AE6" s="27"/>
      <c r="AF6" s="27"/>
      <c r="AG6" s="27"/>
      <c r="AH6" s="27"/>
      <c r="AI6" s="27"/>
      <c r="AJ6" s="27"/>
      <c r="AK6" s="28"/>
      <c r="AL6" s="27"/>
      <c r="AM6" s="27"/>
      <c r="AN6" s="27"/>
      <c r="AO6" s="27"/>
      <c r="AP6" s="27"/>
      <c r="AQ6" s="27"/>
      <c r="AR6" s="27"/>
      <c r="AS6" s="27"/>
      <c r="AT6" s="27"/>
      <c r="AU6" s="27"/>
      <c r="AV6" s="27"/>
      <c r="AW6" s="28"/>
      <c r="AX6" s="27"/>
      <c r="AY6" s="27"/>
      <c r="AZ6" s="27"/>
      <c r="BA6" s="27"/>
      <c r="BB6" s="27"/>
      <c r="BC6" s="27"/>
      <c r="BD6" s="27"/>
      <c r="BE6" s="27"/>
      <c r="BF6" s="27"/>
      <c r="BG6" s="27"/>
      <c r="BH6" s="27"/>
      <c r="BI6" s="28"/>
      <c r="BJ6" s="27"/>
      <c r="BK6" s="27"/>
      <c r="BL6" s="27"/>
      <c r="BM6" s="27"/>
      <c r="BN6" s="27"/>
      <c r="BO6" s="27"/>
      <c r="BP6" s="27"/>
      <c r="BQ6" s="27"/>
      <c r="BR6" s="27"/>
      <c r="BS6" s="27"/>
      <c r="BT6" s="27"/>
      <c r="BU6" s="28"/>
      <c r="BV6" s="27"/>
      <c r="BW6" s="27"/>
      <c r="BX6" s="27"/>
      <c r="BY6" s="27"/>
      <c r="BZ6" s="27"/>
      <c r="CA6" s="27"/>
      <c r="CB6" s="27"/>
      <c r="CC6" s="27"/>
      <c r="CD6" s="27"/>
      <c r="CE6" s="27"/>
      <c r="CF6" s="27"/>
      <c r="CG6" s="28"/>
      <c r="CH6" s="27"/>
      <c r="CI6" s="27"/>
      <c r="CJ6" s="27"/>
      <c r="CK6" s="27"/>
      <c r="CL6" s="27"/>
      <c r="CM6" s="27"/>
      <c r="CN6" s="27"/>
      <c r="CO6" s="27"/>
      <c r="CP6" s="27"/>
      <c r="CQ6" s="27"/>
      <c r="CR6" s="27"/>
      <c r="CS6" s="28"/>
      <c r="CT6" s="27"/>
      <c r="CU6" s="27"/>
      <c r="CV6" s="27"/>
      <c r="CW6" s="27"/>
      <c r="CX6" s="27"/>
      <c r="CY6" s="27"/>
      <c r="CZ6" s="27"/>
      <c r="DA6" s="27"/>
      <c r="DB6" s="27"/>
      <c r="DC6" s="27"/>
      <c r="DD6" s="27"/>
      <c r="DE6" s="79"/>
      <c r="DF6" s="71"/>
      <c r="DG6" s="27"/>
      <c r="DH6" s="27"/>
      <c r="DI6" s="27"/>
      <c r="DJ6" s="27"/>
      <c r="DK6" s="27"/>
      <c r="DL6" s="27"/>
      <c r="DM6" s="27"/>
      <c r="DN6" s="27"/>
      <c r="DO6" s="27"/>
      <c r="DP6" s="27"/>
      <c r="DQ6" s="79"/>
      <c r="DR6" s="71"/>
      <c r="DS6" s="27"/>
      <c r="DT6" s="27"/>
      <c r="DU6" s="27"/>
      <c r="DV6" s="27"/>
      <c r="DW6" s="27"/>
      <c r="DX6" s="27"/>
      <c r="DY6" s="27"/>
      <c r="DZ6" s="27"/>
      <c r="EA6" s="27"/>
      <c r="EB6" s="27"/>
      <c r="EC6" s="79"/>
      <c r="ED6" s="71"/>
      <c r="EE6" s="27"/>
      <c r="EF6" s="27"/>
      <c r="EG6" s="27"/>
      <c r="EH6" s="27"/>
      <c r="EI6" s="27"/>
      <c r="EJ6" s="27"/>
      <c r="EK6" s="27"/>
      <c r="EL6" s="142"/>
      <c r="EM6" s="142"/>
      <c r="EN6" s="142"/>
      <c r="EO6" s="142"/>
      <c r="EP6" s="143"/>
      <c r="EQ6" s="142"/>
      <c r="ER6" s="68"/>
      <c r="ES6" s="68"/>
      <c r="ET6" s="68"/>
      <c r="EU6" s="68"/>
      <c r="EV6" s="68"/>
      <c r="EW6" s="68"/>
      <c r="EX6" s="68"/>
      <c r="EY6" s="68"/>
      <c r="EZ6" s="68"/>
      <c r="FA6" s="131"/>
      <c r="FB6" s="68"/>
      <c r="FC6" s="68"/>
      <c r="FD6" s="68"/>
      <c r="FE6" s="68"/>
      <c r="FF6" s="68"/>
      <c r="FG6" s="68"/>
      <c r="FH6" s="68"/>
      <c r="FI6" s="68"/>
      <c r="FJ6" s="68"/>
      <c r="FK6" s="68"/>
      <c r="FL6" s="68"/>
      <c r="FM6" s="68"/>
      <c r="FN6" s="171"/>
      <c r="FO6" s="68"/>
      <c r="FP6" s="68"/>
      <c r="FQ6" s="68"/>
      <c r="FR6" s="68"/>
      <c r="FS6" s="68"/>
      <c r="FT6" s="68"/>
      <c r="FU6" s="68"/>
      <c r="FV6" s="68"/>
      <c r="FW6" s="126"/>
      <c r="FX6" s="126"/>
      <c r="FY6" s="126"/>
      <c r="FZ6" s="171"/>
      <c r="GA6" s="126"/>
      <c r="GB6" s="126"/>
      <c r="GC6" s="126"/>
      <c r="GD6" s="126"/>
      <c r="GE6" s="126"/>
      <c r="GF6" s="126"/>
      <c r="GG6" s="126"/>
      <c r="GH6" s="126"/>
      <c r="GI6" s="126"/>
      <c r="GJ6" s="126"/>
      <c r="GK6" s="126"/>
      <c r="GL6" s="171"/>
      <c r="GM6" s="126"/>
      <c r="GN6" s="126"/>
      <c r="GO6" s="126"/>
      <c r="GP6" s="126"/>
      <c r="GQ6" s="126"/>
    </row>
    <row r="7" spans="1:199" s="1" customFormat="1" ht="20.149999999999999" customHeight="1" x14ac:dyDescent="0.35">
      <c r="A7" s="31" t="s">
        <v>277</v>
      </c>
      <c r="B7" s="45">
        <v>5.0000000000000001E-3</v>
      </c>
      <c r="C7" s="45">
        <v>5.0000000000000001E-3</v>
      </c>
      <c r="D7" s="45">
        <v>5.0000000000000001E-3</v>
      </c>
      <c r="E7" s="45">
        <v>1.2E-2</v>
      </c>
      <c r="F7" s="45">
        <v>2.3E-2</v>
      </c>
      <c r="G7" s="45">
        <v>0.78700000000000003</v>
      </c>
      <c r="H7" s="45">
        <v>0.78900000000000003</v>
      </c>
      <c r="I7" s="45">
        <v>0.81799999999999995</v>
      </c>
      <c r="J7" s="45">
        <v>0.83199999999999996</v>
      </c>
      <c r="K7" s="45">
        <v>0.84199999999999997</v>
      </c>
      <c r="L7" s="45">
        <v>0.872</v>
      </c>
      <c r="M7" s="49">
        <v>0.93300000000000005</v>
      </c>
      <c r="N7" s="50">
        <v>0.93700000000000006</v>
      </c>
      <c r="O7" s="45">
        <v>0.95</v>
      </c>
      <c r="P7" s="45">
        <v>1.01</v>
      </c>
      <c r="Q7" s="45">
        <v>1.077</v>
      </c>
      <c r="R7" s="45">
        <v>1.1200000000000001</v>
      </c>
      <c r="S7" s="45">
        <v>1.7909999999999999</v>
      </c>
      <c r="T7" s="45">
        <v>86.438000000000002</v>
      </c>
      <c r="U7" s="45">
        <v>87.072999999999993</v>
      </c>
      <c r="V7" s="45">
        <v>92.716999999999999</v>
      </c>
      <c r="W7" s="45">
        <v>104.771</v>
      </c>
      <c r="X7" s="45">
        <v>105.297</v>
      </c>
      <c r="Y7" s="49">
        <v>105.98</v>
      </c>
      <c r="Z7" s="45">
        <v>105.98</v>
      </c>
      <c r="AA7" s="45">
        <v>106.392</v>
      </c>
      <c r="AB7" s="45">
        <v>111.581</v>
      </c>
      <c r="AC7" s="45">
        <v>111.581</v>
      </c>
      <c r="AD7" s="45">
        <v>111.64100000000001</v>
      </c>
      <c r="AE7" s="45">
        <v>121.617</v>
      </c>
      <c r="AF7" s="45">
        <v>177.93899999999999</v>
      </c>
      <c r="AG7" s="45">
        <v>177.93899999999999</v>
      </c>
      <c r="AH7" s="45">
        <v>177.93899999999999</v>
      </c>
      <c r="AI7" s="45">
        <v>177.94200000000001</v>
      </c>
      <c r="AJ7" s="45">
        <v>181.327</v>
      </c>
      <c r="AK7" s="49">
        <v>181.327</v>
      </c>
      <c r="AL7" s="45">
        <v>181.327</v>
      </c>
      <c r="AM7" s="45">
        <v>181.327</v>
      </c>
      <c r="AN7" s="45">
        <v>186.166</v>
      </c>
      <c r="AO7" s="45">
        <v>192.941</v>
      </c>
      <c r="AP7" s="45">
        <v>192.947</v>
      </c>
      <c r="AQ7" s="45">
        <v>194.19200000000001</v>
      </c>
      <c r="AR7" s="45">
        <v>198.096</v>
      </c>
      <c r="AS7" s="45">
        <v>202.75</v>
      </c>
      <c r="AT7" s="45">
        <v>203.86</v>
      </c>
      <c r="AU7" s="45">
        <v>210.44800000000001</v>
      </c>
      <c r="AV7" s="45">
        <v>210.452</v>
      </c>
      <c r="AW7" s="49">
        <v>213.83199999999999</v>
      </c>
      <c r="AX7" s="45">
        <v>213.83199999999999</v>
      </c>
      <c r="AY7" s="45">
        <v>219.64500000000001</v>
      </c>
      <c r="AZ7" s="45">
        <v>229.172</v>
      </c>
      <c r="BA7" s="45">
        <v>234.166</v>
      </c>
      <c r="BB7" s="45">
        <v>245.434</v>
      </c>
      <c r="BC7" s="45">
        <v>255.26</v>
      </c>
      <c r="BD7" s="45">
        <v>260.18299999999999</v>
      </c>
      <c r="BE7" s="45">
        <v>263.80099999999999</v>
      </c>
      <c r="BF7" s="45">
        <v>265.58800000000002</v>
      </c>
      <c r="BG7" s="45">
        <v>265.87599999999998</v>
      </c>
      <c r="BH7" s="45">
        <v>268.85500000000002</v>
      </c>
      <c r="BI7" s="49">
        <v>285.61500000000001</v>
      </c>
      <c r="BJ7" s="45">
        <v>285.61500000000001</v>
      </c>
      <c r="BK7" s="45">
        <v>289.358</v>
      </c>
      <c r="BL7" s="45">
        <v>326.36799999999999</v>
      </c>
      <c r="BM7" s="45">
        <v>328.20800000000003</v>
      </c>
      <c r="BN7" s="45">
        <v>332.11399999999998</v>
      </c>
      <c r="BO7" s="45">
        <v>364.01100000000002</v>
      </c>
      <c r="BP7" s="45">
        <v>373.15499999999997</v>
      </c>
      <c r="BQ7" s="45">
        <v>382.76600000000002</v>
      </c>
      <c r="BR7" s="45">
        <v>404.47800000000001</v>
      </c>
      <c r="BS7" s="45">
        <v>438.08</v>
      </c>
      <c r="BT7" s="45">
        <v>478.149</v>
      </c>
      <c r="BU7" s="49">
        <v>786.798</v>
      </c>
      <c r="BV7" s="45">
        <v>787.06500000000005</v>
      </c>
      <c r="BW7" s="45">
        <v>792.495</v>
      </c>
      <c r="BX7" s="45">
        <v>803.65800000000002</v>
      </c>
      <c r="BY7" s="45">
        <v>803.65800000000002</v>
      </c>
      <c r="BZ7" s="45">
        <v>818.64200000000005</v>
      </c>
      <c r="CA7" s="45">
        <v>946.69299999999998</v>
      </c>
      <c r="CB7" s="45">
        <v>946.69299999999998</v>
      </c>
      <c r="CC7" s="45">
        <v>956.18</v>
      </c>
      <c r="CD7" s="45">
        <v>965.89499999999998</v>
      </c>
      <c r="CE7" s="45">
        <v>965.89499999999998</v>
      </c>
      <c r="CF7" s="45">
        <v>970.7</v>
      </c>
      <c r="CG7" s="124">
        <v>970.7</v>
      </c>
      <c r="CH7" s="69">
        <v>970.70399999999995</v>
      </c>
      <c r="CI7" s="45">
        <v>970.70399999999995</v>
      </c>
      <c r="CJ7" s="45">
        <v>975.71400000000006</v>
      </c>
      <c r="CK7" s="45">
        <v>975.71400000000006</v>
      </c>
      <c r="CL7" s="45">
        <v>975.71799999999996</v>
      </c>
      <c r="CM7" s="45">
        <v>975.71799999999996</v>
      </c>
      <c r="CN7" s="45">
        <v>975.71799999999996</v>
      </c>
      <c r="CO7" s="45">
        <v>975.71799999999996</v>
      </c>
      <c r="CP7" s="45">
        <v>975.71799999999996</v>
      </c>
      <c r="CQ7" s="45">
        <v>975.71799999999996</v>
      </c>
      <c r="CR7" s="45">
        <v>975.71799999999996</v>
      </c>
      <c r="CS7" s="124">
        <v>975.71799999999996</v>
      </c>
      <c r="CT7" s="69">
        <v>975.72199999999998</v>
      </c>
      <c r="CU7" s="45">
        <v>975.72199999999998</v>
      </c>
      <c r="CV7" s="45">
        <v>975.72199999999998</v>
      </c>
      <c r="CW7" s="45">
        <v>975.72199999999998</v>
      </c>
      <c r="CX7" s="45">
        <v>975.72199999999998</v>
      </c>
      <c r="CY7" s="45">
        <v>975.72199999999998</v>
      </c>
      <c r="CZ7" s="45">
        <v>975.72199999999998</v>
      </c>
      <c r="DA7" s="45">
        <v>975.72199999999998</v>
      </c>
      <c r="DB7" s="45">
        <v>975.72199999999998</v>
      </c>
      <c r="DC7" s="45">
        <v>975.72199999999998</v>
      </c>
      <c r="DD7" s="45">
        <v>975.72199999999998</v>
      </c>
      <c r="DE7" s="124">
        <v>975.72199999999998</v>
      </c>
      <c r="DF7" s="69">
        <v>975.72199999999998</v>
      </c>
      <c r="DG7" s="45">
        <v>975.72199999999998</v>
      </c>
      <c r="DH7" s="45">
        <v>975.72199999999998</v>
      </c>
      <c r="DI7" s="45">
        <v>975.72199999999998</v>
      </c>
      <c r="DJ7" s="45">
        <v>975.72199999999998</v>
      </c>
      <c r="DK7" s="45">
        <v>975.72199999999998</v>
      </c>
      <c r="DL7" s="45">
        <v>975.72199999999998</v>
      </c>
      <c r="DM7" s="45">
        <v>975.72199999999998</v>
      </c>
      <c r="DN7" s="45">
        <v>975.72199999999998</v>
      </c>
      <c r="DO7" s="45">
        <v>975.72199999999998</v>
      </c>
      <c r="DP7" s="45">
        <v>975.72199999999998</v>
      </c>
      <c r="DQ7" s="124">
        <v>975.72199999999998</v>
      </c>
      <c r="DR7" s="69">
        <v>975.72199999999998</v>
      </c>
      <c r="DS7" s="45">
        <v>975.72199999999998</v>
      </c>
      <c r="DT7" s="45">
        <v>975.72199999999998</v>
      </c>
      <c r="DU7" s="45">
        <v>975.72199999999998</v>
      </c>
      <c r="DV7" s="45">
        <v>975.72199999999998</v>
      </c>
      <c r="DW7" s="45">
        <v>975.72199999999998</v>
      </c>
      <c r="DX7" s="45">
        <v>975.72199999999998</v>
      </c>
      <c r="DY7" s="45">
        <v>975.72199999999998</v>
      </c>
      <c r="DZ7" s="45">
        <v>975.72199999999998</v>
      </c>
      <c r="EA7" s="45">
        <v>975.72199999999998</v>
      </c>
      <c r="EB7" s="45">
        <v>975.72199999999998</v>
      </c>
      <c r="EC7" s="45">
        <v>975.72199999999998</v>
      </c>
      <c r="ED7" s="69">
        <v>975.72199999999998</v>
      </c>
      <c r="EE7" s="45">
        <v>975.72199999999998</v>
      </c>
      <c r="EF7" s="45">
        <v>975.72199999999998</v>
      </c>
      <c r="EG7" s="45">
        <v>975.72199999999998</v>
      </c>
      <c r="EH7" s="45">
        <v>975.72199999999998</v>
      </c>
      <c r="EI7" s="45">
        <v>975.72199999999998</v>
      </c>
      <c r="EJ7" s="45">
        <v>975.72199999999998</v>
      </c>
      <c r="EK7" s="45">
        <v>975.72199999999998</v>
      </c>
      <c r="EL7" s="45">
        <v>975.72199999999998</v>
      </c>
      <c r="EM7" s="45">
        <v>975.72199999999998</v>
      </c>
      <c r="EN7" s="45">
        <v>975.72199999999998</v>
      </c>
      <c r="EO7" s="45">
        <v>975.72199999999998</v>
      </c>
      <c r="EP7" s="69">
        <v>975.72199999999998</v>
      </c>
      <c r="EQ7" s="45">
        <v>975.72199999999998</v>
      </c>
      <c r="ER7" s="45">
        <v>975.72199999999998</v>
      </c>
      <c r="ES7" s="45">
        <v>975.72199999999998</v>
      </c>
      <c r="ET7" s="45">
        <v>975.72199999999998</v>
      </c>
      <c r="EU7" s="45">
        <v>975.72199999999998</v>
      </c>
      <c r="EV7" s="45">
        <v>975.72199999999998</v>
      </c>
      <c r="EW7" s="45">
        <v>975.72199999999998</v>
      </c>
      <c r="EX7" s="45">
        <v>975.72199999999998</v>
      </c>
      <c r="EY7" s="45">
        <v>975.72199999999998</v>
      </c>
      <c r="EZ7" s="45">
        <v>975.72199999999998</v>
      </c>
      <c r="FA7" s="82">
        <v>975.72199999999998</v>
      </c>
      <c r="FB7" s="45">
        <v>975.72199999999998</v>
      </c>
      <c r="FC7" s="45">
        <v>975.72199999999998</v>
      </c>
      <c r="FD7" s="45">
        <v>975.72199999999998</v>
      </c>
      <c r="FE7" s="45">
        <v>975.72199999999998</v>
      </c>
      <c r="FF7" s="45">
        <v>975.72199999999998</v>
      </c>
      <c r="FG7" s="45">
        <v>975.72199999999998</v>
      </c>
      <c r="FH7" s="45">
        <v>975.72199999999998</v>
      </c>
      <c r="FI7" s="45">
        <v>975.72199999999998</v>
      </c>
      <c r="FJ7" s="45">
        <v>975.72199999999998</v>
      </c>
      <c r="FK7" s="45">
        <v>975.72199999999998</v>
      </c>
      <c r="FL7" s="45">
        <v>975.72199999999998</v>
      </c>
      <c r="FM7" s="45">
        <v>975.72199999999998</v>
      </c>
      <c r="FN7" s="69">
        <v>975.72199999999998</v>
      </c>
      <c r="FO7" s="45">
        <v>975.72199999999998</v>
      </c>
      <c r="FP7" s="45">
        <v>975.72199999999998</v>
      </c>
      <c r="FQ7" s="45">
        <v>975.72199999999998</v>
      </c>
      <c r="FR7" s="45">
        <v>975.72199999999998</v>
      </c>
      <c r="FS7" s="45">
        <v>975.72199999999998</v>
      </c>
      <c r="FT7" s="45">
        <v>975.72199999999998</v>
      </c>
      <c r="FU7" s="45">
        <v>975.72199999999998</v>
      </c>
      <c r="FV7" s="45">
        <v>975.72199999999998</v>
      </c>
      <c r="FW7" s="45">
        <v>975.72199999999998</v>
      </c>
      <c r="FX7" s="45">
        <v>975.72199999999998</v>
      </c>
      <c r="FY7" s="45">
        <v>975.72199999999998</v>
      </c>
      <c r="FZ7" s="69">
        <v>975.72199999999998</v>
      </c>
      <c r="GA7" s="45">
        <v>975.72199999999998</v>
      </c>
      <c r="GB7" s="45">
        <v>975.72199999999998</v>
      </c>
      <c r="GC7" s="45">
        <v>975.72199999999998</v>
      </c>
      <c r="GD7" s="45">
        <v>975.72199999999998</v>
      </c>
      <c r="GE7" s="45">
        <v>975.72199999999998</v>
      </c>
      <c r="GF7" s="45">
        <v>975.72199999999998</v>
      </c>
      <c r="GG7" s="45">
        <v>975.72199999999998</v>
      </c>
      <c r="GH7" s="45">
        <v>975.72199999999998</v>
      </c>
      <c r="GI7" s="45">
        <v>975.72199999999998</v>
      </c>
      <c r="GJ7" s="45">
        <v>975.72199999999998</v>
      </c>
      <c r="GK7" s="45">
        <v>975.72199999999998</v>
      </c>
      <c r="GL7" s="69">
        <v>975.72199999999998</v>
      </c>
      <c r="GM7" s="45">
        <v>975.72199999999998</v>
      </c>
      <c r="GN7" s="45">
        <v>975.72199999999998</v>
      </c>
      <c r="GO7" s="45">
        <v>975.72199999999998</v>
      </c>
      <c r="GP7" s="45">
        <v>975.72199999999998</v>
      </c>
      <c r="GQ7" s="45">
        <v>975.72199999999998</v>
      </c>
    </row>
    <row r="8" spans="1:199" s="1" customFormat="1" ht="20.149999999999999" customHeight="1" x14ac:dyDescent="0.35">
      <c r="A8" s="31" t="s">
        <v>278</v>
      </c>
      <c r="B8" s="45">
        <v>12.845000000000001</v>
      </c>
      <c r="C8" s="45">
        <v>13.856999999999999</v>
      </c>
      <c r="D8" s="45">
        <v>15.819000000000001</v>
      </c>
      <c r="E8" s="45">
        <v>18.035</v>
      </c>
      <c r="F8" s="45">
        <v>21.678999999999998</v>
      </c>
      <c r="G8" s="45">
        <v>26.094000000000001</v>
      </c>
      <c r="H8" s="45">
        <v>31.177</v>
      </c>
      <c r="I8" s="45">
        <v>36.463999999999999</v>
      </c>
      <c r="J8" s="45">
        <v>43.343000000000004</v>
      </c>
      <c r="K8" s="45">
        <v>51.899000000000001</v>
      </c>
      <c r="L8" s="45">
        <v>61.375</v>
      </c>
      <c r="M8" s="49">
        <v>68.727999999999994</v>
      </c>
      <c r="N8" s="50">
        <v>78.876999999999995</v>
      </c>
      <c r="O8" s="45">
        <v>91.263999999999996</v>
      </c>
      <c r="P8" s="45">
        <v>109.855</v>
      </c>
      <c r="Q8" s="45">
        <v>133.27199999999999</v>
      </c>
      <c r="R8" s="45">
        <v>155.833</v>
      </c>
      <c r="S8" s="45">
        <v>187.97499999999999</v>
      </c>
      <c r="T8" s="45">
        <v>258.32299999999998</v>
      </c>
      <c r="U8" s="45">
        <v>301.97300000000001</v>
      </c>
      <c r="V8" s="45">
        <v>366.24299999999999</v>
      </c>
      <c r="W8" s="45">
        <v>468.44299999999998</v>
      </c>
      <c r="X8" s="45">
        <v>659.84699999999998</v>
      </c>
      <c r="Y8" s="49">
        <v>838.26900000000001</v>
      </c>
      <c r="Z8" s="45">
        <v>861.54200000000003</v>
      </c>
      <c r="AA8" s="45">
        <v>1029.3030000000001</v>
      </c>
      <c r="AB8" s="45">
        <v>1129.694</v>
      </c>
      <c r="AC8" s="45">
        <v>1145.461</v>
      </c>
      <c r="AD8" s="45">
        <v>1179.6369999999999</v>
      </c>
      <c r="AE8" s="45">
        <v>1232.527</v>
      </c>
      <c r="AF8" s="45">
        <v>1365.8869999999999</v>
      </c>
      <c r="AG8" s="45">
        <v>1379.604</v>
      </c>
      <c r="AH8" s="45">
        <v>1397.1780000000001</v>
      </c>
      <c r="AI8" s="45">
        <v>1439.5060000000001</v>
      </c>
      <c r="AJ8" s="45">
        <v>1460.954</v>
      </c>
      <c r="AK8" s="49">
        <v>1481.809</v>
      </c>
      <c r="AL8" s="45">
        <v>1505.348</v>
      </c>
      <c r="AM8" s="45">
        <v>1532.778</v>
      </c>
      <c r="AN8" s="45">
        <v>1564.847</v>
      </c>
      <c r="AO8" s="45">
        <v>1611.0809999999999</v>
      </c>
      <c r="AP8" s="45">
        <v>1647.5050000000001</v>
      </c>
      <c r="AQ8" s="45">
        <v>1713.261</v>
      </c>
      <c r="AR8" s="45">
        <v>1742.0730000000001</v>
      </c>
      <c r="AS8" s="45">
        <v>1779.2139999999999</v>
      </c>
      <c r="AT8" s="45">
        <v>1815.9290000000001</v>
      </c>
      <c r="AU8" s="45">
        <v>1853.0050000000001</v>
      </c>
      <c r="AV8" s="45">
        <v>1896.32</v>
      </c>
      <c r="AW8" s="49">
        <v>1939.405</v>
      </c>
      <c r="AX8" s="45">
        <v>1973.627</v>
      </c>
      <c r="AY8" s="45">
        <v>2010.3620000000001</v>
      </c>
      <c r="AZ8" s="45">
        <v>2092.16</v>
      </c>
      <c r="BA8" s="45">
        <v>2128.4090000000001</v>
      </c>
      <c r="BB8" s="45">
        <v>2164.9960000000001</v>
      </c>
      <c r="BC8" s="45">
        <v>2225.0390000000002</v>
      </c>
      <c r="BD8" s="45">
        <v>2269.6909999999998</v>
      </c>
      <c r="BE8" s="45">
        <v>2313.4960000000001</v>
      </c>
      <c r="BF8" s="45">
        <v>2367.6959999999999</v>
      </c>
      <c r="BG8" s="45">
        <v>2424.8090000000002</v>
      </c>
      <c r="BH8" s="45">
        <v>2478.7249999999999</v>
      </c>
      <c r="BI8" s="49">
        <v>2551.1849999999999</v>
      </c>
      <c r="BJ8" s="45">
        <v>2583.3270000000002</v>
      </c>
      <c r="BK8" s="45">
        <v>2623.1889999999999</v>
      </c>
      <c r="BL8" s="45">
        <v>2711.2669999999998</v>
      </c>
      <c r="BM8" s="45">
        <v>2753.3420000000001</v>
      </c>
      <c r="BN8" s="45">
        <v>2801.4549999999999</v>
      </c>
      <c r="BO8" s="45">
        <v>2891.5219999999999</v>
      </c>
      <c r="BP8" s="45">
        <v>2942.0169999999998</v>
      </c>
      <c r="BQ8" s="45">
        <v>2993.5059999999999</v>
      </c>
      <c r="BR8" s="45">
        <v>3089.1280000000002</v>
      </c>
      <c r="BS8" s="45">
        <v>3164.587</v>
      </c>
      <c r="BT8" s="45">
        <v>3268.7570000000001</v>
      </c>
      <c r="BU8" s="49">
        <v>3472.1320000000001</v>
      </c>
      <c r="BV8" s="45">
        <v>3563.2489999999998</v>
      </c>
      <c r="BW8" s="45">
        <v>3582.5880000000002</v>
      </c>
      <c r="BX8" s="45">
        <v>3650.223</v>
      </c>
      <c r="BY8" s="45">
        <v>3659.5419999999999</v>
      </c>
      <c r="BZ8" s="45">
        <v>3675.181</v>
      </c>
      <c r="CA8" s="45">
        <v>3687.9609999999998</v>
      </c>
      <c r="CB8" s="45">
        <v>3700.32</v>
      </c>
      <c r="CC8" s="45">
        <v>3714.6840000000002</v>
      </c>
      <c r="CD8" s="45">
        <v>3734.759</v>
      </c>
      <c r="CE8" s="45">
        <v>3744.1840000000002</v>
      </c>
      <c r="CF8" s="45">
        <v>3753.857</v>
      </c>
      <c r="CG8" s="124">
        <v>3765.01</v>
      </c>
      <c r="CH8" s="69">
        <v>3769.7959999999998</v>
      </c>
      <c r="CI8" s="45">
        <v>3777.192</v>
      </c>
      <c r="CJ8" s="45">
        <v>3788.2489999999998</v>
      </c>
      <c r="CK8" s="45">
        <v>3796.078</v>
      </c>
      <c r="CL8" s="45">
        <v>3805.9589999999998</v>
      </c>
      <c r="CM8" s="45">
        <v>3817.9639999999999</v>
      </c>
      <c r="CN8" s="45">
        <v>3829.3490000000002</v>
      </c>
      <c r="CO8" s="45">
        <v>3843.1970000000001</v>
      </c>
      <c r="CP8" s="45">
        <v>3855.953</v>
      </c>
      <c r="CQ8" s="45">
        <v>3865.1489999999999</v>
      </c>
      <c r="CR8" s="45">
        <v>3876.2979999999998</v>
      </c>
      <c r="CS8" s="124">
        <v>3884.3519999999999</v>
      </c>
      <c r="CT8" s="69">
        <v>3892.1460000000002</v>
      </c>
      <c r="CU8" s="45">
        <v>3899.3510000000001</v>
      </c>
      <c r="CV8" s="45">
        <v>3911.4349999999999</v>
      </c>
      <c r="CW8" s="45">
        <v>3921.3150000000001</v>
      </c>
      <c r="CX8" s="45">
        <v>3931.78</v>
      </c>
      <c r="CY8" s="45">
        <v>3944.444</v>
      </c>
      <c r="CZ8" s="45">
        <v>3955.866</v>
      </c>
      <c r="DA8" s="45">
        <v>3967.7049999999999</v>
      </c>
      <c r="DB8" s="45">
        <v>3980.846</v>
      </c>
      <c r="DC8" s="45">
        <v>3992.8960000000002</v>
      </c>
      <c r="DD8" s="45">
        <v>4008.0219999999999</v>
      </c>
      <c r="DE8" s="124">
        <v>4026.8679999999999</v>
      </c>
      <c r="DF8" s="69">
        <v>4043.8629999999998</v>
      </c>
      <c r="DG8" s="45">
        <v>4068.7080000000001</v>
      </c>
      <c r="DH8" s="45">
        <v>4132.2510000000002</v>
      </c>
      <c r="DI8" s="45">
        <v>4136.4049999999997</v>
      </c>
      <c r="DJ8" s="45">
        <v>4137.1880000000001</v>
      </c>
      <c r="DK8" s="45">
        <v>4138.9549999999999</v>
      </c>
      <c r="DL8" s="45">
        <v>4140.3389999999999</v>
      </c>
      <c r="DM8" s="45">
        <v>4142.6559999999999</v>
      </c>
      <c r="DN8" s="45">
        <v>4145.34</v>
      </c>
      <c r="DO8" s="45">
        <v>4145.6840000000002</v>
      </c>
      <c r="DP8" s="45">
        <v>4146.1459999999997</v>
      </c>
      <c r="DQ8" s="124">
        <v>4146.5169999999998</v>
      </c>
      <c r="DR8" s="69">
        <v>4147.1409999999996</v>
      </c>
      <c r="DS8" s="45">
        <v>4147.9679999999998</v>
      </c>
      <c r="DT8" s="45">
        <v>4150.1779999999999</v>
      </c>
      <c r="DU8" s="45">
        <v>4150.1779999999999</v>
      </c>
      <c r="DV8" s="45">
        <v>4150.1779999999999</v>
      </c>
      <c r="DW8" s="45">
        <v>4150.2079999999996</v>
      </c>
      <c r="DX8" s="45">
        <v>4150.2380000000003</v>
      </c>
      <c r="DY8" s="45">
        <v>4150.4660000000003</v>
      </c>
      <c r="DZ8" s="45">
        <v>4150.6790000000001</v>
      </c>
      <c r="EA8" s="45">
        <v>4150.6869999999999</v>
      </c>
      <c r="EB8" s="45">
        <v>4150.6869999999999</v>
      </c>
      <c r="EC8" s="45">
        <v>4150.7470000000003</v>
      </c>
      <c r="ED8" s="69">
        <v>4150.7969999999996</v>
      </c>
      <c r="EE8" s="45">
        <v>4150.7969999999996</v>
      </c>
      <c r="EF8" s="45">
        <v>4150.7969999999996</v>
      </c>
      <c r="EG8" s="45">
        <v>4150.7969999999996</v>
      </c>
      <c r="EH8" s="45">
        <v>4150.7969999999996</v>
      </c>
      <c r="EI8" s="45">
        <v>4150.7969999999996</v>
      </c>
      <c r="EJ8" s="45">
        <v>4150.7969999999996</v>
      </c>
      <c r="EK8" s="45">
        <v>4150.7969999999996</v>
      </c>
      <c r="EL8" s="45">
        <v>4150.7969999999996</v>
      </c>
      <c r="EM8" s="45">
        <v>4150.7969999999996</v>
      </c>
      <c r="EN8" s="45">
        <v>4150.7969999999996</v>
      </c>
      <c r="EO8" s="45">
        <v>4150.7969999999996</v>
      </c>
      <c r="EP8" s="69">
        <v>4150.7969999999996</v>
      </c>
      <c r="EQ8" s="45">
        <v>4150.7969999999996</v>
      </c>
      <c r="ER8" s="45">
        <v>4150.7969999999996</v>
      </c>
      <c r="ES8" s="45">
        <v>4150.7969999999996</v>
      </c>
      <c r="ET8" s="45">
        <v>4150.7969999999996</v>
      </c>
      <c r="EU8" s="45">
        <v>4150.7969999999996</v>
      </c>
      <c r="EV8" s="45">
        <v>4150.7969999999996</v>
      </c>
      <c r="EW8" s="45">
        <v>4150.7969999999996</v>
      </c>
      <c r="EX8" s="45">
        <v>4150.7969999999996</v>
      </c>
      <c r="EY8" s="45">
        <v>4150.7969999999996</v>
      </c>
      <c r="EZ8" s="45">
        <v>4150.7969999999996</v>
      </c>
      <c r="FA8" s="82">
        <v>4150.7969999999996</v>
      </c>
      <c r="FB8" s="45">
        <v>4150.7969999999996</v>
      </c>
      <c r="FC8" s="45">
        <v>4150.7969999999996</v>
      </c>
      <c r="FD8" s="45">
        <v>4150.7969999999996</v>
      </c>
      <c r="FE8" s="45">
        <v>4150.7969999999996</v>
      </c>
      <c r="FF8" s="45">
        <v>4150.7969999999996</v>
      </c>
      <c r="FG8" s="45">
        <v>4150.7969999999996</v>
      </c>
      <c r="FH8" s="45">
        <v>4150.7969999999996</v>
      </c>
      <c r="FI8" s="45">
        <v>4150.7969999999996</v>
      </c>
      <c r="FJ8" s="45">
        <v>4150.7969999999996</v>
      </c>
      <c r="FK8" s="45">
        <v>4150.7969999999996</v>
      </c>
      <c r="FL8" s="45">
        <v>4150.7969999999996</v>
      </c>
      <c r="FM8" s="45">
        <v>4150.7969999999996</v>
      </c>
      <c r="FN8" s="69">
        <v>4150.7969999999996</v>
      </c>
      <c r="FO8" s="45">
        <v>4150.7969999999996</v>
      </c>
      <c r="FP8" s="45">
        <v>4150.7969999999996</v>
      </c>
      <c r="FQ8" s="45">
        <v>4150.7969999999996</v>
      </c>
      <c r="FR8" s="45">
        <v>4150.7969999999996</v>
      </c>
      <c r="FS8" s="45">
        <v>4150.7969999999996</v>
      </c>
      <c r="FT8" s="45">
        <v>4150.7969999999996</v>
      </c>
      <c r="FU8" s="45">
        <v>4150.7969999999996</v>
      </c>
      <c r="FV8" s="45">
        <v>4150.7969999999996</v>
      </c>
      <c r="FW8" s="45">
        <v>4150.7969999999996</v>
      </c>
      <c r="FX8" s="45">
        <v>4150.7969999999996</v>
      </c>
      <c r="FY8" s="45">
        <v>4150.7969999999996</v>
      </c>
      <c r="FZ8" s="69">
        <v>4150.7969999999996</v>
      </c>
      <c r="GA8" s="45">
        <v>4150.7969999999996</v>
      </c>
      <c r="GB8" s="45">
        <v>4150.7969999999996</v>
      </c>
      <c r="GC8" s="45">
        <v>4150.7969999999996</v>
      </c>
      <c r="GD8" s="45">
        <v>4150.7969999999996</v>
      </c>
      <c r="GE8" s="45">
        <v>4150.7969999999996</v>
      </c>
      <c r="GF8" s="45">
        <v>4150.7969999999996</v>
      </c>
      <c r="GG8" s="45">
        <v>4150.7969999999996</v>
      </c>
      <c r="GH8" s="45">
        <v>4150.7969999999996</v>
      </c>
      <c r="GI8" s="45">
        <v>4150.7969999999996</v>
      </c>
      <c r="GJ8" s="45">
        <v>4150.7969999999996</v>
      </c>
      <c r="GK8" s="45">
        <v>4150.7969999999996</v>
      </c>
      <c r="GL8" s="69">
        <v>4150.7969999999996</v>
      </c>
      <c r="GM8" s="45">
        <v>4150.7969999999996</v>
      </c>
      <c r="GN8" s="45">
        <v>4150.7969999999996</v>
      </c>
      <c r="GO8" s="45">
        <v>4150.7969999999996</v>
      </c>
      <c r="GP8" s="45">
        <v>4150.7969999999996</v>
      </c>
      <c r="GQ8" s="45">
        <v>4150.7969999999996</v>
      </c>
    </row>
    <row r="9" spans="1:199" s="1" customFormat="1" ht="20.149999999999999" customHeight="1" x14ac:dyDescent="0.35">
      <c r="A9" s="31" t="s">
        <v>279</v>
      </c>
      <c r="B9" s="45">
        <v>0</v>
      </c>
      <c r="C9" s="45">
        <v>0</v>
      </c>
      <c r="D9" s="45">
        <v>0</v>
      </c>
      <c r="E9" s="45">
        <v>0</v>
      </c>
      <c r="F9" s="45">
        <v>0</v>
      </c>
      <c r="G9" s="45">
        <v>0</v>
      </c>
      <c r="H9" s="45">
        <v>0</v>
      </c>
      <c r="I9" s="45">
        <v>0</v>
      </c>
      <c r="J9" s="45">
        <v>0</v>
      </c>
      <c r="K9" s="45">
        <v>0</v>
      </c>
      <c r="L9" s="45">
        <v>0</v>
      </c>
      <c r="M9" s="49">
        <v>0</v>
      </c>
      <c r="N9" s="50">
        <v>0</v>
      </c>
      <c r="O9" s="45">
        <v>0</v>
      </c>
      <c r="P9" s="45">
        <v>0</v>
      </c>
      <c r="Q9" s="45">
        <v>0</v>
      </c>
      <c r="R9" s="45">
        <v>0</v>
      </c>
      <c r="S9" s="45">
        <v>0</v>
      </c>
      <c r="T9" s="45">
        <v>1.4410000000000001</v>
      </c>
      <c r="U9" s="45">
        <v>1.4410000000000001</v>
      </c>
      <c r="V9" s="45">
        <v>1.4410000000000001</v>
      </c>
      <c r="W9" s="45">
        <v>1.4410000000000001</v>
      </c>
      <c r="X9" s="45">
        <v>1.4410000000000001</v>
      </c>
      <c r="Y9" s="49">
        <v>6.4409999999999998</v>
      </c>
      <c r="Z9" s="45">
        <v>6.4409999999999998</v>
      </c>
      <c r="AA9" s="45">
        <v>6.4409999999999998</v>
      </c>
      <c r="AB9" s="45">
        <v>6.4409999999999998</v>
      </c>
      <c r="AC9" s="45">
        <v>6.4409999999999998</v>
      </c>
      <c r="AD9" s="45">
        <v>6.4409999999999998</v>
      </c>
      <c r="AE9" s="45">
        <v>6.4409999999999998</v>
      </c>
      <c r="AF9" s="45">
        <v>6.4409999999999998</v>
      </c>
      <c r="AG9" s="45">
        <v>6.4409999999999998</v>
      </c>
      <c r="AH9" s="45">
        <v>6.4409999999999998</v>
      </c>
      <c r="AI9" s="45">
        <v>6.4409999999999998</v>
      </c>
      <c r="AJ9" s="45">
        <v>6.4409999999999998</v>
      </c>
      <c r="AK9" s="49">
        <v>6.4409999999999998</v>
      </c>
      <c r="AL9" s="45">
        <v>6.4409999999999998</v>
      </c>
      <c r="AM9" s="45">
        <v>6.4409999999999998</v>
      </c>
      <c r="AN9" s="45">
        <v>93.528999999999996</v>
      </c>
      <c r="AO9" s="45">
        <v>99.16</v>
      </c>
      <c r="AP9" s="45">
        <v>118.131</v>
      </c>
      <c r="AQ9" s="45">
        <v>176.33500000000001</v>
      </c>
      <c r="AR9" s="45">
        <v>180.78800000000001</v>
      </c>
      <c r="AS9" s="45">
        <v>203.63399999999999</v>
      </c>
      <c r="AT9" s="45">
        <v>206.53399999999999</v>
      </c>
      <c r="AU9" s="45">
        <v>206.53399999999999</v>
      </c>
      <c r="AV9" s="45">
        <v>261.53500000000003</v>
      </c>
      <c r="AW9" s="49">
        <v>271.57900000000001</v>
      </c>
      <c r="AX9" s="45">
        <v>357.81900000000002</v>
      </c>
      <c r="AY9" s="45">
        <v>397.91199999999998</v>
      </c>
      <c r="AZ9" s="45">
        <v>1292.3420000000001</v>
      </c>
      <c r="BA9" s="45">
        <v>1301.3330000000001</v>
      </c>
      <c r="BB9" s="45">
        <v>1352.367</v>
      </c>
      <c r="BC9" s="45">
        <v>1412.1610000000001</v>
      </c>
      <c r="BD9" s="45">
        <v>1524.8610000000001</v>
      </c>
      <c r="BE9" s="45">
        <v>1535.962</v>
      </c>
      <c r="BF9" s="45">
        <v>1680.5409999999999</v>
      </c>
      <c r="BG9" s="45">
        <v>1784.5129999999999</v>
      </c>
      <c r="BH9" s="45">
        <v>1856.7940000000001</v>
      </c>
      <c r="BI9" s="49">
        <v>2068.0369999999998</v>
      </c>
      <c r="BJ9" s="45">
        <v>2100.4749999999999</v>
      </c>
      <c r="BK9" s="45">
        <v>2209.6840000000002</v>
      </c>
      <c r="BL9" s="45">
        <v>4426.5820000000003</v>
      </c>
      <c r="BM9" s="45">
        <v>4428.4669999999996</v>
      </c>
      <c r="BN9" s="45">
        <v>4433.09</v>
      </c>
      <c r="BO9" s="45">
        <v>4433.09</v>
      </c>
      <c r="BP9" s="45">
        <v>4453.4080000000004</v>
      </c>
      <c r="BQ9" s="45">
        <v>4487.8549999999996</v>
      </c>
      <c r="BR9" s="45">
        <v>4491.8459999999995</v>
      </c>
      <c r="BS9" s="45">
        <v>4543.027</v>
      </c>
      <c r="BT9" s="45">
        <v>4580.5209999999997</v>
      </c>
      <c r="BU9" s="49">
        <v>4673.1750000000002</v>
      </c>
      <c r="BV9" s="45">
        <v>4710.43</v>
      </c>
      <c r="BW9" s="45">
        <v>4784.7579999999998</v>
      </c>
      <c r="BX9" s="45">
        <v>5831.6030000000001</v>
      </c>
      <c r="BY9" s="45">
        <v>5873.0349999999999</v>
      </c>
      <c r="BZ9" s="45">
        <v>5883.0320000000002</v>
      </c>
      <c r="CA9" s="45">
        <v>5902.9979999999996</v>
      </c>
      <c r="CB9" s="45">
        <v>5912.9759999999997</v>
      </c>
      <c r="CC9" s="45">
        <v>5927.4250000000002</v>
      </c>
      <c r="CD9" s="45">
        <v>5937.0439999999999</v>
      </c>
      <c r="CE9" s="45">
        <v>5963.9189999999999</v>
      </c>
      <c r="CF9" s="45">
        <v>5986.9139999999998</v>
      </c>
      <c r="CG9" s="124">
        <v>6043.0919999999996</v>
      </c>
      <c r="CH9" s="69">
        <v>6061.5079999999998</v>
      </c>
      <c r="CI9" s="45">
        <v>6117.1620000000003</v>
      </c>
      <c r="CJ9" s="45">
        <v>6520.1610000000001</v>
      </c>
      <c r="CK9" s="45">
        <v>6528.15</v>
      </c>
      <c r="CL9" s="45">
        <v>6532.53</v>
      </c>
      <c r="CM9" s="45">
        <v>6532.53</v>
      </c>
      <c r="CN9" s="45">
        <v>6537.433</v>
      </c>
      <c r="CO9" s="45">
        <v>6537.433</v>
      </c>
      <c r="CP9" s="45">
        <v>6537.433</v>
      </c>
      <c r="CQ9" s="45">
        <v>6537.433</v>
      </c>
      <c r="CR9" s="45">
        <v>6537.433</v>
      </c>
      <c r="CS9" s="124">
        <v>6537.433</v>
      </c>
      <c r="CT9" s="69">
        <v>6537.433</v>
      </c>
      <c r="CU9" s="45">
        <v>6537.433</v>
      </c>
      <c r="CV9" s="45">
        <v>6537.433</v>
      </c>
      <c r="CW9" s="45">
        <v>6537.433</v>
      </c>
      <c r="CX9" s="45">
        <v>6537.433</v>
      </c>
      <c r="CY9" s="45">
        <v>6540.7250000000004</v>
      </c>
      <c r="CZ9" s="45">
        <v>6540.7250000000004</v>
      </c>
      <c r="DA9" s="45">
        <v>6540.7250000000004</v>
      </c>
      <c r="DB9" s="45">
        <v>6540.7250000000004</v>
      </c>
      <c r="DC9" s="45">
        <v>6540.7250000000004</v>
      </c>
      <c r="DD9" s="45">
        <v>6540.7250000000004</v>
      </c>
      <c r="DE9" s="124">
        <v>6540.7250000000004</v>
      </c>
      <c r="DF9" s="69">
        <v>6540.7250000000004</v>
      </c>
      <c r="DG9" s="45">
        <v>6540.7250000000004</v>
      </c>
      <c r="DH9" s="45">
        <v>6540.7250000000004</v>
      </c>
      <c r="DI9" s="45">
        <v>6540.7250000000004</v>
      </c>
      <c r="DJ9" s="45">
        <v>6540.7250000000004</v>
      </c>
      <c r="DK9" s="45">
        <v>6540.7250000000004</v>
      </c>
      <c r="DL9" s="45">
        <v>6540.7250000000004</v>
      </c>
      <c r="DM9" s="45">
        <v>6540.7250000000004</v>
      </c>
      <c r="DN9" s="45">
        <v>6540.7250000000004</v>
      </c>
      <c r="DO9" s="45">
        <v>6540.7250000000004</v>
      </c>
      <c r="DP9" s="45">
        <v>6540.7250000000004</v>
      </c>
      <c r="DQ9" s="124">
        <v>6540.7250000000004</v>
      </c>
      <c r="DR9" s="69">
        <v>6540.7250000000004</v>
      </c>
      <c r="DS9" s="45">
        <v>6540.7250000000004</v>
      </c>
      <c r="DT9" s="45">
        <v>6540.7250000000004</v>
      </c>
      <c r="DU9" s="45">
        <v>6540.7250000000004</v>
      </c>
      <c r="DV9" s="45">
        <v>6540.7250000000004</v>
      </c>
      <c r="DW9" s="45">
        <v>6540.7250000000004</v>
      </c>
      <c r="DX9" s="45">
        <v>6540.7250000000004</v>
      </c>
      <c r="DY9" s="45">
        <v>6540.7250000000004</v>
      </c>
      <c r="DZ9" s="45">
        <v>6540.7250000000004</v>
      </c>
      <c r="EA9" s="45">
        <v>6540.7250000000004</v>
      </c>
      <c r="EB9" s="45">
        <v>6540.7250000000004</v>
      </c>
      <c r="EC9" s="45">
        <v>6540.7250000000004</v>
      </c>
      <c r="ED9" s="69">
        <v>6540.7250000000004</v>
      </c>
      <c r="EE9" s="45">
        <v>6540.7250000000004</v>
      </c>
      <c r="EF9" s="45">
        <v>6540.7250000000004</v>
      </c>
      <c r="EG9" s="45">
        <v>6540.7250000000004</v>
      </c>
      <c r="EH9" s="45">
        <v>6540.7250000000004</v>
      </c>
      <c r="EI9" s="45">
        <v>6540.7250000000004</v>
      </c>
      <c r="EJ9" s="45">
        <v>6540.7250000000004</v>
      </c>
      <c r="EK9" s="45">
        <v>6540.7250000000004</v>
      </c>
      <c r="EL9" s="45">
        <v>6540.7250000000004</v>
      </c>
      <c r="EM9" s="45">
        <v>6540.7250000000004</v>
      </c>
      <c r="EN9" s="45">
        <v>6540.7250000000004</v>
      </c>
      <c r="EO9" s="45">
        <v>6540.7250000000004</v>
      </c>
      <c r="EP9" s="69">
        <v>6540.7250000000004</v>
      </c>
      <c r="EQ9" s="45">
        <v>6540.7250000000004</v>
      </c>
      <c r="ER9" s="45">
        <v>6540.7250000000004</v>
      </c>
      <c r="ES9" s="45">
        <v>6540.7250000000004</v>
      </c>
      <c r="ET9" s="45">
        <v>6540.7250000000004</v>
      </c>
      <c r="EU9" s="45">
        <v>6540.7250000000004</v>
      </c>
      <c r="EV9" s="45">
        <v>6540.7250000000004</v>
      </c>
      <c r="EW9" s="45">
        <v>6540.7250000000004</v>
      </c>
      <c r="EX9" s="45">
        <v>6540.7250000000004</v>
      </c>
      <c r="EY9" s="45">
        <v>6540.7250000000004</v>
      </c>
      <c r="EZ9" s="45">
        <v>6540.7250000000004</v>
      </c>
      <c r="FA9" s="82">
        <v>6540.7250000000004</v>
      </c>
      <c r="FB9" s="45">
        <v>6540.7250000000004</v>
      </c>
      <c r="FC9" s="45">
        <v>6540.7250000000004</v>
      </c>
      <c r="FD9" s="45">
        <v>6540.7250000000004</v>
      </c>
      <c r="FE9" s="45">
        <v>6540.7250000000004</v>
      </c>
      <c r="FF9" s="45">
        <v>6540.7250000000004</v>
      </c>
      <c r="FG9" s="45">
        <v>6540.7250000000004</v>
      </c>
      <c r="FH9" s="45">
        <v>6540.7250000000004</v>
      </c>
      <c r="FI9" s="45">
        <v>6540.7250000000004</v>
      </c>
      <c r="FJ9" s="45">
        <v>6540.7250000000004</v>
      </c>
      <c r="FK9" s="45">
        <v>6540.7250000000004</v>
      </c>
      <c r="FL9" s="45">
        <v>6540.7250000000004</v>
      </c>
      <c r="FM9" s="45">
        <v>6540.7250000000004</v>
      </c>
      <c r="FN9" s="69">
        <v>6540.7250000000004</v>
      </c>
      <c r="FO9" s="45">
        <v>6540.7250000000004</v>
      </c>
      <c r="FP9" s="45">
        <v>6540.7250000000004</v>
      </c>
      <c r="FQ9" s="45">
        <v>6540.7250000000004</v>
      </c>
      <c r="FR9" s="45">
        <v>6540.7250000000004</v>
      </c>
      <c r="FS9" s="45">
        <v>6540.7250000000004</v>
      </c>
      <c r="FT9" s="45">
        <v>6540.7250000000004</v>
      </c>
      <c r="FU9" s="45">
        <v>6540.7250000000004</v>
      </c>
      <c r="FV9" s="45">
        <v>6540.7250000000004</v>
      </c>
      <c r="FW9" s="45">
        <v>6540.7250000000004</v>
      </c>
      <c r="FX9" s="45">
        <v>6540.7250000000004</v>
      </c>
      <c r="FY9" s="45">
        <v>6540.7250000000004</v>
      </c>
      <c r="FZ9" s="69">
        <v>6540.7250000000004</v>
      </c>
      <c r="GA9" s="45">
        <v>6540.7250000000004</v>
      </c>
      <c r="GB9" s="45">
        <v>6540.7250000000004</v>
      </c>
      <c r="GC9" s="45">
        <v>6540.7250000000004</v>
      </c>
      <c r="GD9" s="45">
        <v>6540.7250000000004</v>
      </c>
      <c r="GE9" s="45">
        <v>6540.7250000000004</v>
      </c>
      <c r="GF9" s="45">
        <v>6540.7250000000004</v>
      </c>
      <c r="GG9" s="45">
        <v>6540.7250000000004</v>
      </c>
      <c r="GH9" s="45">
        <v>6540.7250000000004</v>
      </c>
      <c r="GI9" s="45">
        <v>6540.7250000000004</v>
      </c>
      <c r="GJ9" s="45">
        <v>6540.7250000000004</v>
      </c>
      <c r="GK9" s="45">
        <v>6540.7250000000004</v>
      </c>
      <c r="GL9" s="69">
        <v>6540.7250000000004</v>
      </c>
      <c r="GM9" s="45">
        <v>6540.7250000000004</v>
      </c>
      <c r="GN9" s="45">
        <v>6540.7250000000004</v>
      </c>
      <c r="GO9" s="45">
        <v>6540.7250000000004</v>
      </c>
      <c r="GP9" s="45">
        <v>6540.7250000000004</v>
      </c>
      <c r="GQ9" s="45">
        <v>6540.7250000000004</v>
      </c>
    </row>
    <row r="10" spans="1:199" s="1" customFormat="1" ht="20.149999999999999" customHeight="1" x14ac:dyDescent="0.35">
      <c r="A10" s="31" t="s">
        <v>280</v>
      </c>
      <c r="B10" s="45">
        <v>0.90400000000000003</v>
      </c>
      <c r="C10" s="45">
        <v>0.90400000000000003</v>
      </c>
      <c r="D10" s="45">
        <v>0.90400000000000003</v>
      </c>
      <c r="E10" s="45">
        <v>0.90400000000000003</v>
      </c>
      <c r="F10" s="45">
        <v>0.90400000000000003</v>
      </c>
      <c r="G10" s="45">
        <v>0.90400000000000003</v>
      </c>
      <c r="H10" s="45">
        <v>0.90400000000000003</v>
      </c>
      <c r="I10" s="45">
        <v>0.90400000000000003</v>
      </c>
      <c r="J10" s="45">
        <v>0.90400000000000003</v>
      </c>
      <c r="K10" s="45">
        <v>0.90400000000000003</v>
      </c>
      <c r="L10" s="45">
        <v>0.90400000000000003</v>
      </c>
      <c r="M10" s="49">
        <v>0.90400000000000003</v>
      </c>
      <c r="N10" s="50">
        <v>0.90400000000000003</v>
      </c>
      <c r="O10" s="45">
        <v>0.90400000000000003</v>
      </c>
      <c r="P10" s="45">
        <v>0.90400000000000003</v>
      </c>
      <c r="Q10" s="45">
        <v>0.90400000000000003</v>
      </c>
      <c r="R10" s="45">
        <v>0.90400000000000003</v>
      </c>
      <c r="S10" s="45">
        <v>0.90400000000000003</v>
      </c>
      <c r="T10" s="45">
        <v>0.90400000000000003</v>
      </c>
      <c r="U10" s="45">
        <v>0.90400000000000003</v>
      </c>
      <c r="V10" s="45">
        <v>0.90400000000000003</v>
      </c>
      <c r="W10" s="45">
        <v>5.7149999999999999</v>
      </c>
      <c r="X10" s="45">
        <v>5.7149999999999999</v>
      </c>
      <c r="Y10" s="49">
        <v>5.7149999999999999</v>
      </c>
      <c r="Z10" s="45">
        <v>5.7149999999999999</v>
      </c>
      <c r="AA10" s="45">
        <v>5.7149999999999999</v>
      </c>
      <c r="AB10" s="45">
        <v>6.72</v>
      </c>
      <c r="AC10" s="45">
        <v>6.72</v>
      </c>
      <c r="AD10" s="45">
        <v>6.72</v>
      </c>
      <c r="AE10" s="45">
        <v>6.782</v>
      </c>
      <c r="AF10" s="45">
        <v>6.782</v>
      </c>
      <c r="AG10" s="45">
        <v>6.782</v>
      </c>
      <c r="AH10" s="45">
        <v>6.782</v>
      </c>
      <c r="AI10" s="45">
        <v>6.782</v>
      </c>
      <c r="AJ10" s="45">
        <v>8.5980000000000008</v>
      </c>
      <c r="AK10" s="49">
        <v>8.5980000000000008</v>
      </c>
      <c r="AL10" s="45">
        <v>11.348000000000001</v>
      </c>
      <c r="AM10" s="45">
        <v>52.261000000000003</v>
      </c>
      <c r="AN10" s="45">
        <v>322.61099999999999</v>
      </c>
      <c r="AO10" s="45">
        <v>322.61099999999999</v>
      </c>
      <c r="AP10" s="45">
        <v>334.959</v>
      </c>
      <c r="AQ10" s="45">
        <v>334.959</v>
      </c>
      <c r="AR10" s="45">
        <v>335.22899999999998</v>
      </c>
      <c r="AS10" s="45">
        <v>335.28</v>
      </c>
      <c r="AT10" s="45">
        <v>335.28</v>
      </c>
      <c r="AU10" s="45">
        <v>335.33100000000002</v>
      </c>
      <c r="AV10" s="45">
        <v>335.33100000000002</v>
      </c>
      <c r="AW10" s="49">
        <v>335.428</v>
      </c>
      <c r="AX10" s="45">
        <v>335.428</v>
      </c>
      <c r="AY10" s="45">
        <v>367.75200000000001</v>
      </c>
      <c r="AZ10" s="45">
        <v>387.38099999999997</v>
      </c>
      <c r="BA10" s="45">
        <v>387.899</v>
      </c>
      <c r="BB10" s="45">
        <v>387.899</v>
      </c>
      <c r="BC10" s="45">
        <v>389.08300000000003</v>
      </c>
      <c r="BD10" s="45">
        <v>389.483</v>
      </c>
      <c r="BE10" s="45">
        <v>389.483</v>
      </c>
      <c r="BF10" s="45">
        <v>389.483</v>
      </c>
      <c r="BG10" s="45">
        <v>389.911</v>
      </c>
      <c r="BH10" s="45">
        <v>389.911</v>
      </c>
      <c r="BI10" s="49">
        <v>390.73700000000002</v>
      </c>
      <c r="BJ10" s="45">
        <v>397.16399999999999</v>
      </c>
      <c r="BK10" s="45">
        <v>397.16399999999999</v>
      </c>
      <c r="BL10" s="45">
        <v>399.952</v>
      </c>
      <c r="BM10" s="45">
        <v>399.952</v>
      </c>
      <c r="BN10" s="45">
        <v>401.14</v>
      </c>
      <c r="BO10" s="45">
        <v>401.50599999999997</v>
      </c>
      <c r="BP10" s="45">
        <v>401.50599999999997</v>
      </c>
      <c r="BQ10" s="45">
        <v>401.50599999999997</v>
      </c>
      <c r="BR10" s="45">
        <v>401.50599999999997</v>
      </c>
      <c r="BS10" s="45">
        <v>404.12799999999999</v>
      </c>
      <c r="BT10" s="45">
        <v>406.22899999999998</v>
      </c>
      <c r="BU10" s="49">
        <v>406.22899999999998</v>
      </c>
      <c r="BV10" s="45">
        <v>410.041</v>
      </c>
      <c r="BW10" s="45">
        <v>412.197</v>
      </c>
      <c r="BX10" s="45">
        <v>425.28100000000001</v>
      </c>
      <c r="BY10" s="45">
        <v>426.78100000000001</v>
      </c>
      <c r="BZ10" s="45">
        <v>426.78100000000001</v>
      </c>
      <c r="CA10" s="45">
        <v>428.06099999999998</v>
      </c>
      <c r="CB10" s="45">
        <v>428.06099999999998</v>
      </c>
      <c r="CC10" s="45">
        <v>428.06099999999998</v>
      </c>
      <c r="CD10" s="45">
        <v>428.06099999999998</v>
      </c>
      <c r="CE10" s="45">
        <v>428.06099999999998</v>
      </c>
      <c r="CF10" s="45">
        <v>428.06099999999998</v>
      </c>
      <c r="CG10" s="124">
        <v>428.06099999999998</v>
      </c>
      <c r="CH10" s="69">
        <v>428.06099999999998</v>
      </c>
      <c r="CI10" s="45">
        <v>428.06099999999998</v>
      </c>
      <c r="CJ10" s="45">
        <v>428.06099999999998</v>
      </c>
      <c r="CK10" s="45">
        <v>428.06099999999998</v>
      </c>
      <c r="CL10" s="45">
        <v>428.06099999999998</v>
      </c>
      <c r="CM10" s="45">
        <v>428.06099999999998</v>
      </c>
      <c r="CN10" s="45">
        <v>428.06099999999998</v>
      </c>
      <c r="CO10" s="45">
        <v>428.06099999999998</v>
      </c>
      <c r="CP10" s="45">
        <v>428.06099999999998</v>
      </c>
      <c r="CQ10" s="45">
        <v>428.06099999999998</v>
      </c>
      <c r="CR10" s="45">
        <v>428.06099999999998</v>
      </c>
      <c r="CS10" s="124">
        <v>428.06099999999998</v>
      </c>
      <c r="CT10" s="69">
        <v>428.06099999999998</v>
      </c>
      <c r="CU10" s="45">
        <v>428.06099999999998</v>
      </c>
      <c r="CV10" s="45">
        <v>428.06099999999998</v>
      </c>
      <c r="CW10" s="45">
        <v>428.06099999999998</v>
      </c>
      <c r="CX10" s="45">
        <v>428.06099999999998</v>
      </c>
      <c r="CY10" s="45">
        <v>428.06099999999998</v>
      </c>
      <c r="CZ10" s="45">
        <v>428.06099999999998</v>
      </c>
      <c r="DA10" s="45">
        <v>428.06099999999998</v>
      </c>
      <c r="DB10" s="45">
        <v>428.06099999999998</v>
      </c>
      <c r="DC10" s="45">
        <v>428.06099999999998</v>
      </c>
      <c r="DD10" s="45">
        <v>428.06099999999998</v>
      </c>
      <c r="DE10" s="124">
        <v>428.06099999999998</v>
      </c>
      <c r="DF10" s="69">
        <v>428.06099999999998</v>
      </c>
      <c r="DG10" s="45">
        <v>428.06099999999998</v>
      </c>
      <c r="DH10" s="45">
        <v>428.06099999999998</v>
      </c>
      <c r="DI10" s="45">
        <v>428.06099999999998</v>
      </c>
      <c r="DJ10" s="45">
        <v>428.06099999999998</v>
      </c>
      <c r="DK10" s="45">
        <v>428.06099999999998</v>
      </c>
      <c r="DL10" s="45">
        <v>428.06099999999998</v>
      </c>
      <c r="DM10" s="45">
        <v>428.06099999999998</v>
      </c>
      <c r="DN10" s="45">
        <v>428.06099999999998</v>
      </c>
      <c r="DO10" s="45">
        <v>428.06099999999998</v>
      </c>
      <c r="DP10" s="45">
        <v>428.06099999999998</v>
      </c>
      <c r="DQ10" s="124">
        <v>428.06099999999998</v>
      </c>
      <c r="DR10" s="69">
        <v>428.06099999999998</v>
      </c>
      <c r="DS10" s="45">
        <v>428.06099999999998</v>
      </c>
      <c r="DT10" s="45">
        <v>428.06099999999998</v>
      </c>
      <c r="DU10" s="45">
        <v>428.06099999999998</v>
      </c>
      <c r="DV10" s="45">
        <v>428.06099999999998</v>
      </c>
      <c r="DW10" s="45">
        <v>428.06099999999998</v>
      </c>
      <c r="DX10" s="45">
        <v>428.06099999999998</v>
      </c>
      <c r="DY10" s="45">
        <v>428.06099999999998</v>
      </c>
      <c r="DZ10" s="45">
        <v>428.06099999999998</v>
      </c>
      <c r="EA10" s="45">
        <v>428.06099999999998</v>
      </c>
      <c r="EB10" s="45">
        <v>428.06099999999998</v>
      </c>
      <c r="EC10" s="45">
        <v>428.06099999999998</v>
      </c>
      <c r="ED10" s="69">
        <v>428.06099999999998</v>
      </c>
      <c r="EE10" s="45">
        <v>428.06099999999998</v>
      </c>
      <c r="EF10" s="45">
        <v>428.06099999999998</v>
      </c>
      <c r="EG10" s="45">
        <v>428.06099999999998</v>
      </c>
      <c r="EH10" s="45">
        <v>428.06099999999998</v>
      </c>
      <c r="EI10" s="45">
        <v>428.06099999999998</v>
      </c>
      <c r="EJ10" s="45">
        <v>428.06099999999998</v>
      </c>
      <c r="EK10" s="45">
        <v>428.06099999999998</v>
      </c>
      <c r="EL10" s="45">
        <v>428.06099999999998</v>
      </c>
      <c r="EM10" s="45">
        <v>428.06099999999998</v>
      </c>
      <c r="EN10" s="45">
        <v>428.06099999999998</v>
      </c>
      <c r="EO10" s="45">
        <v>428.06099999999998</v>
      </c>
      <c r="EP10" s="69">
        <v>428.06099999999998</v>
      </c>
      <c r="EQ10" s="45">
        <v>428.06099999999998</v>
      </c>
      <c r="ER10" s="45">
        <v>428.06099999999998</v>
      </c>
      <c r="ES10" s="45">
        <v>428.06099999999998</v>
      </c>
      <c r="ET10" s="45">
        <v>428.06099999999998</v>
      </c>
      <c r="EU10" s="45">
        <v>428.06099999999998</v>
      </c>
      <c r="EV10" s="45">
        <v>428.06099999999998</v>
      </c>
      <c r="EW10" s="45">
        <v>428.06099999999998</v>
      </c>
      <c r="EX10" s="45">
        <v>428.06099999999998</v>
      </c>
      <c r="EY10" s="45">
        <v>428.06099999999998</v>
      </c>
      <c r="EZ10" s="45">
        <v>428.06099999999998</v>
      </c>
      <c r="FA10" s="82">
        <v>428.06099999999998</v>
      </c>
      <c r="FB10" s="45">
        <v>428.06099999999998</v>
      </c>
      <c r="FC10" s="45">
        <v>428.06099999999998</v>
      </c>
      <c r="FD10" s="45">
        <v>428.06099999999998</v>
      </c>
      <c r="FE10" s="45">
        <v>428.06099999999998</v>
      </c>
      <c r="FF10" s="45">
        <v>428.06099999999998</v>
      </c>
      <c r="FG10" s="45">
        <v>428.06099999999998</v>
      </c>
      <c r="FH10" s="45">
        <v>428.06099999999998</v>
      </c>
      <c r="FI10" s="45">
        <v>428.06099999999998</v>
      </c>
      <c r="FJ10" s="45">
        <v>428.06099999999998</v>
      </c>
      <c r="FK10" s="45">
        <v>428.06099999999998</v>
      </c>
      <c r="FL10" s="45">
        <v>428.06099999999998</v>
      </c>
      <c r="FM10" s="45">
        <v>428.06099999999998</v>
      </c>
      <c r="FN10" s="69">
        <v>451.28100000000001</v>
      </c>
      <c r="FO10" s="45">
        <v>451.28100000000001</v>
      </c>
      <c r="FP10" s="45">
        <v>455.75</v>
      </c>
      <c r="FQ10" s="45">
        <v>455.75</v>
      </c>
      <c r="FR10" s="45">
        <v>457.84699999999998</v>
      </c>
      <c r="FS10" s="45">
        <v>458.49700000000001</v>
      </c>
      <c r="FT10" s="45">
        <v>458.49700000000001</v>
      </c>
      <c r="FU10" s="45">
        <v>459.22300000000001</v>
      </c>
      <c r="FV10" s="45">
        <v>459.22300000000001</v>
      </c>
      <c r="FW10" s="45">
        <v>483.30500000000001</v>
      </c>
      <c r="FX10" s="45">
        <v>483.30500000000001</v>
      </c>
      <c r="FY10" s="45">
        <v>483.30500000000001</v>
      </c>
      <c r="FZ10" s="69">
        <v>483.30500000000001</v>
      </c>
      <c r="GA10" s="45">
        <v>483.30500000000001</v>
      </c>
      <c r="GB10" s="45">
        <v>483.30500000000001</v>
      </c>
      <c r="GC10" s="45">
        <v>483.30500000000001</v>
      </c>
      <c r="GD10" s="45">
        <v>483.30500000000001</v>
      </c>
      <c r="GE10" s="45">
        <v>483.30500000000001</v>
      </c>
      <c r="GF10" s="45">
        <v>483.30500000000001</v>
      </c>
      <c r="GG10" s="45">
        <v>483.30500000000001</v>
      </c>
      <c r="GH10" s="45">
        <v>483.30500000000001</v>
      </c>
      <c r="GI10" s="45">
        <v>483.30500000000001</v>
      </c>
      <c r="GJ10" s="45">
        <v>483.30500000000001</v>
      </c>
      <c r="GK10" s="45">
        <v>483.30500000000001</v>
      </c>
      <c r="GL10" s="69">
        <v>483.30500000000001</v>
      </c>
      <c r="GM10" s="45">
        <v>483.30500000000001</v>
      </c>
      <c r="GN10" s="45">
        <v>483.30500000000001</v>
      </c>
      <c r="GO10" s="45">
        <v>483.30500000000001</v>
      </c>
      <c r="GP10" s="45">
        <v>483.30500000000001</v>
      </c>
      <c r="GQ10" s="45">
        <v>483.30500000000001</v>
      </c>
    </row>
    <row r="11" spans="1:199" s="1" customFormat="1" ht="20.149999999999999" customHeight="1" x14ac:dyDescent="0.35">
      <c r="A11" s="31" t="s">
        <v>281</v>
      </c>
      <c r="B11" s="45">
        <v>0</v>
      </c>
      <c r="C11" s="45">
        <v>0</v>
      </c>
      <c r="D11" s="45">
        <v>0</v>
      </c>
      <c r="E11" s="45">
        <v>0</v>
      </c>
      <c r="F11" s="45">
        <v>0</v>
      </c>
      <c r="G11" s="45">
        <v>0</v>
      </c>
      <c r="H11" s="45">
        <v>0</v>
      </c>
      <c r="I11" s="45">
        <v>0</v>
      </c>
      <c r="J11" s="45">
        <v>0</v>
      </c>
      <c r="K11" s="45">
        <v>0</v>
      </c>
      <c r="L11" s="45">
        <v>0</v>
      </c>
      <c r="M11" s="49">
        <v>0</v>
      </c>
      <c r="N11" s="50">
        <v>0</v>
      </c>
      <c r="O11" s="45">
        <v>0</v>
      </c>
      <c r="P11" s="45">
        <v>0</v>
      </c>
      <c r="Q11" s="45">
        <v>0</v>
      </c>
      <c r="R11" s="45">
        <v>0</v>
      </c>
      <c r="S11" s="45">
        <v>0</v>
      </c>
      <c r="T11" s="45">
        <v>0</v>
      </c>
      <c r="U11" s="45">
        <v>0</v>
      </c>
      <c r="V11" s="45">
        <v>0</v>
      </c>
      <c r="W11" s="45">
        <v>0</v>
      </c>
      <c r="X11" s="45">
        <v>0</v>
      </c>
      <c r="Y11" s="49">
        <v>0</v>
      </c>
      <c r="Z11" s="45">
        <v>0</v>
      </c>
      <c r="AA11" s="45">
        <v>0</v>
      </c>
      <c r="AB11" s="45">
        <v>0</v>
      </c>
      <c r="AC11" s="45">
        <v>0</v>
      </c>
      <c r="AD11" s="45">
        <v>0</v>
      </c>
      <c r="AE11" s="45">
        <v>0</v>
      </c>
      <c r="AF11" s="45">
        <v>0</v>
      </c>
      <c r="AG11" s="45">
        <v>0</v>
      </c>
      <c r="AH11" s="45">
        <v>0</v>
      </c>
      <c r="AI11" s="45">
        <v>0</v>
      </c>
      <c r="AJ11" s="45">
        <v>0</v>
      </c>
      <c r="AK11" s="49">
        <v>0</v>
      </c>
      <c r="AL11" s="45">
        <v>0</v>
      </c>
      <c r="AM11" s="45">
        <v>0</v>
      </c>
      <c r="AN11" s="45">
        <v>0</v>
      </c>
      <c r="AO11" s="45">
        <v>0</v>
      </c>
      <c r="AP11" s="45">
        <v>0</v>
      </c>
      <c r="AQ11" s="45">
        <v>0</v>
      </c>
      <c r="AR11" s="45">
        <v>0</v>
      </c>
      <c r="AS11" s="45">
        <v>0</v>
      </c>
      <c r="AT11" s="45">
        <v>0</v>
      </c>
      <c r="AU11" s="45">
        <v>0</v>
      </c>
      <c r="AV11" s="45">
        <v>0</v>
      </c>
      <c r="AW11" s="49">
        <v>0</v>
      </c>
      <c r="AX11" s="45">
        <v>0</v>
      </c>
      <c r="AY11" s="45">
        <v>0</v>
      </c>
      <c r="AZ11" s="45">
        <v>0</v>
      </c>
      <c r="BA11" s="45">
        <v>0</v>
      </c>
      <c r="BB11" s="45">
        <v>0</v>
      </c>
      <c r="BC11" s="45">
        <v>0</v>
      </c>
      <c r="BD11" s="45">
        <v>0</v>
      </c>
      <c r="BE11" s="45">
        <v>0</v>
      </c>
      <c r="BF11" s="45">
        <v>0</v>
      </c>
      <c r="BG11" s="45">
        <v>0</v>
      </c>
      <c r="BH11" s="45">
        <v>0</v>
      </c>
      <c r="BI11" s="49">
        <v>0</v>
      </c>
      <c r="BJ11" s="45">
        <v>0</v>
      </c>
      <c r="BK11" s="45">
        <v>0</v>
      </c>
      <c r="BL11" s="45">
        <v>0</v>
      </c>
      <c r="BM11" s="45">
        <v>0</v>
      </c>
      <c r="BN11" s="45">
        <v>0</v>
      </c>
      <c r="BO11" s="45">
        <v>0</v>
      </c>
      <c r="BP11" s="45">
        <v>0</v>
      </c>
      <c r="BQ11" s="45">
        <v>0</v>
      </c>
      <c r="BR11" s="45">
        <v>0</v>
      </c>
      <c r="BS11" s="45">
        <v>0</v>
      </c>
      <c r="BT11" s="45">
        <v>0</v>
      </c>
      <c r="BU11" s="49">
        <v>0</v>
      </c>
      <c r="BV11" s="45">
        <v>0</v>
      </c>
      <c r="BW11" s="45">
        <v>0</v>
      </c>
      <c r="BX11" s="45">
        <v>0</v>
      </c>
      <c r="BY11" s="45">
        <v>0</v>
      </c>
      <c r="BZ11" s="45">
        <v>0</v>
      </c>
      <c r="CA11" s="45">
        <v>11.94</v>
      </c>
      <c r="CB11" s="45">
        <v>11.94</v>
      </c>
      <c r="CC11" s="45">
        <v>11.94</v>
      </c>
      <c r="CD11" s="45">
        <v>11.94</v>
      </c>
      <c r="CE11" s="45">
        <v>11.94</v>
      </c>
      <c r="CF11" s="45">
        <v>11.94</v>
      </c>
      <c r="CG11" s="124">
        <v>11.94</v>
      </c>
      <c r="CH11" s="69">
        <v>11.94</v>
      </c>
      <c r="CI11" s="45">
        <v>11.94</v>
      </c>
      <c r="CJ11" s="45">
        <v>11.94</v>
      </c>
      <c r="CK11" s="45">
        <v>11.94</v>
      </c>
      <c r="CL11" s="45">
        <v>11.94</v>
      </c>
      <c r="CM11" s="45">
        <v>11.94</v>
      </c>
      <c r="CN11" s="45">
        <v>22.84</v>
      </c>
      <c r="CO11" s="45">
        <v>22.84</v>
      </c>
      <c r="CP11" s="45">
        <v>22.84</v>
      </c>
      <c r="CQ11" s="45">
        <v>22.84</v>
      </c>
      <c r="CR11" s="45">
        <v>22.84</v>
      </c>
      <c r="CS11" s="124">
        <v>22.84</v>
      </c>
      <c r="CT11" s="69">
        <v>22.84</v>
      </c>
      <c r="CU11" s="45">
        <v>22.84</v>
      </c>
      <c r="CV11" s="45">
        <v>22.84</v>
      </c>
      <c r="CW11" s="45">
        <v>22.84</v>
      </c>
      <c r="CX11" s="45">
        <v>22.84</v>
      </c>
      <c r="CY11" s="45">
        <v>22.84</v>
      </c>
      <c r="CZ11" s="45">
        <v>22.84</v>
      </c>
      <c r="DA11" s="45">
        <v>22.84</v>
      </c>
      <c r="DB11" s="45">
        <v>22.84</v>
      </c>
      <c r="DC11" s="45">
        <v>22.84</v>
      </c>
      <c r="DD11" s="45">
        <v>22.84</v>
      </c>
      <c r="DE11" s="124">
        <v>22.84</v>
      </c>
      <c r="DF11" s="69">
        <v>22.84</v>
      </c>
      <c r="DG11" s="45">
        <v>22.84</v>
      </c>
      <c r="DH11" s="45">
        <v>22.84</v>
      </c>
      <c r="DI11" s="45">
        <v>22.84</v>
      </c>
      <c r="DJ11" s="45">
        <v>22.84</v>
      </c>
      <c r="DK11" s="45">
        <v>22.84</v>
      </c>
      <c r="DL11" s="45">
        <v>22.84</v>
      </c>
      <c r="DM11" s="45">
        <v>22.84</v>
      </c>
      <c r="DN11" s="45">
        <v>22.84</v>
      </c>
      <c r="DO11" s="45">
        <v>22.84</v>
      </c>
      <c r="DP11" s="45">
        <v>22.84</v>
      </c>
      <c r="DQ11" s="124">
        <v>22.84</v>
      </c>
      <c r="DR11" s="69">
        <v>22.84</v>
      </c>
      <c r="DS11" s="45">
        <v>22.84</v>
      </c>
      <c r="DT11" s="45">
        <v>22.84</v>
      </c>
      <c r="DU11" s="45">
        <v>22.84</v>
      </c>
      <c r="DV11" s="45">
        <v>22.84</v>
      </c>
      <c r="DW11" s="45">
        <v>22.84</v>
      </c>
      <c r="DX11" s="45">
        <v>22.84</v>
      </c>
      <c r="DY11" s="45">
        <v>22.84</v>
      </c>
      <c r="DZ11" s="45">
        <v>22.84</v>
      </c>
      <c r="EA11" s="45">
        <v>22.84</v>
      </c>
      <c r="EB11" s="45">
        <v>22.84</v>
      </c>
      <c r="EC11" s="45">
        <v>22.84</v>
      </c>
      <c r="ED11" s="69">
        <v>22.84</v>
      </c>
      <c r="EE11" s="45">
        <v>22.84</v>
      </c>
      <c r="EF11" s="45">
        <v>22.84</v>
      </c>
      <c r="EG11" s="45">
        <v>22.84</v>
      </c>
      <c r="EH11" s="45">
        <v>22.84</v>
      </c>
      <c r="EI11" s="45">
        <v>22.84</v>
      </c>
      <c r="EJ11" s="45">
        <v>22.84</v>
      </c>
      <c r="EK11" s="45">
        <v>22.84</v>
      </c>
      <c r="EL11" s="45">
        <v>22.84</v>
      </c>
      <c r="EM11" s="45">
        <v>22.84</v>
      </c>
      <c r="EN11" s="45">
        <v>22.84</v>
      </c>
      <c r="EO11" s="45">
        <v>22.84</v>
      </c>
      <c r="EP11" s="69">
        <v>22.84</v>
      </c>
      <c r="EQ11" s="45">
        <v>22.84</v>
      </c>
      <c r="ER11" s="45">
        <v>22.84</v>
      </c>
      <c r="ES11" s="45">
        <v>22.84</v>
      </c>
      <c r="ET11" s="45">
        <v>22.84</v>
      </c>
      <c r="EU11" s="45">
        <v>22.84</v>
      </c>
      <c r="EV11" s="45">
        <v>22.84</v>
      </c>
      <c r="EW11" s="45">
        <v>22.84</v>
      </c>
      <c r="EX11" s="45">
        <v>22.84</v>
      </c>
      <c r="EY11" s="45">
        <v>22.84</v>
      </c>
      <c r="EZ11" s="45">
        <v>22.84</v>
      </c>
      <c r="FA11" s="82">
        <v>22.84</v>
      </c>
      <c r="FB11" s="45">
        <v>22.84</v>
      </c>
      <c r="FC11" s="45">
        <v>22.84</v>
      </c>
      <c r="FD11" s="45">
        <v>22.84</v>
      </c>
      <c r="FE11" s="45">
        <v>22.84</v>
      </c>
      <c r="FF11" s="45">
        <v>22.84</v>
      </c>
      <c r="FG11" s="45">
        <v>22.84</v>
      </c>
      <c r="FH11" s="45">
        <v>22.84</v>
      </c>
      <c r="FI11" s="45">
        <v>22.84</v>
      </c>
      <c r="FJ11" s="45">
        <v>22.84</v>
      </c>
      <c r="FK11" s="45">
        <v>22.84</v>
      </c>
      <c r="FL11" s="45">
        <v>22.84</v>
      </c>
      <c r="FM11" s="45">
        <v>22.84</v>
      </c>
      <c r="FN11" s="69">
        <v>22.84</v>
      </c>
      <c r="FO11" s="45">
        <v>22.84</v>
      </c>
      <c r="FP11" s="45">
        <v>22.84</v>
      </c>
      <c r="FQ11" s="45">
        <v>22.84</v>
      </c>
      <c r="FR11" s="45">
        <v>22.84</v>
      </c>
      <c r="FS11" s="45">
        <v>22.84</v>
      </c>
      <c r="FT11" s="45">
        <v>22.84</v>
      </c>
      <c r="FU11" s="45">
        <v>22.84</v>
      </c>
      <c r="FV11" s="45">
        <v>22.84</v>
      </c>
      <c r="FW11" s="45">
        <v>22.84</v>
      </c>
      <c r="FX11" s="45">
        <v>22.84</v>
      </c>
      <c r="FY11" s="45">
        <v>22.84</v>
      </c>
      <c r="FZ11" s="69">
        <v>117.316</v>
      </c>
      <c r="GA11" s="45">
        <v>117.316</v>
      </c>
      <c r="GB11" s="45">
        <v>140.316</v>
      </c>
      <c r="GC11" s="45">
        <v>148.316</v>
      </c>
      <c r="GD11" s="45">
        <v>186.57</v>
      </c>
      <c r="GE11" s="45">
        <v>226.63</v>
      </c>
      <c r="GF11" s="45">
        <v>336.63</v>
      </c>
      <c r="GG11" s="45">
        <v>363.33</v>
      </c>
      <c r="GH11" s="45">
        <v>363.33</v>
      </c>
      <c r="GI11" s="45">
        <v>399.42</v>
      </c>
      <c r="GJ11" s="45">
        <v>509.21</v>
      </c>
      <c r="GK11" s="45">
        <v>542.80999999999995</v>
      </c>
      <c r="GL11" s="69">
        <v>622.71</v>
      </c>
      <c r="GM11" s="45">
        <v>622.71</v>
      </c>
      <c r="GN11" s="45">
        <v>697.61</v>
      </c>
      <c r="GO11" s="45">
        <v>852.41</v>
      </c>
      <c r="GP11" s="45">
        <v>852.41</v>
      </c>
      <c r="GQ11" s="45">
        <v>955.995</v>
      </c>
    </row>
    <row r="12" spans="1:199" s="1" customFormat="1" ht="20.149999999999999" customHeight="1" x14ac:dyDescent="0.35">
      <c r="A12" s="31" t="s">
        <v>282</v>
      </c>
      <c r="B12" s="46">
        <v>0.47199999999999998</v>
      </c>
      <c r="C12" s="46">
        <v>0.876</v>
      </c>
      <c r="D12" s="46">
        <v>1.407</v>
      </c>
      <c r="E12" s="46">
        <v>1.8320000000000001</v>
      </c>
      <c r="F12" s="46">
        <v>2.4740000000000002</v>
      </c>
      <c r="G12" s="46">
        <v>2.907</v>
      </c>
      <c r="H12" s="46">
        <v>3.6989999999999998</v>
      </c>
      <c r="I12" s="46">
        <v>4.2030000000000003</v>
      </c>
      <c r="J12" s="46">
        <v>4.8330000000000002</v>
      </c>
      <c r="K12" s="46">
        <v>5.702</v>
      </c>
      <c r="L12" s="46">
        <v>6.6390000000000002</v>
      </c>
      <c r="M12" s="48">
        <v>7.2160000000000002</v>
      </c>
      <c r="N12" s="47">
        <v>8.27</v>
      </c>
      <c r="O12" s="46">
        <v>9.343</v>
      </c>
      <c r="P12" s="46">
        <v>10.597</v>
      </c>
      <c r="Q12" s="46">
        <v>11.538</v>
      </c>
      <c r="R12" s="46">
        <v>12.576000000000001</v>
      </c>
      <c r="S12" s="46">
        <v>13.712999999999999</v>
      </c>
      <c r="T12" s="46">
        <v>15.106</v>
      </c>
      <c r="U12" s="46">
        <v>16.753</v>
      </c>
      <c r="V12" s="46">
        <v>18.75</v>
      </c>
      <c r="W12" s="46">
        <v>21.221</v>
      </c>
      <c r="X12" s="46">
        <v>27.789000000000001</v>
      </c>
      <c r="Y12" s="48">
        <v>37.241</v>
      </c>
      <c r="Z12" s="46">
        <v>44.378999999999998</v>
      </c>
      <c r="AA12" s="46">
        <v>50.747</v>
      </c>
      <c r="AB12" s="46">
        <v>56.262</v>
      </c>
      <c r="AC12" s="46">
        <v>57.795000000000002</v>
      </c>
      <c r="AD12" s="46">
        <v>59.752000000000002</v>
      </c>
      <c r="AE12" s="46">
        <v>62.048000000000002</v>
      </c>
      <c r="AF12" s="46">
        <v>68.116</v>
      </c>
      <c r="AG12" s="46">
        <v>69.436999999999998</v>
      </c>
      <c r="AH12" s="46">
        <v>70.789000000000001</v>
      </c>
      <c r="AI12" s="46">
        <v>72.843000000000004</v>
      </c>
      <c r="AJ12" s="46">
        <v>74.548000000000002</v>
      </c>
      <c r="AK12" s="48">
        <v>76.227000000000004</v>
      </c>
      <c r="AL12" s="46">
        <v>78.510000000000005</v>
      </c>
      <c r="AM12" s="46">
        <v>80.421000000000006</v>
      </c>
      <c r="AN12" s="46">
        <v>83.188999999999993</v>
      </c>
      <c r="AO12" s="46">
        <v>85.754999999999995</v>
      </c>
      <c r="AP12" s="46">
        <v>87.756</v>
      </c>
      <c r="AQ12" s="46">
        <v>90.433999999999997</v>
      </c>
      <c r="AR12" s="46">
        <v>92.263999999999996</v>
      </c>
      <c r="AS12" s="46">
        <v>94.274000000000001</v>
      </c>
      <c r="AT12" s="46">
        <v>96.822999999999993</v>
      </c>
      <c r="AU12" s="46">
        <v>99.397999999999996</v>
      </c>
      <c r="AV12" s="46">
        <v>102.642</v>
      </c>
      <c r="AW12" s="48">
        <v>116.733</v>
      </c>
      <c r="AX12" s="46">
        <v>118.908</v>
      </c>
      <c r="AY12" s="46">
        <v>121.157</v>
      </c>
      <c r="AZ12" s="46">
        <v>156.13999999999999</v>
      </c>
      <c r="BA12" s="46">
        <v>190.495</v>
      </c>
      <c r="BB12" s="46">
        <v>193.184</v>
      </c>
      <c r="BC12" s="46">
        <v>196.26499999999999</v>
      </c>
      <c r="BD12" s="46">
        <v>199.35400000000001</v>
      </c>
      <c r="BE12" s="46">
        <v>202.63200000000001</v>
      </c>
      <c r="BF12" s="46">
        <v>206.80699999999999</v>
      </c>
      <c r="BG12" s="46">
        <v>210.685</v>
      </c>
      <c r="BH12" s="46">
        <v>220.20400000000001</v>
      </c>
      <c r="BI12" s="48">
        <v>223.47300000000001</v>
      </c>
      <c r="BJ12" s="46">
        <v>250.12</v>
      </c>
      <c r="BK12" s="46">
        <v>259.471</v>
      </c>
      <c r="BL12" s="46">
        <v>282.08800000000002</v>
      </c>
      <c r="BM12" s="46">
        <v>285.697</v>
      </c>
      <c r="BN12" s="46">
        <v>292.45100000000002</v>
      </c>
      <c r="BO12" s="46">
        <v>303.14400000000001</v>
      </c>
      <c r="BP12" s="46">
        <v>308.00700000000001</v>
      </c>
      <c r="BQ12" s="46">
        <v>329.3</v>
      </c>
      <c r="BR12" s="46">
        <v>335.17899999999997</v>
      </c>
      <c r="BS12" s="46">
        <v>341.64699999999999</v>
      </c>
      <c r="BT12" s="46">
        <v>367.73200000000003</v>
      </c>
      <c r="BU12" s="48">
        <v>444.65499999999997</v>
      </c>
      <c r="BV12" s="46">
        <v>476.13099999999997</v>
      </c>
      <c r="BW12" s="46">
        <v>478.91300000000001</v>
      </c>
      <c r="BX12" s="46">
        <v>508.161</v>
      </c>
      <c r="BY12" s="46">
        <v>522.029</v>
      </c>
      <c r="BZ12" s="46">
        <v>524.69500000000005</v>
      </c>
      <c r="CA12" s="46">
        <v>568.70499999999993</v>
      </c>
      <c r="CB12" s="46">
        <v>587.05599999999993</v>
      </c>
      <c r="CC12" s="46">
        <v>609.53500000000008</v>
      </c>
      <c r="CD12" s="46">
        <v>613.89100000000008</v>
      </c>
      <c r="CE12" s="46">
        <v>618.03700000000003</v>
      </c>
      <c r="CF12" s="46">
        <v>622.44100000000003</v>
      </c>
      <c r="CG12" s="46">
        <v>631.44200000000001</v>
      </c>
      <c r="CH12" s="69">
        <v>646.21199999999999</v>
      </c>
      <c r="CI12" s="45">
        <v>649.03600000000006</v>
      </c>
      <c r="CJ12" s="45">
        <v>707.40500000000009</v>
      </c>
      <c r="CK12" s="45">
        <v>710.53700000000003</v>
      </c>
      <c r="CL12" s="45">
        <v>714.01400000000001</v>
      </c>
      <c r="CM12" s="45">
        <v>718.94900000000007</v>
      </c>
      <c r="CN12" s="45">
        <v>720.44200000000001</v>
      </c>
      <c r="CO12" s="45">
        <v>723.93</v>
      </c>
      <c r="CP12" s="45">
        <v>727.87799999999993</v>
      </c>
      <c r="CQ12" s="45">
        <v>743.29099999999994</v>
      </c>
      <c r="CR12" s="45">
        <v>747.83899999999994</v>
      </c>
      <c r="CS12" s="124">
        <v>751.19799999999998</v>
      </c>
      <c r="CT12" s="69">
        <v>755.66800000000001</v>
      </c>
      <c r="CU12" s="45">
        <v>759.34799999999996</v>
      </c>
      <c r="CV12" s="45">
        <v>763.77699999999993</v>
      </c>
      <c r="CW12" s="45">
        <v>767.66899999999998</v>
      </c>
      <c r="CX12" s="45">
        <v>773.45999999999992</v>
      </c>
      <c r="CY12" s="45">
        <v>777.923</v>
      </c>
      <c r="CZ12" s="45">
        <v>781.923</v>
      </c>
      <c r="DA12" s="45">
        <v>787.06099999999992</v>
      </c>
      <c r="DB12" s="45">
        <v>791.16199999999992</v>
      </c>
      <c r="DC12" s="45">
        <v>805.06599999999992</v>
      </c>
      <c r="DD12" s="46">
        <v>816.96600000000001</v>
      </c>
      <c r="DE12" s="46">
        <v>827.4609999999999</v>
      </c>
      <c r="DF12" s="69">
        <v>834.28399999999999</v>
      </c>
      <c r="DG12" s="45">
        <v>841.58699999999999</v>
      </c>
      <c r="DH12" s="46">
        <v>865.505</v>
      </c>
      <c r="DI12" s="45">
        <v>879.61699999999996</v>
      </c>
      <c r="DJ12" s="45">
        <v>886.46199999999999</v>
      </c>
      <c r="DK12" s="45">
        <v>894.91399999999999</v>
      </c>
      <c r="DL12" s="46">
        <v>912.16499999999996</v>
      </c>
      <c r="DM12" s="45">
        <v>926.65499999999997</v>
      </c>
      <c r="DN12" s="45">
        <v>950.19299999999998</v>
      </c>
      <c r="DO12" s="45">
        <v>962.96499999999992</v>
      </c>
      <c r="DP12" s="45">
        <v>975.32099999999991</v>
      </c>
      <c r="DQ12" s="46">
        <v>1019.6339999999999</v>
      </c>
      <c r="DR12" s="69">
        <v>1101.502</v>
      </c>
      <c r="DS12" s="45">
        <v>1117.634</v>
      </c>
      <c r="DT12" s="45">
        <v>1131.518</v>
      </c>
      <c r="DU12" s="45">
        <v>1136.5329999999999</v>
      </c>
      <c r="DV12" s="45">
        <v>1150.53</v>
      </c>
      <c r="DW12" s="45">
        <v>1160.8219999999999</v>
      </c>
      <c r="DX12" s="45">
        <v>1179.8340000000001</v>
      </c>
      <c r="DY12" s="45">
        <v>1196.752</v>
      </c>
      <c r="DZ12" s="45">
        <v>1212.3419999999999</v>
      </c>
      <c r="EA12" s="45">
        <v>1231.232</v>
      </c>
      <c r="EB12" s="45">
        <v>1249.251</v>
      </c>
      <c r="EC12" s="45">
        <v>1326.3340000000001</v>
      </c>
      <c r="ED12" s="69">
        <v>1348.0519999999999</v>
      </c>
      <c r="EE12" s="45">
        <v>1363.4349999999999</v>
      </c>
      <c r="EF12" s="45">
        <v>1498.1679999999999</v>
      </c>
      <c r="EG12" s="45">
        <v>1566.527</v>
      </c>
      <c r="EH12" s="45">
        <v>1593.143</v>
      </c>
      <c r="EI12" s="45">
        <v>1627.633</v>
      </c>
      <c r="EJ12" s="45">
        <v>1653.3809999999999</v>
      </c>
      <c r="EK12" s="45">
        <v>1674.886</v>
      </c>
      <c r="EL12" s="45">
        <v>1705.5119999999999</v>
      </c>
      <c r="EM12" s="45">
        <v>1731.6299999999999</v>
      </c>
      <c r="EN12" s="45">
        <v>1762.412</v>
      </c>
      <c r="EO12" s="45">
        <v>1786.171</v>
      </c>
      <c r="EP12" s="69">
        <v>1873.645</v>
      </c>
      <c r="EQ12" s="45">
        <v>1906.588</v>
      </c>
      <c r="ER12" s="45">
        <v>1959.3589999999999</v>
      </c>
      <c r="ES12" s="45">
        <v>2006.6179999999999</v>
      </c>
      <c r="ET12" s="45">
        <v>2066.3960000000002</v>
      </c>
      <c r="EU12" s="45">
        <v>2117.268</v>
      </c>
      <c r="EV12" s="45">
        <v>2188.2830000000004</v>
      </c>
      <c r="EW12" s="45">
        <v>2243.8130000000001</v>
      </c>
      <c r="EX12" s="45">
        <v>2328.2630000000004</v>
      </c>
      <c r="EY12" s="45">
        <v>2441.6220000000003</v>
      </c>
      <c r="EZ12" s="45">
        <v>2520.884</v>
      </c>
      <c r="FA12" s="82">
        <v>2643.6470000000004</v>
      </c>
      <c r="FB12" s="45">
        <v>3068.6870000000004</v>
      </c>
      <c r="FC12" s="45">
        <v>3432.877</v>
      </c>
      <c r="FD12" s="45">
        <v>3971.5140000000001</v>
      </c>
      <c r="FE12" s="45">
        <v>4059.9949999999999</v>
      </c>
      <c r="FF12" s="45">
        <v>4227.1939999999995</v>
      </c>
      <c r="FG12" s="45">
        <v>4378.8600000000006</v>
      </c>
      <c r="FH12" s="45">
        <v>4466.0920000000006</v>
      </c>
      <c r="FI12" s="45">
        <v>4552.6380000000008</v>
      </c>
      <c r="FJ12" s="45">
        <v>4739.03</v>
      </c>
      <c r="FK12" s="45">
        <v>4864.78</v>
      </c>
      <c r="FL12" s="45">
        <v>4987.8539999999994</v>
      </c>
      <c r="FM12" s="45">
        <v>5042.009</v>
      </c>
      <c r="FN12" s="69">
        <v>5173.7849999999999</v>
      </c>
      <c r="FO12" s="45">
        <v>5271.6959999999999</v>
      </c>
      <c r="FP12" s="45">
        <v>5504.7629999999999</v>
      </c>
      <c r="FQ12" s="45">
        <v>5631.9340000000002</v>
      </c>
      <c r="FR12" s="45">
        <v>5765.8589999999995</v>
      </c>
      <c r="FS12" s="45">
        <v>5933.2359999999999</v>
      </c>
      <c r="FT12" s="45">
        <v>6076.4890000000005</v>
      </c>
      <c r="FU12" s="45">
        <v>6184.6229999999996</v>
      </c>
      <c r="FV12" s="45">
        <v>6264.6</v>
      </c>
      <c r="FW12" s="45">
        <v>6606.3209999999999</v>
      </c>
      <c r="FX12" s="45">
        <v>6746.69</v>
      </c>
      <c r="FY12" s="45">
        <v>6852.4069999999992</v>
      </c>
      <c r="FZ12" s="69">
        <v>6951.9319999999998</v>
      </c>
      <c r="GA12" s="45">
        <v>7054.17</v>
      </c>
      <c r="GB12" s="45">
        <v>7384.7350000000006</v>
      </c>
      <c r="GC12" s="45">
        <v>7522.0360000000001</v>
      </c>
      <c r="GD12" s="45">
        <v>7623.482</v>
      </c>
      <c r="GE12" s="45">
        <v>7756.7809999999999</v>
      </c>
      <c r="GF12" s="45">
        <v>8223.0669999999991</v>
      </c>
      <c r="GG12" s="45">
        <v>8390.4660000000003</v>
      </c>
      <c r="GH12" s="45">
        <v>8544.1670000000013</v>
      </c>
      <c r="GI12" s="45">
        <v>8783.3060000000005</v>
      </c>
      <c r="GJ12" s="45">
        <v>8846.9680000000008</v>
      </c>
      <c r="GK12" s="45">
        <v>8955.3330000000005</v>
      </c>
      <c r="GL12" s="69">
        <v>8965.3469999999998</v>
      </c>
      <c r="GM12" s="45">
        <v>9067.8539999999994</v>
      </c>
      <c r="GN12" s="45">
        <v>9168.0120000000006</v>
      </c>
      <c r="GO12" s="45">
        <v>9123.5959999999995</v>
      </c>
      <c r="GP12" s="45">
        <v>9210.7439999999988</v>
      </c>
      <c r="GQ12" s="45">
        <v>9235.99</v>
      </c>
    </row>
    <row r="13" spans="1:199" s="25" customFormat="1" ht="20.149999999999999" customHeight="1" thickBot="1" x14ac:dyDescent="0.4">
      <c r="A13" s="32" t="s">
        <v>267</v>
      </c>
      <c r="B13" s="51">
        <f>SUM(B7:B12)</f>
        <v>14.226000000000001</v>
      </c>
      <c r="C13" s="52">
        <f t="shared" ref="C13:BN13" si="0">SUM(C7:C12)</f>
        <v>15.641999999999999</v>
      </c>
      <c r="D13" s="52">
        <f t="shared" si="0"/>
        <v>18.135000000000002</v>
      </c>
      <c r="E13" s="52">
        <f t="shared" si="0"/>
        <v>20.783000000000001</v>
      </c>
      <c r="F13" s="52">
        <f t="shared" si="0"/>
        <v>25.08</v>
      </c>
      <c r="G13" s="52">
        <f t="shared" si="0"/>
        <v>30.692</v>
      </c>
      <c r="H13" s="52">
        <f t="shared" si="0"/>
        <v>36.569000000000003</v>
      </c>
      <c r="I13" s="52">
        <f t="shared" si="0"/>
        <v>42.389000000000003</v>
      </c>
      <c r="J13" s="52">
        <f t="shared" si="0"/>
        <v>49.912000000000006</v>
      </c>
      <c r="K13" s="52">
        <f t="shared" si="0"/>
        <v>59.347000000000001</v>
      </c>
      <c r="L13" s="52">
        <f t="shared" si="0"/>
        <v>69.790000000000006</v>
      </c>
      <c r="M13" s="52">
        <f t="shared" si="0"/>
        <v>77.780999999999992</v>
      </c>
      <c r="N13" s="51">
        <f t="shared" si="0"/>
        <v>88.987999999999985</v>
      </c>
      <c r="O13" s="52">
        <f t="shared" si="0"/>
        <v>102.461</v>
      </c>
      <c r="P13" s="52">
        <f t="shared" si="0"/>
        <v>122.366</v>
      </c>
      <c r="Q13" s="52">
        <f t="shared" si="0"/>
        <v>146.791</v>
      </c>
      <c r="R13" s="52">
        <f t="shared" si="0"/>
        <v>170.43299999999999</v>
      </c>
      <c r="S13" s="52">
        <f t="shared" si="0"/>
        <v>204.38299999999998</v>
      </c>
      <c r="T13" s="52">
        <f t="shared" si="0"/>
        <v>362.21199999999993</v>
      </c>
      <c r="U13" s="52">
        <f t="shared" si="0"/>
        <v>408.14399999999995</v>
      </c>
      <c r="V13" s="52">
        <f t="shared" si="0"/>
        <v>480.05499999999995</v>
      </c>
      <c r="W13" s="52">
        <f t="shared" si="0"/>
        <v>601.59100000000001</v>
      </c>
      <c r="X13" s="52">
        <f t="shared" si="0"/>
        <v>800.08900000000006</v>
      </c>
      <c r="Y13" s="54">
        <f t="shared" si="0"/>
        <v>993.64600000000007</v>
      </c>
      <c r="Z13" s="52">
        <f t="shared" si="0"/>
        <v>1024.057</v>
      </c>
      <c r="AA13" s="52">
        <f t="shared" si="0"/>
        <v>1198.5980000000002</v>
      </c>
      <c r="AB13" s="52">
        <f t="shared" si="0"/>
        <v>1310.6979999999999</v>
      </c>
      <c r="AC13" s="52">
        <f t="shared" si="0"/>
        <v>1327.998</v>
      </c>
      <c r="AD13" s="52">
        <f t="shared" si="0"/>
        <v>1364.191</v>
      </c>
      <c r="AE13" s="52">
        <f t="shared" si="0"/>
        <v>1429.415</v>
      </c>
      <c r="AF13" s="52">
        <f t="shared" si="0"/>
        <v>1625.165</v>
      </c>
      <c r="AG13" s="52">
        <f t="shared" si="0"/>
        <v>1640.203</v>
      </c>
      <c r="AH13" s="52">
        <f t="shared" si="0"/>
        <v>1659.1290000000001</v>
      </c>
      <c r="AI13" s="52">
        <f t="shared" si="0"/>
        <v>1703.5140000000001</v>
      </c>
      <c r="AJ13" s="52">
        <f t="shared" si="0"/>
        <v>1731.8679999999999</v>
      </c>
      <c r="AK13" s="54">
        <f t="shared" si="0"/>
        <v>1754.402</v>
      </c>
      <c r="AL13" s="52">
        <f t="shared" si="0"/>
        <v>1782.9739999999999</v>
      </c>
      <c r="AM13" s="52">
        <f t="shared" si="0"/>
        <v>1853.2280000000001</v>
      </c>
      <c r="AN13" s="52">
        <f t="shared" si="0"/>
        <v>2250.3419999999996</v>
      </c>
      <c r="AO13" s="52">
        <f t="shared" si="0"/>
        <v>2311.5480000000002</v>
      </c>
      <c r="AP13" s="52">
        <f t="shared" si="0"/>
        <v>2381.2980000000002</v>
      </c>
      <c r="AQ13" s="52">
        <f t="shared" si="0"/>
        <v>2509.181</v>
      </c>
      <c r="AR13" s="52">
        <f t="shared" si="0"/>
        <v>2548.4500000000003</v>
      </c>
      <c r="AS13" s="52">
        <f t="shared" si="0"/>
        <v>2615.1519999999996</v>
      </c>
      <c r="AT13" s="52">
        <f t="shared" si="0"/>
        <v>2658.4259999999999</v>
      </c>
      <c r="AU13" s="52">
        <f t="shared" si="0"/>
        <v>2704.7160000000003</v>
      </c>
      <c r="AV13" s="52">
        <f t="shared" si="0"/>
        <v>2806.2799999999997</v>
      </c>
      <c r="AW13" s="54">
        <f t="shared" si="0"/>
        <v>2876.9770000000003</v>
      </c>
      <c r="AX13" s="52">
        <f t="shared" si="0"/>
        <v>2999.6139999999996</v>
      </c>
      <c r="AY13" s="52">
        <f t="shared" si="0"/>
        <v>3116.828</v>
      </c>
      <c r="AZ13" s="52">
        <f t="shared" si="0"/>
        <v>4157.1949999999997</v>
      </c>
      <c r="BA13" s="52">
        <f t="shared" si="0"/>
        <v>4242.3020000000006</v>
      </c>
      <c r="BB13" s="52">
        <f t="shared" si="0"/>
        <v>4343.880000000001</v>
      </c>
      <c r="BC13" s="52">
        <f t="shared" si="0"/>
        <v>4477.808</v>
      </c>
      <c r="BD13" s="52">
        <f t="shared" si="0"/>
        <v>4643.5720000000001</v>
      </c>
      <c r="BE13" s="52">
        <f t="shared" si="0"/>
        <v>4705.3739999999998</v>
      </c>
      <c r="BF13" s="52">
        <f t="shared" si="0"/>
        <v>4910.1149999999998</v>
      </c>
      <c r="BG13" s="52">
        <f t="shared" si="0"/>
        <v>5075.7940000000008</v>
      </c>
      <c r="BH13" s="52">
        <f t="shared" si="0"/>
        <v>5214.4889999999996</v>
      </c>
      <c r="BI13" s="54">
        <f t="shared" si="0"/>
        <v>5519.0469999999996</v>
      </c>
      <c r="BJ13" s="52">
        <f t="shared" si="0"/>
        <v>5616.7009999999991</v>
      </c>
      <c r="BK13" s="52">
        <f t="shared" si="0"/>
        <v>5778.866</v>
      </c>
      <c r="BL13" s="52">
        <f t="shared" si="0"/>
        <v>8146.2570000000005</v>
      </c>
      <c r="BM13" s="52">
        <f t="shared" si="0"/>
        <v>8195.6659999999993</v>
      </c>
      <c r="BN13" s="52">
        <f t="shared" si="0"/>
        <v>8260.25</v>
      </c>
      <c r="BO13" s="52">
        <f t="shared" ref="BO13:DZ13" si="1">SUM(BO7:BO12)</f>
        <v>8393.2729999999992</v>
      </c>
      <c r="BP13" s="52">
        <f t="shared" si="1"/>
        <v>8478.0930000000008</v>
      </c>
      <c r="BQ13" s="52">
        <f t="shared" si="1"/>
        <v>8594.9329999999991</v>
      </c>
      <c r="BR13" s="52">
        <f t="shared" si="1"/>
        <v>8722.1369999999988</v>
      </c>
      <c r="BS13" s="52">
        <f t="shared" si="1"/>
        <v>8891.469000000001</v>
      </c>
      <c r="BT13" s="52">
        <f t="shared" si="1"/>
        <v>9101.387999999999</v>
      </c>
      <c r="BU13" s="54">
        <f t="shared" si="1"/>
        <v>9782.9889999999996</v>
      </c>
      <c r="BV13" s="52">
        <f t="shared" si="1"/>
        <v>9946.9159999999993</v>
      </c>
      <c r="BW13" s="52">
        <f t="shared" si="1"/>
        <v>10050.951000000001</v>
      </c>
      <c r="BX13" s="52">
        <f t="shared" si="1"/>
        <v>11218.926000000001</v>
      </c>
      <c r="BY13" s="52">
        <f t="shared" si="1"/>
        <v>11285.045000000002</v>
      </c>
      <c r="BZ13" s="52">
        <f t="shared" si="1"/>
        <v>11328.331</v>
      </c>
      <c r="CA13" s="52">
        <f t="shared" si="1"/>
        <v>11546.357999999998</v>
      </c>
      <c r="CB13" s="52">
        <f t="shared" si="1"/>
        <v>11587.046</v>
      </c>
      <c r="CC13" s="52">
        <f t="shared" si="1"/>
        <v>11647.825000000001</v>
      </c>
      <c r="CD13" s="52">
        <f t="shared" si="1"/>
        <v>11691.59</v>
      </c>
      <c r="CE13" s="52">
        <f t="shared" si="1"/>
        <v>11732.036</v>
      </c>
      <c r="CF13" s="52">
        <f t="shared" si="1"/>
        <v>11773.913</v>
      </c>
      <c r="CG13" s="52">
        <f t="shared" si="1"/>
        <v>11850.244999999999</v>
      </c>
      <c r="CH13" s="125">
        <f t="shared" si="1"/>
        <v>11888.221</v>
      </c>
      <c r="CI13" s="52">
        <f t="shared" si="1"/>
        <v>11954.095000000001</v>
      </c>
      <c r="CJ13" s="52">
        <f t="shared" si="1"/>
        <v>12431.53</v>
      </c>
      <c r="CK13" s="52">
        <f t="shared" si="1"/>
        <v>12450.48</v>
      </c>
      <c r="CL13" s="52">
        <f t="shared" si="1"/>
        <v>12468.221999999998</v>
      </c>
      <c r="CM13" s="52">
        <f t="shared" si="1"/>
        <v>12485.162</v>
      </c>
      <c r="CN13" s="52">
        <f t="shared" si="1"/>
        <v>12513.843000000001</v>
      </c>
      <c r="CO13" s="52">
        <f t="shared" si="1"/>
        <v>12531.179</v>
      </c>
      <c r="CP13" s="52">
        <f t="shared" si="1"/>
        <v>12547.883</v>
      </c>
      <c r="CQ13" s="52">
        <f t="shared" si="1"/>
        <v>12572.491999999998</v>
      </c>
      <c r="CR13" s="52">
        <f t="shared" si="1"/>
        <v>12588.189</v>
      </c>
      <c r="CS13" s="52">
        <f t="shared" si="1"/>
        <v>12599.602000000001</v>
      </c>
      <c r="CT13" s="125">
        <f t="shared" si="1"/>
        <v>12611.869999999999</v>
      </c>
      <c r="CU13" s="52">
        <f t="shared" si="1"/>
        <v>12622.755000000001</v>
      </c>
      <c r="CV13" s="52">
        <f t="shared" si="1"/>
        <v>12639.268</v>
      </c>
      <c r="CW13" s="52">
        <f t="shared" si="1"/>
        <v>12653.04</v>
      </c>
      <c r="CX13" s="52">
        <f t="shared" si="1"/>
        <v>12669.296</v>
      </c>
      <c r="CY13" s="52">
        <f t="shared" si="1"/>
        <v>12689.715</v>
      </c>
      <c r="CZ13" s="52">
        <f t="shared" si="1"/>
        <v>12705.137000000001</v>
      </c>
      <c r="DA13" s="52">
        <f t="shared" si="1"/>
        <v>12722.114</v>
      </c>
      <c r="DB13" s="52">
        <f t="shared" si="1"/>
        <v>12739.356000000002</v>
      </c>
      <c r="DC13" s="52">
        <f t="shared" si="1"/>
        <v>12765.310000000001</v>
      </c>
      <c r="DD13" s="52">
        <f t="shared" si="1"/>
        <v>12792.336000000001</v>
      </c>
      <c r="DE13" s="52">
        <f t="shared" si="1"/>
        <v>12821.677</v>
      </c>
      <c r="DF13" s="125">
        <f t="shared" si="1"/>
        <v>12845.495000000001</v>
      </c>
      <c r="DG13" s="52">
        <f t="shared" si="1"/>
        <v>12877.643</v>
      </c>
      <c r="DH13" s="52">
        <f t="shared" si="1"/>
        <v>12965.103999999999</v>
      </c>
      <c r="DI13" s="52">
        <f t="shared" si="1"/>
        <v>12983.369999999999</v>
      </c>
      <c r="DJ13" s="52">
        <f t="shared" si="1"/>
        <v>12990.998</v>
      </c>
      <c r="DK13" s="52">
        <f t="shared" si="1"/>
        <v>13001.217000000001</v>
      </c>
      <c r="DL13" s="52">
        <f t="shared" si="1"/>
        <v>13019.851999999999</v>
      </c>
      <c r="DM13" s="52">
        <f t="shared" si="1"/>
        <v>13036.659</v>
      </c>
      <c r="DN13" s="52">
        <f t="shared" si="1"/>
        <v>13062.880999999999</v>
      </c>
      <c r="DO13" s="52">
        <f t="shared" si="1"/>
        <v>13075.997000000001</v>
      </c>
      <c r="DP13" s="52">
        <f t="shared" si="1"/>
        <v>13088.815000000001</v>
      </c>
      <c r="DQ13" s="52">
        <f t="shared" si="1"/>
        <v>13133.499</v>
      </c>
      <c r="DR13" s="125">
        <f t="shared" si="1"/>
        <v>13215.991</v>
      </c>
      <c r="DS13" s="52">
        <f t="shared" si="1"/>
        <v>13232.95</v>
      </c>
      <c r="DT13" s="52">
        <f t="shared" si="1"/>
        <v>13249.044</v>
      </c>
      <c r="DU13" s="52">
        <f t="shared" si="1"/>
        <v>13254.058999999999</v>
      </c>
      <c r="DV13" s="52">
        <f t="shared" si="1"/>
        <v>13268.056</v>
      </c>
      <c r="DW13" s="52">
        <f t="shared" si="1"/>
        <v>13278.377999999999</v>
      </c>
      <c r="DX13" s="52">
        <f t="shared" si="1"/>
        <v>13297.420000000002</v>
      </c>
      <c r="DY13" s="52">
        <f t="shared" si="1"/>
        <v>13314.566000000001</v>
      </c>
      <c r="DZ13" s="52">
        <f t="shared" si="1"/>
        <v>13330.369000000001</v>
      </c>
      <c r="EA13" s="52">
        <f t="shared" ref="EA13:FA13" si="2">SUM(EA7:EA12)</f>
        <v>13349.267</v>
      </c>
      <c r="EB13" s="52">
        <f t="shared" si="2"/>
        <v>13367.286</v>
      </c>
      <c r="EC13" s="52">
        <f t="shared" si="2"/>
        <v>13444.429</v>
      </c>
      <c r="ED13" s="125">
        <f t="shared" si="2"/>
        <v>13466.196999999998</v>
      </c>
      <c r="EE13" s="52">
        <f t="shared" si="2"/>
        <v>13481.579999999998</v>
      </c>
      <c r="EF13" s="52">
        <f t="shared" si="2"/>
        <v>13616.312999999998</v>
      </c>
      <c r="EG13" s="52">
        <f t="shared" si="2"/>
        <v>13684.671999999999</v>
      </c>
      <c r="EH13" s="52">
        <f t="shared" si="2"/>
        <v>13711.287999999999</v>
      </c>
      <c r="EI13" s="52">
        <f t="shared" si="2"/>
        <v>13745.777999999998</v>
      </c>
      <c r="EJ13" s="52">
        <f t="shared" si="2"/>
        <v>13771.525999999998</v>
      </c>
      <c r="EK13" s="52">
        <f t="shared" si="2"/>
        <v>13793.030999999999</v>
      </c>
      <c r="EL13" s="52">
        <f t="shared" si="2"/>
        <v>13823.656999999999</v>
      </c>
      <c r="EM13" s="52">
        <f t="shared" si="2"/>
        <v>13849.774999999998</v>
      </c>
      <c r="EN13" s="52">
        <f t="shared" si="2"/>
        <v>13880.556999999999</v>
      </c>
      <c r="EO13" s="52">
        <f t="shared" si="2"/>
        <v>13904.315999999999</v>
      </c>
      <c r="EP13" s="125">
        <f t="shared" si="2"/>
        <v>13991.789999999999</v>
      </c>
      <c r="EQ13" s="52">
        <f t="shared" si="2"/>
        <v>14024.732999999998</v>
      </c>
      <c r="ER13" s="52">
        <f t="shared" si="2"/>
        <v>14077.503999999999</v>
      </c>
      <c r="ES13" s="52">
        <f t="shared" si="2"/>
        <v>14124.762999999999</v>
      </c>
      <c r="ET13" s="52">
        <f t="shared" si="2"/>
        <v>14184.540999999999</v>
      </c>
      <c r="EU13" s="52">
        <f t="shared" si="2"/>
        <v>14235.412999999999</v>
      </c>
      <c r="EV13" s="52">
        <f t="shared" si="2"/>
        <v>14306.428</v>
      </c>
      <c r="EW13" s="52">
        <f t="shared" si="2"/>
        <v>14361.957999999999</v>
      </c>
      <c r="EX13" s="52">
        <f t="shared" si="2"/>
        <v>14446.407999999999</v>
      </c>
      <c r="EY13" s="52">
        <f t="shared" si="2"/>
        <v>14559.767</v>
      </c>
      <c r="EZ13" s="52">
        <f t="shared" si="2"/>
        <v>14639.028999999999</v>
      </c>
      <c r="FA13" s="53">
        <f t="shared" si="2"/>
        <v>14761.791999999999</v>
      </c>
      <c r="FB13" s="52">
        <f t="shared" ref="FB13" si="3">SUM(FB7:FB12)</f>
        <v>15186.831999999999</v>
      </c>
      <c r="FC13" s="52">
        <f t="shared" ref="FC13" si="4">SUM(FC7:FC12)</f>
        <v>15551.021999999999</v>
      </c>
      <c r="FD13" s="52">
        <f t="shared" ref="FD13:FG13" si="5">SUM(FD7:FD12)</f>
        <v>16089.659</v>
      </c>
      <c r="FE13" s="52">
        <f t="shared" si="5"/>
        <v>16178.14</v>
      </c>
      <c r="FF13" s="52">
        <f t="shared" si="5"/>
        <v>16345.338999999998</v>
      </c>
      <c r="FG13" s="52">
        <f t="shared" si="5"/>
        <v>16497.004999999997</v>
      </c>
      <c r="FH13" s="52">
        <f t="shared" ref="FH13:FJ13" si="6">SUM(FH7:FH12)</f>
        <v>16584.237000000001</v>
      </c>
      <c r="FI13" s="52">
        <f t="shared" si="6"/>
        <v>16670.782999999999</v>
      </c>
      <c r="FJ13" s="52">
        <f t="shared" si="6"/>
        <v>16857.174999999999</v>
      </c>
      <c r="FK13" s="52">
        <f t="shared" ref="FK13:FV13" si="7">SUM(FK7:FK12)</f>
        <v>16982.924999999999</v>
      </c>
      <c r="FL13" s="52">
        <f t="shared" si="7"/>
        <v>17105.998999999996</v>
      </c>
      <c r="FM13" s="52">
        <f t="shared" si="7"/>
        <v>17160.153999999999</v>
      </c>
      <c r="FN13" s="125">
        <f t="shared" si="7"/>
        <v>17315.150000000001</v>
      </c>
      <c r="FO13" s="52">
        <f t="shared" si="7"/>
        <v>17413.061000000002</v>
      </c>
      <c r="FP13" s="52">
        <f t="shared" si="7"/>
        <v>17650.596999999998</v>
      </c>
      <c r="FQ13" s="52">
        <f t="shared" si="7"/>
        <v>17777.768</v>
      </c>
      <c r="FR13" s="52">
        <f t="shared" si="7"/>
        <v>17913.789999999997</v>
      </c>
      <c r="FS13" s="52">
        <f t="shared" si="7"/>
        <v>18081.816999999999</v>
      </c>
      <c r="FT13" s="52">
        <f t="shared" si="7"/>
        <v>18225.07</v>
      </c>
      <c r="FU13" s="52">
        <f t="shared" si="7"/>
        <v>18333.93</v>
      </c>
      <c r="FV13" s="52">
        <f t="shared" si="7"/>
        <v>18413.906999999999</v>
      </c>
      <c r="FW13" s="52">
        <f t="shared" ref="FW13:FY13" si="8">SUM(FW7:FW12)</f>
        <v>18779.71</v>
      </c>
      <c r="FX13" s="52">
        <f t="shared" si="8"/>
        <v>18920.078999999998</v>
      </c>
      <c r="FY13" s="52">
        <f t="shared" si="8"/>
        <v>19025.795999999998</v>
      </c>
      <c r="FZ13" s="125">
        <f t="shared" ref="FZ13:GB13" si="9">SUM(FZ7:FZ12)</f>
        <v>19219.796999999999</v>
      </c>
      <c r="GA13" s="52">
        <f t="shared" si="9"/>
        <v>19322.035</v>
      </c>
      <c r="GB13" s="52">
        <f t="shared" si="9"/>
        <v>19675.599999999999</v>
      </c>
      <c r="GC13" s="52">
        <f t="shared" ref="GC13:GG13" si="10">SUM(GC7:GC12)</f>
        <v>19820.900999999998</v>
      </c>
      <c r="GD13" s="52">
        <f t="shared" si="10"/>
        <v>19960.600999999999</v>
      </c>
      <c r="GE13" s="52">
        <f t="shared" si="10"/>
        <v>20133.96</v>
      </c>
      <c r="GF13" s="52">
        <f t="shared" si="10"/>
        <v>20710.245999999999</v>
      </c>
      <c r="GG13" s="52">
        <f t="shared" si="10"/>
        <v>20904.345000000001</v>
      </c>
      <c r="GH13" s="52">
        <f t="shared" ref="GH13:GI13" si="11">SUM(GH7:GH12)</f>
        <v>21058.046000000002</v>
      </c>
      <c r="GI13" s="52">
        <f t="shared" si="11"/>
        <v>21333.275000000001</v>
      </c>
      <c r="GJ13" s="52">
        <f t="shared" ref="GJ13:GK13" si="12">SUM(GJ7:GJ12)</f>
        <v>21506.726999999999</v>
      </c>
      <c r="GK13" s="52">
        <f t="shared" si="12"/>
        <v>21648.691999999999</v>
      </c>
      <c r="GL13" s="125">
        <f t="shared" ref="GL13:GM13" si="13">SUM(GL7:GL12)</f>
        <v>21738.606</v>
      </c>
      <c r="GM13" s="52">
        <f t="shared" si="13"/>
        <v>21841.112999999998</v>
      </c>
      <c r="GN13" s="52">
        <f t="shared" ref="GN13:GO13" si="14">SUM(GN7:GN12)</f>
        <v>22016.171000000002</v>
      </c>
      <c r="GO13" s="52">
        <f t="shared" si="14"/>
        <v>22126.555</v>
      </c>
      <c r="GP13" s="52">
        <f t="shared" ref="GP13:GQ13" si="15">SUM(GP7:GP12)</f>
        <v>22213.702999999998</v>
      </c>
      <c r="GQ13" s="52">
        <f t="shared" si="15"/>
        <v>22342.534</v>
      </c>
    </row>
    <row r="14" spans="1:199" s="30" customFormat="1" ht="20.149999999999999" customHeight="1" thickTop="1" x14ac:dyDescent="0.35">
      <c r="A14" s="26" t="s">
        <v>268</v>
      </c>
      <c r="B14" s="45"/>
      <c r="C14" s="45"/>
      <c r="D14" s="45"/>
      <c r="E14" s="45"/>
      <c r="F14" s="45"/>
      <c r="G14" s="45"/>
      <c r="H14" s="45"/>
      <c r="I14" s="45"/>
      <c r="J14" s="45"/>
      <c r="K14" s="45"/>
      <c r="L14" s="45"/>
      <c r="M14" s="49"/>
      <c r="N14" s="50"/>
      <c r="O14" s="45"/>
      <c r="P14" s="45"/>
      <c r="Q14" s="45"/>
      <c r="R14" s="45"/>
      <c r="S14" s="45"/>
      <c r="T14" s="45"/>
      <c r="U14" s="45"/>
      <c r="V14" s="45"/>
      <c r="W14" s="45"/>
      <c r="X14" s="45"/>
      <c r="Y14" s="49"/>
      <c r="Z14" s="45"/>
      <c r="AA14" s="45"/>
      <c r="AB14" s="45"/>
      <c r="AC14" s="45"/>
      <c r="AD14" s="45"/>
      <c r="AE14" s="45"/>
      <c r="AF14" s="45"/>
      <c r="AG14" s="45"/>
      <c r="AH14" s="45"/>
      <c r="AI14" s="45"/>
      <c r="AJ14" s="45"/>
      <c r="AK14" s="49"/>
      <c r="AL14" s="45"/>
      <c r="AM14" s="45"/>
      <c r="AN14" s="45"/>
      <c r="AO14" s="45"/>
      <c r="AP14" s="45"/>
      <c r="AQ14" s="45"/>
      <c r="AR14" s="45"/>
      <c r="AS14" s="45"/>
      <c r="AT14" s="45"/>
      <c r="AU14" s="45"/>
      <c r="AV14" s="45"/>
      <c r="AW14" s="49"/>
      <c r="AX14" s="45"/>
      <c r="AY14" s="45"/>
      <c r="AZ14" s="45"/>
      <c r="BA14" s="45"/>
      <c r="BB14" s="45"/>
      <c r="BC14" s="45"/>
      <c r="BD14" s="45"/>
      <c r="BE14" s="45"/>
      <c r="BF14" s="45"/>
      <c r="BG14" s="45"/>
      <c r="BH14" s="45"/>
      <c r="BI14" s="49"/>
      <c r="BJ14" s="45"/>
      <c r="BK14" s="45"/>
      <c r="BL14" s="45"/>
      <c r="BM14" s="45"/>
      <c r="BN14" s="45"/>
      <c r="BO14" s="45"/>
      <c r="BP14" s="45"/>
      <c r="BQ14" s="45"/>
      <c r="BR14" s="45"/>
      <c r="BS14" s="45"/>
      <c r="BT14" s="45"/>
      <c r="BU14" s="49"/>
      <c r="BV14" s="45"/>
      <c r="BW14" s="45"/>
      <c r="BX14" s="45"/>
      <c r="BY14" s="45"/>
      <c r="BZ14" s="45"/>
      <c r="CA14" s="45"/>
      <c r="CB14" s="45"/>
      <c r="CC14" s="45"/>
      <c r="CD14" s="45"/>
      <c r="CE14" s="45"/>
      <c r="CF14" s="45"/>
      <c r="CG14" s="124"/>
      <c r="CH14" s="69"/>
      <c r="CI14" s="45"/>
      <c r="CJ14" s="45"/>
      <c r="CK14" s="45"/>
      <c r="CL14" s="45"/>
      <c r="CM14" s="45"/>
      <c r="CN14" s="45"/>
      <c r="CO14" s="45"/>
      <c r="CP14" s="45"/>
      <c r="CQ14" s="45"/>
      <c r="CR14" s="45"/>
      <c r="CS14" s="124"/>
      <c r="CT14" s="69"/>
      <c r="CU14" s="45"/>
      <c r="CV14" s="45"/>
      <c r="CW14" s="45"/>
      <c r="CX14" s="45"/>
      <c r="CY14" s="45"/>
      <c r="CZ14" s="45"/>
      <c r="DA14" s="45"/>
      <c r="DB14" s="45"/>
      <c r="DC14" s="45"/>
      <c r="DD14" s="45"/>
      <c r="DE14" s="124"/>
      <c r="DF14" s="69"/>
      <c r="DG14" s="45"/>
      <c r="DH14" s="45"/>
      <c r="DI14" s="45"/>
      <c r="DJ14" s="45"/>
      <c r="DK14" s="45"/>
      <c r="DL14" s="45"/>
      <c r="DM14" s="45"/>
      <c r="DN14" s="45"/>
      <c r="DO14" s="45"/>
      <c r="DP14" s="45"/>
      <c r="DQ14" s="124"/>
      <c r="DR14" s="69"/>
      <c r="DS14" s="45"/>
      <c r="DT14" s="126"/>
      <c r="DU14" s="126"/>
      <c r="DV14" s="126"/>
      <c r="DW14" s="126"/>
      <c r="DX14" s="126"/>
      <c r="DY14" s="126"/>
      <c r="DZ14" s="126"/>
      <c r="EA14" s="126"/>
      <c r="EB14" s="126"/>
      <c r="EC14" s="126"/>
      <c r="ED14" s="69"/>
      <c r="EE14" s="45"/>
      <c r="EF14" s="126"/>
      <c r="EG14" s="126"/>
      <c r="EH14" s="126"/>
      <c r="EI14" s="126"/>
      <c r="EJ14" s="126"/>
      <c r="EK14" s="126"/>
      <c r="EL14" s="126"/>
      <c r="EM14" s="126"/>
      <c r="EN14" s="126"/>
      <c r="EO14" s="126"/>
      <c r="EP14" s="69"/>
      <c r="EQ14" s="45"/>
      <c r="ER14" s="126"/>
      <c r="ES14" s="126"/>
      <c r="ET14" s="126"/>
      <c r="EU14" s="126"/>
      <c r="EV14" s="126"/>
      <c r="EW14" s="126"/>
      <c r="EX14" s="126"/>
      <c r="EY14" s="126"/>
      <c r="EZ14" s="126"/>
      <c r="FA14" s="132"/>
      <c r="FB14" s="126"/>
      <c r="FC14" s="126"/>
      <c r="FD14" s="126"/>
      <c r="FE14" s="126"/>
      <c r="FF14" s="126"/>
      <c r="FG14" s="126"/>
      <c r="FH14" s="126"/>
      <c r="FI14" s="126"/>
      <c r="FJ14" s="126"/>
      <c r="FK14" s="126"/>
      <c r="FL14" s="126"/>
      <c r="FM14" s="126"/>
      <c r="FN14" s="172"/>
      <c r="FO14" s="126"/>
      <c r="FP14" s="126"/>
      <c r="FQ14" s="126"/>
      <c r="FR14" s="126"/>
      <c r="FS14" s="126"/>
      <c r="FT14" s="126"/>
      <c r="FU14" s="126"/>
      <c r="FV14" s="126"/>
      <c r="FW14" s="126"/>
      <c r="FX14" s="126"/>
      <c r="FY14" s="126"/>
      <c r="FZ14" s="172"/>
      <c r="GA14" s="126"/>
      <c r="GB14" s="126"/>
      <c r="GC14" s="126"/>
      <c r="GD14" s="126"/>
      <c r="GE14" s="126"/>
      <c r="GF14" s="126"/>
      <c r="GG14" s="126"/>
      <c r="GH14" s="126"/>
      <c r="GI14" s="126"/>
      <c r="GJ14" s="126"/>
      <c r="GK14" s="126"/>
      <c r="GL14" s="172"/>
      <c r="GM14" s="126"/>
      <c r="GN14" s="126"/>
      <c r="GO14" s="126"/>
      <c r="GP14" s="126"/>
      <c r="GQ14" s="126"/>
    </row>
    <row r="15" spans="1:199" s="1" customFormat="1" ht="20.149999999999999" customHeight="1" x14ac:dyDescent="0.35">
      <c r="A15" s="31" t="s">
        <v>279</v>
      </c>
      <c r="B15" s="45">
        <v>0</v>
      </c>
      <c r="C15" s="45">
        <v>0</v>
      </c>
      <c r="D15" s="45">
        <v>0</v>
      </c>
      <c r="E15" s="45">
        <v>0</v>
      </c>
      <c r="F15" s="45">
        <v>0</v>
      </c>
      <c r="G15" s="45">
        <v>0</v>
      </c>
      <c r="H15" s="45">
        <v>0</v>
      </c>
      <c r="I15" s="45">
        <v>0</v>
      </c>
      <c r="J15" s="45">
        <v>0</v>
      </c>
      <c r="K15" s="45">
        <v>0</v>
      </c>
      <c r="L15" s="45">
        <v>0</v>
      </c>
      <c r="M15" s="49">
        <v>0</v>
      </c>
      <c r="N15" s="50">
        <v>0</v>
      </c>
      <c r="O15" s="45">
        <v>0</v>
      </c>
      <c r="P15" s="45">
        <v>0</v>
      </c>
      <c r="Q15" s="45">
        <v>0</v>
      </c>
      <c r="R15" s="45">
        <v>0</v>
      </c>
      <c r="S15" s="45">
        <v>0</v>
      </c>
      <c r="T15" s="45">
        <v>0</v>
      </c>
      <c r="U15" s="45">
        <v>0</v>
      </c>
      <c r="V15" s="45">
        <v>0</v>
      </c>
      <c r="W15" s="45">
        <v>0</v>
      </c>
      <c r="X15" s="45">
        <v>0</v>
      </c>
      <c r="Y15" s="49">
        <v>0</v>
      </c>
      <c r="Z15" s="45">
        <v>0</v>
      </c>
      <c r="AA15" s="45">
        <v>0</v>
      </c>
      <c r="AB15" s="45">
        <v>0</v>
      </c>
      <c r="AC15" s="45">
        <v>0</v>
      </c>
      <c r="AD15" s="45">
        <v>0</v>
      </c>
      <c r="AE15" s="45">
        <v>0</v>
      </c>
      <c r="AF15" s="45">
        <v>0</v>
      </c>
      <c r="AG15" s="45">
        <v>0</v>
      </c>
      <c r="AH15" s="45">
        <v>0</v>
      </c>
      <c r="AI15" s="45">
        <v>0</v>
      </c>
      <c r="AJ15" s="45">
        <v>0</v>
      </c>
      <c r="AK15" s="49">
        <v>0</v>
      </c>
      <c r="AL15" s="45">
        <v>0</v>
      </c>
      <c r="AM15" s="45">
        <v>0</v>
      </c>
      <c r="AN15" s="45">
        <v>0</v>
      </c>
      <c r="AO15" s="45">
        <v>0</v>
      </c>
      <c r="AP15" s="45">
        <v>0</v>
      </c>
      <c r="AQ15" s="45">
        <v>0</v>
      </c>
      <c r="AR15" s="45">
        <v>0</v>
      </c>
      <c r="AS15" s="45">
        <v>0</v>
      </c>
      <c r="AT15" s="45">
        <v>0</v>
      </c>
      <c r="AU15" s="45">
        <v>0</v>
      </c>
      <c r="AV15" s="45">
        <v>0</v>
      </c>
      <c r="AW15" s="49">
        <v>0</v>
      </c>
      <c r="AX15" s="45">
        <v>0</v>
      </c>
      <c r="AY15" s="45">
        <v>0</v>
      </c>
      <c r="AZ15" s="45">
        <v>0</v>
      </c>
      <c r="BA15" s="45">
        <v>0</v>
      </c>
      <c r="BB15" s="45">
        <v>0</v>
      </c>
      <c r="BC15" s="45">
        <v>0</v>
      </c>
      <c r="BD15" s="45">
        <v>0</v>
      </c>
      <c r="BE15" s="45">
        <v>0</v>
      </c>
      <c r="BF15" s="45">
        <v>0</v>
      </c>
      <c r="BG15" s="45">
        <v>0</v>
      </c>
      <c r="BH15" s="45">
        <v>0</v>
      </c>
      <c r="BI15" s="49">
        <v>0</v>
      </c>
      <c r="BJ15" s="45">
        <v>0</v>
      </c>
      <c r="BK15" s="45">
        <v>0</v>
      </c>
      <c r="BL15" s="45">
        <v>0</v>
      </c>
      <c r="BM15" s="45">
        <v>0</v>
      </c>
      <c r="BN15" s="45">
        <v>0</v>
      </c>
      <c r="BO15" s="45">
        <v>0</v>
      </c>
      <c r="BP15" s="45">
        <v>0</v>
      </c>
      <c r="BQ15" s="45">
        <v>0</v>
      </c>
      <c r="BR15" s="45">
        <v>0</v>
      </c>
      <c r="BS15" s="45">
        <v>0</v>
      </c>
      <c r="BT15" s="45">
        <v>0</v>
      </c>
      <c r="BU15" s="49">
        <v>0</v>
      </c>
      <c r="BV15" s="45">
        <v>0</v>
      </c>
      <c r="BW15" s="45">
        <v>0</v>
      </c>
      <c r="BX15" s="45">
        <v>0</v>
      </c>
      <c r="BY15" s="45">
        <v>5.1260000000000003</v>
      </c>
      <c r="BZ15" s="45">
        <v>9.9260000000000002</v>
      </c>
      <c r="CA15" s="45">
        <v>9.9260000000000002</v>
      </c>
      <c r="CB15" s="45">
        <v>9.9260000000000002</v>
      </c>
      <c r="CC15" s="45">
        <v>9.9260000000000002</v>
      </c>
      <c r="CD15" s="45">
        <v>9.9260000000000002</v>
      </c>
      <c r="CE15" s="45">
        <v>9.9260000000000002</v>
      </c>
      <c r="CF15" s="45">
        <v>9.9260000000000002</v>
      </c>
      <c r="CG15" s="124">
        <v>9.9260000000000002</v>
      </c>
      <c r="CH15" s="69">
        <v>9.9260000000000002</v>
      </c>
      <c r="CI15" s="45">
        <v>36.406999999999996</v>
      </c>
      <c r="CJ15" s="45">
        <v>116.36</v>
      </c>
      <c r="CK15" s="45">
        <v>116.36</v>
      </c>
      <c r="CL15" s="45">
        <v>116.36</v>
      </c>
      <c r="CM15" s="45">
        <v>116.36</v>
      </c>
      <c r="CN15" s="45">
        <v>116.36</v>
      </c>
      <c r="CO15" s="45">
        <v>116.36</v>
      </c>
      <c r="CP15" s="45">
        <v>116.36</v>
      </c>
      <c r="CQ15" s="45">
        <v>116.36</v>
      </c>
      <c r="CR15" s="45">
        <v>116.36</v>
      </c>
      <c r="CS15" s="124">
        <v>122.32</v>
      </c>
      <c r="CT15" s="69">
        <v>149.41999999999999</v>
      </c>
      <c r="CU15" s="45">
        <v>155.91999999999999</v>
      </c>
      <c r="CV15" s="45">
        <v>180.01400000000001</v>
      </c>
      <c r="CW15" s="45">
        <v>193.01400000000001</v>
      </c>
      <c r="CX15" s="45">
        <v>193.01400000000001</v>
      </c>
      <c r="CY15" s="45">
        <v>193.01400000000001</v>
      </c>
      <c r="CZ15" s="45">
        <v>193.01400000000001</v>
      </c>
      <c r="DA15" s="45">
        <v>193.01400000000001</v>
      </c>
      <c r="DB15" s="45">
        <v>193.01400000000001</v>
      </c>
      <c r="DC15" s="45">
        <v>193.01400000000001</v>
      </c>
      <c r="DD15" s="45">
        <v>193.01400000000001</v>
      </c>
      <c r="DE15" s="124">
        <v>193.01400000000001</v>
      </c>
      <c r="DF15" s="69">
        <v>193.01400000000001</v>
      </c>
      <c r="DG15" s="45">
        <v>193.01400000000001</v>
      </c>
      <c r="DH15" s="45">
        <v>193.01400000000001</v>
      </c>
      <c r="DI15" s="45">
        <v>193.01400000000001</v>
      </c>
      <c r="DJ15" s="45">
        <v>193.01400000000001</v>
      </c>
      <c r="DK15" s="45">
        <v>193.01400000000001</v>
      </c>
      <c r="DL15" s="45">
        <v>193.01400000000001</v>
      </c>
      <c r="DM15" s="45">
        <v>193.01400000000001</v>
      </c>
      <c r="DN15" s="45">
        <v>193.01400000000001</v>
      </c>
      <c r="DO15" s="45">
        <v>193.01400000000001</v>
      </c>
      <c r="DP15" s="45">
        <v>193.01400000000001</v>
      </c>
      <c r="DQ15" s="124">
        <v>193.01400000000001</v>
      </c>
      <c r="DR15" s="69">
        <v>193.01400000000001</v>
      </c>
      <c r="DS15" s="45">
        <v>193.01400000000001</v>
      </c>
      <c r="DT15" s="45">
        <v>193.01400000000001</v>
      </c>
      <c r="DU15" s="45">
        <v>193.01400000000001</v>
      </c>
      <c r="DV15" s="45">
        <v>193.01400000000001</v>
      </c>
      <c r="DW15" s="45">
        <v>193.01400000000001</v>
      </c>
      <c r="DX15" s="45">
        <v>193.01400000000001</v>
      </c>
      <c r="DY15" s="45">
        <v>193.01400000000001</v>
      </c>
      <c r="DZ15" s="45">
        <v>193.01400000000001</v>
      </c>
      <c r="EA15" s="45">
        <v>193.01400000000001</v>
      </c>
      <c r="EB15" s="45">
        <v>193.01400000000001</v>
      </c>
      <c r="EC15" s="45">
        <v>193.01400000000001</v>
      </c>
      <c r="ED15" s="69">
        <v>193.01400000000001</v>
      </c>
      <c r="EE15" s="45">
        <v>193.01400000000001</v>
      </c>
      <c r="EF15" s="45">
        <v>193.01400000000001</v>
      </c>
      <c r="EG15" s="45">
        <v>193.01400000000001</v>
      </c>
      <c r="EH15" s="45">
        <v>193.01400000000001</v>
      </c>
      <c r="EI15" s="45">
        <v>193.01400000000001</v>
      </c>
      <c r="EJ15" s="45">
        <v>193.01400000000001</v>
      </c>
      <c r="EK15" s="45">
        <v>193.01400000000001</v>
      </c>
      <c r="EL15" s="45">
        <v>193.01400000000001</v>
      </c>
      <c r="EM15" s="45">
        <v>193.01400000000001</v>
      </c>
      <c r="EN15" s="45">
        <v>193.01400000000001</v>
      </c>
      <c r="EO15" s="45">
        <v>193.01400000000001</v>
      </c>
      <c r="EP15" s="69">
        <v>193.01400000000001</v>
      </c>
      <c r="EQ15" s="45">
        <v>193.01400000000001</v>
      </c>
      <c r="ER15" s="45">
        <v>193.01400000000001</v>
      </c>
      <c r="ES15" s="45">
        <v>193.01400000000001</v>
      </c>
      <c r="ET15" s="45">
        <v>193.01400000000001</v>
      </c>
      <c r="EU15" s="45">
        <v>193.01400000000001</v>
      </c>
      <c r="EV15" s="45">
        <v>193.01400000000001</v>
      </c>
      <c r="EW15" s="45">
        <v>193.01400000000001</v>
      </c>
      <c r="EX15" s="45">
        <v>193.01400000000001</v>
      </c>
      <c r="EY15" s="45">
        <v>193.01400000000001</v>
      </c>
      <c r="EZ15" s="45">
        <v>193.01400000000001</v>
      </c>
      <c r="FA15" s="82">
        <v>193.01400000000001</v>
      </c>
      <c r="FB15" s="45">
        <v>193.01400000000001</v>
      </c>
      <c r="FC15" s="45">
        <v>193.01400000000001</v>
      </c>
      <c r="FD15" s="45">
        <v>193.01400000000001</v>
      </c>
      <c r="FE15" s="45">
        <v>193.01400000000001</v>
      </c>
      <c r="FF15" s="45">
        <v>193.01400000000001</v>
      </c>
      <c r="FG15" s="45">
        <v>193.01400000000001</v>
      </c>
      <c r="FH15" s="45">
        <v>193.01400000000001</v>
      </c>
      <c r="FI15" s="45">
        <v>193.01400000000001</v>
      </c>
      <c r="FJ15" s="45">
        <v>193.01400000000001</v>
      </c>
      <c r="FK15" s="45">
        <v>193.01400000000001</v>
      </c>
      <c r="FL15" s="45">
        <v>193.01400000000001</v>
      </c>
      <c r="FM15" s="45">
        <v>193.01400000000001</v>
      </c>
      <c r="FN15" s="69">
        <v>193.01400000000001</v>
      </c>
      <c r="FO15" s="45">
        <v>193.01400000000001</v>
      </c>
      <c r="FP15" s="45">
        <v>193.01400000000001</v>
      </c>
      <c r="FQ15" s="45">
        <v>193.01400000000001</v>
      </c>
      <c r="FR15" s="45">
        <v>193.01400000000001</v>
      </c>
      <c r="FS15" s="45">
        <v>193.01400000000001</v>
      </c>
      <c r="FT15" s="45">
        <v>193.01400000000001</v>
      </c>
      <c r="FU15" s="45">
        <v>193.01400000000001</v>
      </c>
      <c r="FV15" s="45">
        <v>193.01400000000001</v>
      </c>
      <c r="FW15" s="45">
        <v>193.01400000000001</v>
      </c>
      <c r="FX15" s="45">
        <v>193.01400000000001</v>
      </c>
      <c r="FY15" s="45">
        <v>193.01400000000001</v>
      </c>
      <c r="FZ15" s="69">
        <v>193.01400000000001</v>
      </c>
      <c r="GA15" s="45">
        <v>193.01400000000001</v>
      </c>
      <c r="GB15" s="45">
        <v>193.01400000000001</v>
      </c>
      <c r="GC15" s="45">
        <v>193.01400000000001</v>
      </c>
      <c r="GD15" s="45">
        <v>193.01400000000001</v>
      </c>
      <c r="GE15" s="45">
        <v>193.01400000000001</v>
      </c>
      <c r="GF15" s="45">
        <v>193.01400000000001</v>
      </c>
      <c r="GG15" s="45">
        <v>193.01400000000001</v>
      </c>
      <c r="GH15" s="45">
        <v>193.01400000000001</v>
      </c>
      <c r="GI15" s="45">
        <v>193.01400000000001</v>
      </c>
      <c r="GJ15" s="45">
        <v>193.01400000000001</v>
      </c>
      <c r="GK15" s="45">
        <v>193.01400000000001</v>
      </c>
      <c r="GL15" s="69">
        <v>193.01400000000001</v>
      </c>
      <c r="GM15" s="45">
        <v>193.01400000000001</v>
      </c>
      <c r="GN15" s="45">
        <v>193.01400000000001</v>
      </c>
      <c r="GO15" s="45">
        <v>193.01400000000001</v>
      </c>
      <c r="GP15" s="45">
        <v>193.01400000000001</v>
      </c>
      <c r="GQ15" s="45">
        <v>193.01400000000001</v>
      </c>
    </row>
    <row r="16" spans="1:199" s="1" customFormat="1" ht="20.149999999999999" customHeight="1" x14ac:dyDescent="0.35">
      <c r="A16" s="31" t="s">
        <v>280</v>
      </c>
      <c r="B16" s="45">
        <v>1.046</v>
      </c>
      <c r="C16" s="45">
        <v>1.046</v>
      </c>
      <c r="D16" s="45">
        <v>1.0860000000000001</v>
      </c>
      <c r="E16" s="45">
        <v>1.099</v>
      </c>
      <c r="F16" s="45">
        <v>1.105</v>
      </c>
      <c r="G16" s="45">
        <v>1.133</v>
      </c>
      <c r="H16" s="45">
        <v>1.1519999999999999</v>
      </c>
      <c r="I16" s="45">
        <v>1.1559999999999999</v>
      </c>
      <c r="J16" s="45">
        <v>1.157</v>
      </c>
      <c r="K16" s="45">
        <v>1.1679999999999999</v>
      </c>
      <c r="L16" s="45">
        <v>1.1870000000000001</v>
      </c>
      <c r="M16" s="49">
        <v>1.198</v>
      </c>
      <c r="N16" s="50">
        <v>1.198</v>
      </c>
      <c r="O16" s="45">
        <v>1.2070000000000001</v>
      </c>
      <c r="P16" s="45">
        <v>1.222</v>
      </c>
      <c r="Q16" s="45">
        <v>1.23</v>
      </c>
      <c r="R16" s="45">
        <v>1.282</v>
      </c>
      <c r="S16" s="45">
        <v>1.3260000000000001</v>
      </c>
      <c r="T16" s="45">
        <v>1.3440000000000001</v>
      </c>
      <c r="U16" s="45">
        <v>1.3759999999999999</v>
      </c>
      <c r="V16" s="45">
        <v>1.4259999999999999</v>
      </c>
      <c r="W16" s="45">
        <v>1.536</v>
      </c>
      <c r="X16" s="45">
        <v>1.6539999999999999</v>
      </c>
      <c r="Y16" s="49">
        <v>1.823</v>
      </c>
      <c r="Z16" s="45">
        <v>2.0070000000000001</v>
      </c>
      <c r="AA16" s="45">
        <v>2.0910000000000002</v>
      </c>
      <c r="AB16" s="45">
        <v>2.2250000000000001</v>
      </c>
      <c r="AC16" s="45">
        <v>2.3180000000000001</v>
      </c>
      <c r="AD16" s="45">
        <v>2.3980000000000001</v>
      </c>
      <c r="AE16" s="45">
        <v>2.444</v>
      </c>
      <c r="AF16" s="45">
        <v>2.5449999999999999</v>
      </c>
      <c r="AG16" s="45">
        <v>2.992</v>
      </c>
      <c r="AH16" s="45">
        <v>3.4409999999999998</v>
      </c>
      <c r="AI16" s="45">
        <v>4.1970000000000001</v>
      </c>
      <c r="AJ16" s="45">
        <v>5.2530000000000001</v>
      </c>
      <c r="AK16" s="49">
        <v>5.88</v>
      </c>
      <c r="AL16" s="45">
        <v>6.7569999999999997</v>
      </c>
      <c r="AM16" s="45">
        <v>7.4640000000000004</v>
      </c>
      <c r="AN16" s="45">
        <v>8.4009999999999998</v>
      </c>
      <c r="AO16" s="45">
        <v>9.2189999999999994</v>
      </c>
      <c r="AP16" s="45">
        <v>10.486000000000001</v>
      </c>
      <c r="AQ16" s="45">
        <v>11.724</v>
      </c>
      <c r="AR16" s="45">
        <v>13.496</v>
      </c>
      <c r="AS16" s="45">
        <v>16.228999999999999</v>
      </c>
      <c r="AT16" s="45">
        <v>19.027999999999999</v>
      </c>
      <c r="AU16" s="45">
        <v>21.652000000000001</v>
      </c>
      <c r="AV16" s="45">
        <v>25.082999999999998</v>
      </c>
      <c r="AW16" s="49">
        <v>27.556000000000001</v>
      </c>
      <c r="AX16" s="45">
        <v>31.113</v>
      </c>
      <c r="AY16" s="45">
        <v>41.765999999999998</v>
      </c>
      <c r="AZ16" s="45">
        <v>43.645000000000003</v>
      </c>
      <c r="BA16" s="45">
        <v>45.414000000000001</v>
      </c>
      <c r="BB16" s="45">
        <v>48.319000000000003</v>
      </c>
      <c r="BC16" s="45">
        <v>50.898000000000003</v>
      </c>
      <c r="BD16" s="45">
        <v>53.667999999999999</v>
      </c>
      <c r="BE16" s="45">
        <v>55.831000000000003</v>
      </c>
      <c r="BF16" s="45">
        <v>58.496000000000002</v>
      </c>
      <c r="BG16" s="45">
        <v>61.058999999999997</v>
      </c>
      <c r="BH16" s="45">
        <v>63.398000000000003</v>
      </c>
      <c r="BI16" s="49">
        <v>66.753</v>
      </c>
      <c r="BJ16" s="45">
        <v>69.168999999999997</v>
      </c>
      <c r="BK16" s="45">
        <v>71.900999999999996</v>
      </c>
      <c r="BL16" s="45">
        <v>75.561999999999998</v>
      </c>
      <c r="BM16" s="45">
        <v>78.215999999999994</v>
      </c>
      <c r="BN16" s="45">
        <v>84.534999999999997</v>
      </c>
      <c r="BO16" s="45">
        <v>87.498999999999995</v>
      </c>
      <c r="BP16" s="45">
        <v>90.11</v>
      </c>
      <c r="BQ16" s="45">
        <v>95.194000000000003</v>
      </c>
      <c r="BR16" s="45">
        <v>106.988</v>
      </c>
      <c r="BS16" s="45">
        <v>108.589</v>
      </c>
      <c r="BT16" s="45">
        <v>110.104</v>
      </c>
      <c r="BU16" s="49">
        <v>111.648</v>
      </c>
      <c r="BV16" s="45">
        <v>113.247</v>
      </c>
      <c r="BW16" s="45">
        <v>114.84099999999999</v>
      </c>
      <c r="BX16" s="45">
        <v>116.634</v>
      </c>
      <c r="BY16" s="45">
        <v>118.235</v>
      </c>
      <c r="BZ16" s="45">
        <v>119.492</v>
      </c>
      <c r="CA16" s="45">
        <v>121.099</v>
      </c>
      <c r="CB16" s="45">
        <v>123.009</v>
      </c>
      <c r="CC16" s="45">
        <v>125.27</v>
      </c>
      <c r="CD16" s="45">
        <v>132.37799999999999</v>
      </c>
      <c r="CE16" s="45">
        <v>132.541</v>
      </c>
      <c r="CF16" s="45">
        <v>132.81</v>
      </c>
      <c r="CG16" s="124">
        <v>133.054</v>
      </c>
      <c r="CH16" s="69">
        <v>133.25399999999999</v>
      </c>
      <c r="CI16" s="45">
        <v>133.79900000000001</v>
      </c>
      <c r="CJ16" s="45">
        <v>136.066</v>
      </c>
      <c r="CK16" s="45">
        <v>136.066</v>
      </c>
      <c r="CL16" s="45">
        <v>136.066</v>
      </c>
      <c r="CM16" s="45">
        <v>136.066</v>
      </c>
      <c r="CN16" s="45">
        <v>136.066</v>
      </c>
      <c r="CO16" s="45">
        <v>136.066</v>
      </c>
      <c r="CP16" s="45">
        <v>136.066</v>
      </c>
      <c r="CQ16" s="45">
        <v>136.066</v>
      </c>
      <c r="CR16" s="45">
        <v>136.066</v>
      </c>
      <c r="CS16" s="124">
        <v>136.066</v>
      </c>
      <c r="CT16" s="69">
        <v>136.066</v>
      </c>
      <c r="CU16" s="45">
        <v>136.066</v>
      </c>
      <c r="CV16" s="45">
        <v>136.23500000000001</v>
      </c>
      <c r="CW16" s="45">
        <v>136.23500000000001</v>
      </c>
      <c r="CX16" s="45">
        <v>136.23500000000001</v>
      </c>
      <c r="CY16" s="45">
        <v>136.23500000000001</v>
      </c>
      <c r="CZ16" s="45">
        <v>136.23500000000001</v>
      </c>
      <c r="DA16" s="45">
        <v>136.23500000000001</v>
      </c>
      <c r="DB16" s="45">
        <v>136.23500000000001</v>
      </c>
      <c r="DC16" s="45">
        <v>136.23500000000001</v>
      </c>
      <c r="DD16" s="45">
        <v>136.23500000000001</v>
      </c>
      <c r="DE16" s="124">
        <v>136.23500000000001</v>
      </c>
      <c r="DF16" s="69">
        <v>136.23500000000001</v>
      </c>
      <c r="DG16" s="45">
        <v>136.23500000000001</v>
      </c>
      <c r="DH16" s="45">
        <v>136.23500000000001</v>
      </c>
      <c r="DI16" s="45">
        <v>136.23500000000001</v>
      </c>
      <c r="DJ16" s="45">
        <v>136.23500000000001</v>
      </c>
      <c r="DK16" s="45">
        <v>136.23500000000001</v>
      </c>
      <c r="DL16" s="45">
        <v>136.23500000000001</v>
      </c>
      <c r="DM16" s="45">
        <v>136.23500000000001</v>
      </c>
      <c r="DN16" s="45">
        <v>136.23500000000001</v>
      </c>
      <c r="DO16" s="45">
        <v>136.23500000000001</v>
      </c>
      <c r="DP16" s="45">
        <v>136.23500000000001</v>
      </c>
      <c r="DQ16" s="124">
        <v>136.23500000000001</v>
      </c>
      <c r="DR16" s="69">
        <v>136.23500000000001</v>
      </c>
      <c r="DS16" s="45">
        <v>136.23500000000001</v>
      </c>
      <c r="DT16" s="45">
        <v>136.23500000000001</v>
      </c>
      <c r="DU16" s="45">
        <v>136.23500000000001</v>
      </c>
      <c r="DV16" s="45">
        <v>136.23500000000001</v>
      </c>
      <c r="DW16" s="45">
        <v>136.23500000000001</v>
      </c>
      <c r="DX16" s="45">
        <v>136.23500000000001</v>
      </c>
      <c r="DY16" s="45">
        <v>136.23500000000001</v>
      </c>
      <c r="DZ16" s="45">
        <v>136.23500000000001</v>
      </c>
      <c r="EA16" s="45">
        <v>136.23500000000001</v>
      </c>
      <c r="EB16" s="45">
        <v>136.23500000000001</v>
      </c>
      <c r="EC16" s="45">
        <v>136.23500000000001</v>
      </c>
      <c r="ED16" s="69">
        <v>136.23500000000001</v>
      </c>
      <c r="EE16" s="45">
        <v>136.23500000000001</v>
      </c>
      <c r="EF16" s="45">
        <v>136.23500000000001</v>
      </c>
      <c r="EG16" s="45">
        <v>136.23500000000001</v>
      </c>
      <c r="EH16" s="45">
        <v>136.23500000000001</v>
      </c>
      <c r="EI16" s="45">
        <v>136.23500000000001</v>
      </c>
      <c r="EJ16" s="45">
        <v>136.23500000000001</v>
      </c>
      <c r="EK16" s="45">
        <v>136.23500000000001</v>
      </c>
      <c r="EL16" s="45">
        <v>136.23500000000001</v>
      </c>
      <c r="EM16" s="45">
        <v>136.23500000000001</v>
      </c>
      <c r="EN16" s="45">
        <v>136.23500000000001</v>
      </c>
      <c r="EO16" s="45">
        <v>136.23500000000001</v>
      </c>
      <c r="EP16" s="69">
        <v>136.23500000000001</v>
      </c>
      <c r="EQ16" s="45">
        <v>136.23500000000001</v>
      </c>
      <c r="ER16" s="45">
        <v>136.23500000000001</v>
      </c>
      <c r="ES16" s="45">
        <v>136.23500000000001</v>
      </c>
      <c r="ET16" s="45">
        <v>136.23500000000001</v>
      </c>
      <c r="EU16" s="45">
        <v>136.23500000000001</v>
      </c>
      <c r="EV16" s="45">
        <v>136.23500000000001</v>
      </c>
      <c r="EW16" s="45">
        <v>136.23500000000001</v>
      </c>
      <c r="EX16" s="45">
        <v>136.23500000000001</v>
      </c>
      <c r="EY16" s="45">
        <v>136.23500000000001</v>
      </c>
      <c r="EZ16" s="45">
        <v>136.23500000000001</v>
      </c>
      <c r="FA16" s="82">
        <v>136.23500000000001</v>
      </c>
      <c r="FB16" s="45">
        <v>136.23500000000001</v>
      </c>
      <c r="FC16" s="45">
        <v>136.23500000000001</v>
      </c>
      <c r="FD16" s="45">
        <v>136.23500000000001</v>
      </c>
      <c r="FE16" s="45">
        <v>136.23500000000001</v>
      </c>
      <c r="FF16" s="45">
        <v>136.23500000000001</v>
      </c>
      <c r="FG16" s="45">
        <v>136.23500000000001</v>
      </c>
      <c r="FH16" s="45">
        <v>136.23500000000001</v>
      </c>
      <c r="FI16" s="45">
        <v>136.23500000000001</v>
      </c>
      <c r="FJ16" s="45">
        <v>136.23500000000001</v>
      </c>
      <c r="FK16" s="45">
        <v>136.23500000000001</v>
      </c>
      <c r="FL16" s="45">
        <v>136.23500000000001</v>
      </c>
      <c r="FM16" s="45">
        <v>136.23500000000001</v>
      </c>
      <c r="FN16" s="69">
        <v>136.23500000000001</v>
      </c>
      <c r="FO16" s="45">
        <v>136.23500000000001</v>
      </c>
      <c r="FP16" s="45">
        <v>136.23500000000001</v>
      </c>
      <c r="FQ16" s="45">
        <v>136.23500000000001</v>
      </c>
      <c r="FR16" s="45">
        <v>136.23500000000001</v>
      </c>
      <c r="FS16" s="45">
        <v>136.23500000000001</v>
      </c>
      <c r="FT16" s="45">
        <v>136.23500000000001</v>
      </c>
      <c r="FU16" s="45">
        <v>136.23500000000001</v>
      </c>
      <c r="FV16" s="45">
        <v>136.23500000000001</v>
      </c>
      <c r="FW16" s="45">
        <v>136.23500000000001</v>
      </c>
      <c r="FX16" s="45">
        <v>136.23500000000001</v>
      </c>
      <c r="FY16" s="45">
        <v>136.23500000000001</v>
      </c>
      <c r="FZ16" s="69">
        <v>136.23500000000001</v>
      </c>
      <c r="GA16" s="45">
        <v>136.23500000000001</v>
      </c>
      <c r="GB16" s="45">
        <v>136.23500000000001</v>
      </c>
      <c r="GC16" s="45">
        <v>136.23500000000001</v>
      </c>
      <c r="GD16" s="45">
        <v>136.23500000000001</v>
      </c>
      <c r="GE16" s="45">
        <v>136.23500000000001</v>
      </c>
      <c r="GF16" s="45">
        <v>136.23500000000001</v>
      </c>
      <c r="GG16" s="45">
        <v>136.23500000000001</v>
      </c>
      <c r="GH16" s="45">
        <v>136.23500000000001</v>
      </c>
      <c r="GI16" s="45">
        <v>136.23500000000001</v>
      </c>
      <c r="GJ16" s="45">
        <v>136.23500000000001</v>
      </c>
      <c r="GK16" s="45">
        <v>136.23500000000001</v>
      </c>
      <c r="GL16" s="69">
        <v>136.23500000000001</v>
      </c>
      <c r="GM16" s="45">
        <v>136.23500000000001</v>
      </c>
      <c r="GN16" s="45">
        <v>136.23500000000001</v>
      </c>
      <c r="GO16" s="45">
        <v>136.23500000000001</v>
      </c>
      <c r="GP16" s="45">
        <v>136.23500000000001</v>
      </c>
      <c r="GQ16" s="45">
        <v>136.23500000000001</v>
      </c>
    </row>
    <row r="17" spans="1:201" s="1" customFormat="1" ht="20.149999999999999" customHeight="1" x14ac:dyDescent="0.35">
      <c r="A17" s="31" t="s">
        <v>283</v>
      </c>
      <c r="B17" s="46">
        <v>0</v>
      </c>
      <c r="C17" s="46">
        <v>0</v>
      </c>
      <c r="D17" s="46">
        <v>0</v>
      </c>
      <c r="E17" s="46">
        <v>0</v>
      </c>
      <c r="F17" s="46">
        <v>0</v>
      </c>
      <c r="G17" s="46">
        <v>0</v>
      </c>
      <c r="H17" s="46">
        <v>0</v>
      </c>
      <c r="I17" s="46">
        <v>0</v>
      </c>
      <c r="J17" s="46">
        <v>0</v>
      </c>
      <c r="K17" s="46">
        <v>0</v>
      </c>
      <c r="L17" s="46">
        <v>0</v>
      </c>
      <c r="M17" s="48">
        <v>0</v>
      </c>
      <c r="N17" s="47">
        <v>0</v>
      </c>
      <c r="O17" s="46">
        <v>0</v>
      </c>
      <c r="P17" s="46">
        <v>0</v>
      </c>
      <c r="Q17" s="46">
        <v>0</v>
      </c>
      <c r="R17" s="46">
        <v>0</v>
      </c>
      <c r="S17" s="46">
        <v>0</v>
      </c>
      <c r="T17" s="46">
        <v>0</v>
      </c>
      <c r="U17" s="46">
        <v>0</v>
      </c>
      <c r="V17" s="46">
        <v>0</v>
      </c>
      <c r="W17" s="46">
        <v>0</v>
      </c>
      <c r="X17" s="46">
        <v>0</v>
      </c>
      <c r="Y17" s="48">
        <v>0</v>
      </c>
      <c r="Z17" s="46">
        <v>0</v>
      </c>
      <c r="AA17" s="46">
        <v>0</v>
      </c>
      <c r="AB17" s="46">
        <v>0</v>
      </c>
      <c r="AC17" s="46">
        <v>0</v>
      </c>
      <c r="AD17" s="46">
        <v>0</v>
      </c>
      <c r="AE17" s="46">
        <v>0</v>
      </c>
      <c r="AF17" s="46">
        <v>0</v>
      </c>
      <c r="AG17" s="46">
        <v>0</v>
      </c>
      <c r="AH17" s="46">
        <v>0</v>
      </c>
      <c r="AI17" s="46">
        <v>0.05</v>
      </c>
      <c r="AJ17" s="46">
        <v>0.05</v>
      </c>
      <c r="AK17" s="48">
        <v>0.05</v>
      </c>
      <c r="AL17" s="46">
        <v>0.05</v>
      </c>
      <c r="AM17" s="46">
        <v>0.05</v>
      </c>
      <c r="AN17" s="46">
        <v>0.05</v>
      </c>
      <c r="AO17" s="46">
        <v>0.05</v>
      </c>
      <c r="AP17" s="46">
        <v>0.05</v>
      </c>
      <c r="AQ17" s="46">
        <v>0.05</v>
      </c>
      <c r="AR17" s="46">
        <v>0.05</v>
      </c>
      <c r="AS17" s="46">
        <v>0.05</v>
      </c>
      <c r="AT17" s="46">
        <v>0.05</v>
      </c>
      <c r="AU17" s="46">
        <v>0.05</v>
      </c>
      <c r="AV17" s="46">
        <v>0.05</v>
      </c>
      <c r="AW17" s="48">
        <v>0.05</v>
      </c>
      <c r="AX17" s="46">
        <v>0.05</v>
      </c>
      <c r="AY17" s="46">
        <v>0.05</v>
      </c>
      <c r="AZ17" s="46">
        <v>0.05</v>
      </c>
      <c r="BA17" s="46">
        <v>0.05</v>
      </c>
      <c r="BB17" s="46">
        <v>0.05</v>
      </c>
      <c r="BC17" s="46">
        <v>0.05</v>
      </c>
      <c r="BD17" s="46">
        <v>0.05</v>
      </c>
      <c r="BE17" s="46">
        <v>0.09</v>
      </c>
      <c r="BF17" s="46">
        <v>0.09</v>
      </c>
      <c r="BG17" s="46">
        <v>0.09</v>
      </c>
      <c r="BH17" s="46">
        <v>0.09</v>
      </c>
      <c r="BI17" s="48">
        <v>0.09</v>
      </c>
      <c r="BJ17" s="46">
        <v>0.09</v>
      </c>
      <c r="BK17" s="46">
        <v>0.09</v>
      </c>
      <c r="BL17" s="46">
        <v>0.09</v>
      </c>
      <c r="BM17" s="46">
        <v>0.09</v>
      </c>
      <c r="BN17" s="46">
        <v>0.09</v>
      </c>
      <c r="BO17" s="46">
        <v>0.09</v>
      </c>
      <c r="BP17" s="46">
        <v>0.09</v>
      </c>
      <c r="BQ17" s="46">
        <v>0.09</v>
      </c>
      <c r="BR17" s="46">
        <v>0.09</v>
      </c>
      <c r="BS17" s="46">
        <v>0.09</v>
      </c>
      <c r="BT17" s="46">
        <v>0.09</v>
      </c>
      <c r="BU17" s="48">
        <v>0.09</v>
      </c>
      <c r="BV17" s="46">
        <v>0.09</v>
      </c>
      <c r="BW17" s="46">
        <v>0.09</v>
      </c>
      <c r="BX17" s="46">
        <v>0.09</v>
      </c>
      <c r="BY17" s="46">
        <v>0.09</v>
      </c>
      <c r="BZ17" s="46">
        <v>0.09</v>
      </c>
      <c r="CA17" s="46">
        <v>0.09</v>
      </c>
      <c r="CB17" s="46">
        <v>0.09</v>
      </c>
      <c r="CC17" s="46">
        <v>0.09</v>
      </c>
      <c r="CD17" s="46">
        <v>0.09</v>
      </c>
      <c r="CE17" s="46">
        <v>0.09</v>
      </c>
      <c r="CF17" s="46">
        <v>0.09</v>
      </c>
      <c r="CG17" s="46">
        <v>0.09</v>
      </c>
      <c r="CH17" s="69">
        <v>0.72699999999999998</v>
      </c>
      <c r="CI17" s="45">
        <v>1.393</v>
      </c>
      <c r="CJ17" s="45">
        <v>3.2829999999999999</v>
      </c>
      <c r="CK17" s="45">
        <v>3.3570000000000002</v>
      </c>
      <c r="CL17" s="45">
        <v>3.4489999999999998</v>
      </c>
      <c r="CM17" s="45">
        <v>3.653</v>
      </c>
      <c r="CN17" s="45">
        <v>3.7029999999999998</v>
      </c>
      <c r="CO17" s="45">
        <v>3.8149999999999999</v>
      </c>
      <c r="CP17" s="45">
        <v>3.9049999999999998</v>
      </c>
      <c r="CQ17" s="45">
        <v>3.984</v>
      </c>
      <c r="CR17" s="45">
        <v>4.2080000000000002</v>
      </c>
      <c r="CS17" s="124">
        <v>10.323</v>
      </c>
      <c r="CT17" s="69">
        <v>10.366</v>
      </c>
      <c r="CU17" s="45">
        <v>10.451000000000001</v>
      </c>
      <c r="CV17" s="45">
        <v>10.632999999999999</v>
      </c>
      <c r="CW17" s="45">
        <v>10.771000000000001</v>
      </c>
      <c r="CX17" s="45">
        <v>17.343</v>
      </c>
      <c r="CY17" s="45">
        <v>17.411999999999999</v>
      </c>
      <c r="CZ17" s="45">
        <v>17.478000000000002</v>
      </c>
      <c r="DA17" s="45">
        <v>17.667999999999999</v>
      </c>
      <c r="DB17" s="45">
        <v>17.718</v>
      </c>
      <c r="DC17" s="45">
        <v>17.861000000000001</v>
      </c>
      <c r="DD17" s="46">
        <v>17.966000000000001</v>
      </c>
      <c r="DE17" s="46">
        <v>18.052</v>
      </c>
      <c r="DF17" s="69">
        <v>18.177</v>
      </c>
      <c r="DG17" s="45">
        <v>18.344999999999999</v>
      </c>
      <c r="DH17" s="46">
        <v>18.393999999999998</v>
      </c>
      <c r="DI17" s="45">
        <v>18.425000000000001</v>
      </c>
      <c r="DJ17" s="45">
        <v>18.478999999999999</v>
      </c>
      <c r="DK17" s="45">
        <v>18.585000000000001</v>
      </c>
      <c r="DL17" s="45">
        <v>18.657</v>
      </c>
      <c r="DM17" s="45">
        <v>18.734999999999999</v>
      </c>
      <c r="DN17" s="45">
        <v>18.905999999999999</v>
      </c>
      <c r="DO17" s="45">
        <v>19.001000000000001</v>
      </c>
      <c r="DP17" s="45">
        <v>19.058</v>
      </c>
      <c r="DQ17" s="46">
        <v>19.093</v>
      </c>
      <c r="DR17" s="69">
        <v>19.164000000000001</v>
      </c>
      <c r="DS17" s="45">
        <v>19.238</v>
      </c>
      <c r="DT17" s="45">
        <v>19.295999999999999</v>
      </c>
      <c r="DU17" s="45">
        <v>19.312000000000001</v>
      </c>
      <c r="DV17" s="45">
        <v>19.315000000000001</v>
      </c>
      <c r="DW17" s="45">
        <v>19.420000000000002</v>
      </c>
      <c r="DX17" s="45">
        <v>19.527000000000001</v>
      </c>
      <c r="DY17" s="45">
        <v>19.712</v>
      </c>
      <c r="DZ17" s="45">
        <v>19.838999999999999</v>
      </c>
      <c r="EA17" s="45">
        <v>19.888000000000002</v>
      </c>
      <c r="EB17" s="45">
        <v>19.957000000000001</v>
      </c>
      <c r="EC17" s="45">
        <v>19.981000000000002</v>
      </c>
      <c r="ED17" s="69">
        <v>20.088999999999999</v>
      </c>
      <c r="EE17" s="45">
        <v>20.149999999999999</v>
      </c>
      <c r="EF17" s="45">
        <v>20.268999999999998</v>
      </c>
      <c r="EG17" s="45">
        <v>20.449000000000002</v>
      </c>
      <c r="EH17" s="45">
        <v>20.696999999999999</v>
      </c>
      <c r="EI17" s="45">
        <v>20.995999999999999</v>
      </c>
      <c r="EJ17" s="45">
        <v>21.14</v>
      </c>
      <c r="EK17" s="45">
        <v>21.385999999999999</v>
      </c>
      <c r="EL17" s="45">
        <v>21.791</v>
      </c>
      <c r="EM17" s="45">
        <v>22.056999999999999</v>
      </c>
      <c r="EN17" s="45">
        <v>22.568999999999999</v>
      </c>
      <c r="EO17" s="45">
        <v>22.803000000000001</v>
      </c>
      <c r="EP17" s="69">
        <v>23.364999999999998</v>
      </c>
      <c r="EQ17" s="45">
        <v>23.783999999999999</v>
      </c>
      <c r="ER17" s="45">
        <v>24.382999999999999</v>
      </c>
      <c r="ES17" s="45">
        <v>24.896000000000001</v>
      </c>
      <c r="ET17" s="45">
        <v>25.873000000000001</v>
      </c>
      <c r="EU17" s="45">
        <v>26.733000000000001</v>
      </c>
      <c r="EV17" s="45">
        <v>27.509</v>
      </c>
      <c r="EW17" s="45">
        <v>28.402999999999999</v>
      </c>
      <c r="EX17" s="45">
        <v>29.513000000000002</v>
      </c>
      <c r="EY17" s="45">
        <v>30.773</v>
      </c>
      <c r="EZ17" s="45">
        <v>32.232999999999997</v>
      </c>
      <c r="FA17" s="82">
        <v>33.167000000000002</v>
      </c>
      <c r="FB17" s="45">
        <v>34.423000000000002</v>
      </c>
      <c r="FC17" s="45">
        <v>35.604999999999997</v>
      </c>
      <c r="FD17" s="45">
        <v>36.68</v>
      </c>
      <c r="FE17" s="45">
        <v>37.570999999999998</v>
      </c>
      <c r="FF17" s="45">
        <v>38.661000000000001</v>
      </c>
      <c r="FG17" s="45">
        <v>39.722999999999999</v>
      </c>
      <c r="FH17" s="45">
        <v>40.633000000000003</v>
      </c>
      <c r="FI17" s="45">
        <v>41.674999999999997</v>
      </c>
      <c r="FJ17" s="45">
        <v>42.768000000000001</v>
      </c>
      <c r="FK17" s="45">
        <v>44.423999999999999</v>
      </c>
      <c r="FL17" s="45">
        <v>45.381</v>
      </c>
      <c r="FM17" s="45">
        <v>46.081000000000003</v>
      </c>
      <c r="FN17" s="69">
        <v>46.713999999999999</v>
      </c>
      <c r="FO17" s="45">
        <v>47.654000000000003</v>
      </c>
      <c r="FP17" s="45">
        <v>48.207999999999998</v>
      </c>
      <c r="FQ17" s="45">
        <v>49.381999999999998</v>
      </c>
      <c r="FR17" s="45">
        <v>50.253999999999998</v>
      </c>
      <c r="FS17" s="45">
        <v>51.383000000000003</v>
      </c>
      <c r="FT17" s="45">
        <v>52.462000000000003</v>
      </c>
      <c r="FU17" s="45">
        <v>53.521999999999998</v>
      </c>
      <c r="FV17" s="45">
        <v>54.389000000000003</v>
      </c>
      <c r="FW17" s="45">
        <v>55.35</v>
      </c>
      <c r="FX17" s="45">
        <v>56.521000000000001</v>
      </c>
      <c r="FY17" s="45">
        <v>57.212000000000003</v>
      </c>
      <c r="FZ17" s="69">
        <v>57.975999999999999</v>
      </c>
      <c r="GA17" s="45">
        <v>58.932000000000002</v>
      </c>
      <c r="GB17" s="45">
        <v>60.116999999999997</v>
      </c>
      <c r="GC17" s="45">
        <v>61.225000000000001</v>
      </c>
      <c r="GD17" s="45">
        <v>63.113</v>
      </c>
      <c r="GE17" s="45">
        <v>64.897000000000006</v>
      </c>
      <c r="GF17" s="45">
        <v>66.207999999999998</v>
      </c>
      <c r="GG17" s="45">
        <v>67.72</v>
      </c>
      <c r="GH17" s="45">
        <v>69.097999999999999</v>
      </c>
      <c r="GI17" s="45">
        <v>70.903000000000006</v>
      </c>
      <c r="GJ17" s="45">
        <v>72.620999999999995</v>
      </c>
      <c r="GK17" s="45">
        <v>73.605999999999995</v>
      </c>
      <c r="GL17" s="69">
        <v>75.058000000000007</v>
      </c>
      <c r="GM17" s="45">
        <v>76.581999999999994</v>
      </c>
      <c r="GN17" s="45">
        <v>78.519000000000005</v>
      </c>
      <c r="GO17" s="45">
        <v>80.659000000000006</v>
      </c>
      <c r="GP17" s="45">
        <v>82.361999999999995</v>
      </c>
      <c r="GQ17" s="45">
        <v>85.287000000000006</v>
      </c>
    </row>
    <row r="18" spans="1:201" s="25" customFormat="1" ht="20.149999999999999" customHeight="1" thickBot="1" x14ac:dyDescent="0.4">
      <c r="A18" s="32" t="s">
        <v>267</v>
      </c>
      <c r="B18" s="52">
        <f>SUM(B15:B17)</f>
        <v>1.046</v>
      </c>
      <c r="C18" s="52">
        <f t="shared" ref="C18:BN18" si="16">SUM(C15:C17)</f>
        <v>1.046</v>
      </c>
      <c r="D18" s="52">
        <f t="shared" si="16"/>
        <v>1.0860000000000001</v>
      </c>
      <c r="E18" s="52">
        <f t="shared" si="16"/>
        <v>1.099</v>
      </c>
      <c r="F18" s="52">
        <f t="shared" si="16"/>
        <v>1.105</v>
      </c>
      <c r="G18" s="52">
        <f t="shared" si="16"/>
        <v>1.133</v>
      </c>
      <c r="H18" s="52">
        <f t="shared" si="16"/>
        <v>1.1519999999999999</v>
      </c>
      <c r="I18" s="52">
        <f t="shared" si="16"/>
        <v>1.1559999999999999</v>
      </c>
      <c r="J18" s="52">
        <f t="shared" si="16"/>
        <v>1.157</v>
      </c>
      <c r="K18" s="52">
        <f t="shared" si="16"/>
        <v>1.1679999999999999</v>
      </c>
      <c r="L18" s="52">
        <f t="shared" si="16"/>
        <v>1.1870000000000001</v>
      </c>
      <c r="M18" s="52">
        <f t="shared" si="16"/>
        <v>1.198</v>
      </c>
      <c r="N18" s="52">
        <f t="shared" si="16"/>
        <v>1.198</v>
      </c>
      <c r="O18" s="52">
        <f t="shared" si="16"/>
        <v>1.2070000000000001</v>
      </c>
      <c r="P18" s="52">
        <f t="shared" si="16"/>
        <v>1.222</v>
      </c>
      <c r="Q18" s="52">
        <f t="shared" si="16"/>
        <v>1.23</v>
      </c>
      <c r="R18" s="52">
        <f t="shared" si="16"/>
        <v>1.282</v>
      </c>
      <c r="S18" s="52">
        <f t="shared" si="16"/>
        <v>1.3260000000000001</v>
      </c>
      <c r="T18" s="52">
        <f t="shared" si="16"/>
        <v>1.3440000000000001</v>
      </c>
      <c r="U18" s="52">
        <f t="shared" si="16"/>
        <v>1.3759999999999999</v>
      </c>
      <c r="V18" s="52">
        <f t="shared" si="16"/>
        <v>1.4259999999999999</v>
      </c>
      <c r="W18" s="52">
        <f t="shared" si="16"/>
        <v>1.536</v>
      </c>
      <c r="X18" s="52">
        <f t="shared" si="16"/>
        <v>1.6539999999999999</v>
      </c>
      <c r="Y18" s="54">
        <f t="shared" si="16"/>
        <v>1.823</v>
      </c>
      <c r="Z18" s="52">
        <f t="shared" si="16"/>
        <v>2.0070000000000001</v>
      </c>
      <c r="AA18" s="52">
        <f t="shared" si="16"/>
        <v>2.0910000000000002</v>
      </c>
      <c r="AB18" s="52">
        <f t="shared" si="16"/>
        <v>2.2250000000000001</v>
      </c>
      <c r="AC18" s="52">
        <f t="shared" si="16"/>
        <v>2.3180000000000001</v>
      </c>
      <c r="AD18" s="52">
        <f t="shared" si="16"/>
        <v>2.3980000000000001</v>
      </c>
      <c r="AE18" s="52">
        <f t="shared" si="16"/>
        <v>2.444</v>
      </c>
      <c r="AF18" s="52">
        <f t="shared" si="16"/>
        <v>2.5449999999999999</v>
      </c>
      <c r="AG18" s="52">
        <f t="shared" si="16"/>
        <v>2.992</v>
      </c>
      <c r="AH18" s="52">
        <f t="shared" si="16"/>
        <v>3.4409999999999998</v>
      </c>
      <c r="AI18" s="52">
        <f t="shared" si="16"/>
        <v>4.2469999999999999</v>
      </c>
      <c r="AJ18" s="52">
        <f t="shared" si="16"/>
        <v>5.3029999999999999</v>
      </c>
      <c r="AK18" s="54">
        <f t="shared" si="16"/>
        <v>5.93</v>
      </c>
      <c r="AL18" s="52">
        <f t="shared" si="16"/>
        <v>6.8069999999999995</v>
      </c>
      <c r="AM18" s="52">
        <f t="shared" si="16"/>
        <v>7.5140000000000002</v>
      </c>
      <c r="AN18" s="52">
        <f t="shared" si="16"/>
        <v>8.4510000000000005</v>
      </c>
      <c r="AO18" s="52">
        <f t="shared" si="16"/>
        <v>9.2690000000000001</v>
      </c>
      <c r="AP18" s="52">
        <f t="shared" si="16"/>
        <v>10.536000000000001</v>
      </c>
      <c r="AQ18" s="52">
        <f t="shared" si="16"/>
        <v>11.774000000000001</v>
      </c>
      <c r="AR18" s="52">
        <f t="shared" si="16"/>
        <v>13.546000000000001</v>
      </c>
      <c r="AS18" s="52">
        <f t="shared" si="16"/>
        <v>16.279</v>
      </c>
      <c r="AT18" s="52">
        <f t="shared" si="16"/>
        <v>19.077999999999999</v>
      </c>
      <c r="AU18" s="52">
        <f t="shared" si="16"/>
        <v>21.702000000000002</v>
      </c>
      <c r="AV18" s="52">
        <f t="shared" si="16"/>
        <v>25.132999999999999</v>
      </c>
      <c r="AW18" s="54">
        <f t="shared" si="16"/>
        <v>27.606000000000002</v>
      </c>
      <c r="AX18" s="52">
        <f t="shared" si="16"/>
        <v>31.163</v>
      </c>
      <c r="AY18" s="52">
        <f t="shared" si="16"/>
        <v>41.815999999999995</v>
      </c>
      <c r="AZ18" s="52">
        <f t="shared" si="16"/>
        <v>43.695</v>
      </c>
      <c r="BA18" s="52">
        <f t="shared" si="16"/>
        <v>45.463999999999999</v>
      </c>
      <c r="BB18" s="52">
        <f t="shared" si="16"/>
        <v>48.369</v>
      </c>
      <c r="BC18" s="52">
        <f t="shared" si="16"/>
        <v>50.948</v>
      </c>
      <c r="BD18" s="52">
        <f t="shared" si="16"/>
        <v>53.717999999999996</v>
      </c>
      <c r="BE18" s="52">
        <f t="shared" si="16"/>
        <v>55.921000000000006</v>
      </c>
      <c r="BF18" s="52">
        <f t="shared" si="16"/>
        <v>58.586000000000006</v>
      </c>
      <c r="BG18" s="52">
        <f t="shared" si="16"/>
        <v>61.149000000000001</v>
      </c>
      <c r="BH18" s="52">
        <f t="shared" si="16"/>
        <v>63.488000000000007</v>
      </c>
      <c r="BI18" s="54">
        <f t="shared" si="16"/>
        <v>66.843000000000004</v>
      </c>
      <c r="BJ18" s="52">
        <f t="shared" si="16"/>
        <v>69.259</v>
      </c>
      <c r="BK18" s="52">
        <f t="shared" si="16"/>
        <v>71.991</v>
      </c>
      <c r="BL18" s="52">
        <f t="shared" si="16"/>
        <v>75.652000000000001</v>
      </c>
      <c r="BM18" s="52">
        <f t="shared" si="16"/>
        <v>78.305999999999997</v>
      </c>
      <c r="BN18" s="52">
        <f t="shared" si="16"/>
        <v>84.625</v>
      </c>
      <c r="BO18" s="52">
        <f t="shared" ref="BO18:DZ18" si="17">SUM(BO15:BO17)</f>
        <v>87.588999999999999</v>
      </c>
      <c r="BP18" s="52">
        <f t="shared" si="17"/>
        <v>90.2</v>
      </c>
      <c r="BQ18" s="52">
        <f t="shared" si="17"/>
        <v>95.284000000000006</v>
      </c>
      <c r="BR18" s="52">
        <f t="shared" si="17"/>
        <v>107.078</v>
      </c>
      <c r="BS18" s="52">
        <f t="shared" si="17"/>
        <v>108.679</v>
      </c>
      <c r="BT18" s="52">
        <f t="shared" si="17"/>
        <v>110.194</v>
      </c>
      <c r="BU18" s="54">
        <f t="shared" si="17"/>
        <v>111.738</v>
      </c>
      <c r="BV18" s="52">
        <f t="shared" si="17"/>
        <v>113.337</v>
      </c>
      <c r="BW18" s="52">
        <f t="shared" si="17"/>
        <v>114.931</v>
      </c>
      <c r="BX18" s="52">
        <f t="shared" si="17"/>
        <v>116.724</v>
      </c>
      <c r="BY18" s="52">
        <f t="shared" si="17"/>
        <v>123.45100000000001</v>
      </c>
      <c r="BZ18" s="52">
        <f t="shared" si="17"/>
        <v>129.50800000000001</v>
      </c>
      <c r="CA18" s="52">
        <f t="shared" si="17"/>
        <v>131.11500000000001</v>
      </c>
      <c r="CB18" s="52">
        <f t="shared" si="17"/>
        <v>133.02500000000001</v>
      </c>
      <c r="CC18" s="52">
        <f t="shared" si="17"/>
        <v>135.286</v>
      </c>
      <c r="CD18" s="52">
        <f t="shared" si="17"/>
        <v>142.39399999999998</v>
      </c>
      <c r="CE18" s="52">
        <f t="shared" si="17"/>
        <v>142.55699999999999</v>
      </c>
      <c r="CF18" s="52">
        <f t="shared" si="17"/>
        <v>142.82599999999999</v>
      </c>
      <c r="CG18" s="52">
        <f t="shared" si="17"/>
        <v>143.07</v>
      </c>
      <c r="CH18" s="125">
        <f t="shared" si="17"/>
        <v>143.90699999999998</v>
      </c>
      <c r="CI18" s="52">
        <f t="shared" si="17"/>
        <v>171.59900000000002</v>
      </c>
      <c r="CJ18" s="52">
        <f t="shared" si="17"/>
        <v>255.70899999999997</v>
      </c>
      <c r="CK18" s="52">
        <f t="shared" si="17"/>
        <v>255.78299999999999</v>
      </c>
      <c r="CL18" s="52">
        <f t="shared" si="17"/>
        <v>255.875</v>
      </c>
      <c r="CM18" s="52">
        <f t="shared" si="17"/>
        <v>256.07900000000001</v>
      </c>
      <c r="CN18" s="52">
        <f t="shared" si="17"/>
        <v>256.12899999999996</v>
      </c>
      <c r="CO18" s="52">
        <f t="shared" si="17"/>
        <v>256.24099999999999</v>
      </c>
      <c r="CP18" s="52">
        <f t="shared" si="17"/>
        <v>256.33099999999996</v>
      </c>
      <c r="CQ18" s="52">
        <f t="shared" si="17"/>
        <v>256.40999999999997</v>
      </c>
      <c r="CR18" s="52">
        <f t="shared" si="17"/>
        <v>256.63400000000001</v>
      </c>
      <c r="CS18" s="52">
        <f t="shared" si="17"/>
        <v>268.70899999999995</v>
      </c>
      <c r="CT18" s="125">
        <f t="shared" si="17"/>
        <v>295.85199999999998</v>
      </c>
      <c r="CU18" s="52">
        <f t="shared" si="17"/>
        <v>302.43700000000001</v>
      </c>
      <c r="CV18" s="52">
        <f t="shared" si="17"/>
        <v>326.88200000000001</v>
      </c>
      <c r="CW18" s="52">
        <f t="shared" si="17"/>
        <v>340.02000000000004</v>
      </c>
      <c r="CX18" s="52">
        <f t="shared" si="17"/>
        <v>346.59200000000004</v>
      </c>
      <c r="CY18" s="52">
        <f t="shared" si="17"/>
        <v>346.661</v>
      </c>
      <c r="CZ18" s="52">
        <f t="shared" si="17"/>
        <v>346.72700000000003</v>
      </c>
      <c r="DA18" s="52">
        <f t="shared" si="17"/>
        <v>346.91700000000003</v>
      </c>
      <c r="DB18" s="52">
        <f t="shared" si="17"/>
        <v>346.96700000000004</v>
      </c>
      <c r="DC18" s="52">
        <f t="shared" si="17"/>
        <v>347.11</v>
      </c>
      <c r="DD18" s="52">
        <f t="shared" si="17"/>
        <v>347.21500000000003</v>
      </c>
      <c r="DE18" s="52">
        <f t="shared" si="17"/>
        <v>347.30100000000004</v>
      </c>
      <c r="DF18" s="125">
        <f t="shared" si="17"/>
        <v>347.42600000000004</v>
      </c>
      <c r="DG18" s="52">
        <f t="shared" si="17"/>
        <v>347.59400000000005</v>
      </c>
      <c r="DH18" s="52">
        <f t="shared" si="17"/>
        <v>347.64300000000003</v>
      </c>
      <c r="DI18" s="52">
        <f t="shared" si="17"/>
        <v>347.67400000000004</v>
      </c>
      <c r="DJ18" s="52">
        <f t="shared" si="17"/>
        <v>347.72800000000001</v>
      </c>
      <c r="DK18" s="52">
        <f t="shared" si="17"/>
        <v>347.834</v>
      </c>
      <c r="DL18" s="52">
        <f t="shared" si="17"/>
        <v>347.90600000000001</v>
      </c>
      <c r="DM18" s="52">
        <f t="shared" si="17"/>
        <v>347.98400000000004</v>
      </c>
      <c r="DN18" s="52">
        <f t="shared" si="17"/>
        <v>348.15500000000003</v>
      </c>
      <c r="DO18" s="52">
        <f t="shared" si="17"/>
        <v>348.25</v>
      </c>
      <c r="DP18" s="52">
        <f t="shared" si="17"/>
        <v>348.30700000000002</v>
      </c>
      <c r="DQ18" s="52">
        <f t="shared" si="17"/>
        <v>348.34200000000004</v>
      </c>
      <c r="DR18" s="125">
        <f t="shared" si="17"/>
        <v>348.41300000000001</v>
      </c>
      <c r="DS18" s="52">
        <f t="shared" si="17"/>
        <v>348.48700000000002</v>
      </c>
      <c r="DT18" s="52">
        <f t="shared" si="17"/>
        <v>348.54500000000002</v>
      </c>
      <c r="DU18" s="52">
        <f t="shared" si="17"/>
        <v>348.56100000000004</v>
      </c>
      <c r="DV18" s="52">
        <f t="shared" si="17"/>
        <v>348.56400000000002</v>
      </c>
      <c r="DW18" s="52">
        <f t="shared" si="17"/>
        <v>348.66900000000004</v>
      </c>
      <c r="DX18" s="52">
        <f t="shared" si="17"/>
        <v>348.77600000000001</v>
      </c>
      <c r="DY18" s="52">
        <f t="shared" si="17"/>
        <v>348.96100000000001</v>
      </c>
      <c r="DZ18" s="52">
        <f t="shared" si="17"/>
        <v>349.08800000000002</v>
      </c>
      <c r="EA18" s="52">
        <f t="shared" ref="EA18:FA18" si="18">SUM(EA15:EA17)</f>
        <v>349.137</v>
      </c>
      <c r="EB18" s="52">
        <f t="shared" si="18"/>
        <v>349.20600000000002</v>
      </c>
      <c r="EC18" s="52">
        <f t="shared" si="18"/>
        <v>349.23</v>
      </c>
      <c r="ED18" s="125">
        <f t="shared" si="18"/>
        <v>349.33800000000002</v>
      </c>
      <c r="EE18" s="52">
        <f t="shared" si="18"/>
        <v>349.399</v>
      </c>
      <c r="EF18" s="52">
        <f t="shared" si="18"/>
        <v>349.51800000000003</v>
      </c>
      <c r="EG18" s="52">
        <f t="shared" si="18"/>
        <v>349.69800000000004</v>
      </c>
      <c r="EH18" s="52">
        <f t="shared" si="18"/>
        <v>349.94600000000003</v>
      </c>
      <c r="EI18" s="52">
        <f t="shared" si="18"/>
        <v>350.245</v>
      </c>
      <c r="EJ18" s="52">
        <f t="shared" si="18"/>
        <v>350.38900000000001</v>
      </c>
      <c r="EK18" s="52">
        <f t="shared" si="18"/>
        <v>350.63500000000005</v>
      </c>
      <c r="EL18" s="52">
        <f t="shared" si="18"/>
        <v>351.04</v>
      </c>
      <c r="EM18" s="52">
        <f t="shared" si="18"/>
        <v>351.30600000000004</v>
      </c>
      <c r="EN18" s="52">
        <f t="shared" si="18"/>
        <v>351.81800000000004</v>
      </c>
      <c r="EO18" s="52">
        <f t="shared" si="18"/>
        <v>352.05200000000002</v>
      </c>
      <c r="EP18" s="125">
        <f t="shared" si="18"/>
        <v>352.61400000000003</v>
      </c>
      <c r="EQ18" s="52">
        <f t="shared" si="18"/>
        <v>353.03300000000002</v>
      </c>
      <c r="ER18" s="52">
        <f t="shared" si="18"/>
        <v>353.63200000000001</v>
      </c>
      <c r="ES18" s="52">
        <f t="shared" si="18"/>
        <v>354.14500000000004</v>
      </c>
      <c r="ET18" s="52">
        <f t="shared" si="18"/>
        <v>355.12200000000001</v>
      </c>
      <c r="EU18" s="52">
        <f t="shared" si="18"/>
        <v>355.98200000000003</v>
      </c>
      <c r="EV18" s="52">
        <f t="shared" si="18"/>
        <v>356.75800000000004</v>
      </c>
      <c r="EW18" s="52">
        <f t="shared" si="18"/>
        <v>357.65200000000004</v>
      </c>
      <c r="EX18" s="52">
        <f t="shared" si="18"/>
        <v>358.762</v>
      </c>
      <c r="EY18" s="52">
        <f t="shared" si="18"/>
        <v>360.02200000000005</v>
      </c>
      <c r="EZ18" s="52">
        <f t="shared" si="18"/>
        <v>361.48200000000003</v>
      </c>
      <c r="FA18" s="53">
        <f t="shared" si="18"/>
        <v>362.41600000000005</v>
      </c>
      <c r="FB18" s="52">
        <f t="shared" ref="FB18" si="19">SUM(FB15:FB17)</f>
        <v>363.67200000000003</v>
      </c>
      <c r="FC18" s="52">
        <f t="shared" ref="FC18" si="20">SUM(FC15:FC17)</f>
        <v>364.85400000000004</v>
      </c>
      <c r="FD18" s="52">
        <f t="shared" ref="FD18:FG18" si="21">SUM(FD15:FD17)</f>
        <v>365.92900000000003</v>
      </c>
      <c r="FE18" s="52">
        <f t="shared" si="21"/>
        <v>366.82000000000005</v>
      </c>
      <c r="FF18" s="52">
        <f t="shared" si="21"/>
        <v>367.91</v>
      </c>
      <c r="FG18" s="52">
        <f t="shared" si="21"/>
        <v>368.97200000000004</v>
      </c>
      <c r="FH18" s="52">
        <f t="shared" ref="FH18:FJ18" si="22">SUM(FH15:FH17)</f>
        <v>369.88200000000001</v>
      </c>
      <c r="FI18" s="52">
        <f t="shared" si="22"/>
        <v>370.92400000000004</v>
      </c>
      <c r="FJ18" s="52">
        <f t="shared" si="22"/>
        <v>372.01700000000005</v>
      </c>
      <c r="FK18" s="52">
        <f t="shared" ref="FK18:FV18" si="23">SUM(FK15:FK17)</f>
        <v>373.673</v>
      </c>
      <c r="FL18" s="52">
        <f t="shared" si="23"/>
        <v>374.63</v>
      </c>
      <c r="FM18" s="52">
        <f t="shared" si="23"/>
        <v>375.33000000000004</v>
      </c>
      <c r="FN18" s="125">
        <f t="shared" si="23"/>
        <v>375.96300000000002</v>
      </c>
      <c r="FO18" s="52">
        <f t="shared" si="23"/>
        <v>376.90300000000002</v>
      </c>
      <c r="FP18" s="52">
        <f t="shared" si="23"/>
        <v>377.45699999999999</v>
      </c>
      <c r="FQ18" s="52">
        <f t="shared" si="23"/>
        <v>378.63100000000003</v>
      </c>
      <c r="FR18" s="52">
        <f t="shared" si="23"/>
        <v>379.50300000000004</v>
      </c>
      <c r="FS18" s="52">
        <f t="shared" si="23"/>
        <v>380.63200000000001</v>
      </c>
      <c r="FT18" s="52">
        <f t="shared" si="23"/>
        <v>381.71100000000001</v>
      </c>
      <c r="FU18" s="52">
        <f t="shared" si="23"/>
        <v>382.77100000000002</v>
      </c>
      <c r="FV18" s="52">
        <f t="shared" si="23"/>
        <v>383.63800000000003</v>
      </c>
      <c r="FW18" s="52">
        <f t="shared" ref="FW18:FY18" si="24">SUM(FW15:FW17)</f>
        <v>384.59900000000005</v>
      </c>
      <c r="FX18" s="52">
        <f t="shared" si="24"/>
        <v>385.77000000000004</v>
      </c>
      <c r="FY18" s="52">
        <f t="shared" si="24"/>
        <v>386.46100000000001</v>
      </c>
      <c r="FZ18" s="125">
        <f t="shared" ref="FZ18:GB18" si="25">SUM(FZ15:FZ17)</f>
        <v>387.22500000000002</v>
      </c>
      <c r="GA18" s="52">
        <f t="shared" si="25"/>
        <v>388.18100000000004</v>
      </c>
      <c r="GB18" s="52">
        <f t="shared" si="25"/>
        <v>389.36600000000004</v>
      </c>
      <c r="GC18" s="52">
        <f t="shared" ref="GC18:GG18" si="26">SUM(GC15:GC17)</f>
        <v>390.47400000000005</v>
      </c>
      <c r="GD18" s="52">
        <f t="shared" si="26"/>
        <v>392.36200000000002</v>
      </c>
      <c r="GE18" s="52">
        <f t="shared" si="26"/>
        <v>394.14600000000002</v>
      </c>
      <c r="GF18" s="52">
        <f t="shared" si="26"/>
        <v>395.45699999999999</v>
      </c>
      <c r="GG18" s="52">
        <f t="shared" si="26"/>
        <v>396.96900000000005</v>
      </c>
      <c r="GH18" s="52">
        <f t="shared" ref="GH18:GI18" si="27">SUM(GH15:GH17)</f>
        <v>398.34700000000004</v>
      </c>
      <c r="GI18" s="52">
        <f t="shared" si="27"/>
        <v>400.15200000000004</v>
      </c>
      <c r="GJ18" s="52">
        <f t="shared" ref="GJ18:GK18" si="28">SUM(GJ15:GJ17)</f>
        <v>401.87</v>
      </c>
      <c r="GK18" s="52">
        <f t="shared" si="28"/>
        <v>402.85500000000002</v>
      </c>
      <c r="GL18" s="125">
        <f t="shared" ref="GL18:GM18" si="29">SUM(GL15:GL17)</f>
        <v>404.30700000000002</v>
      </c>
      <c r="GM18" s="52">
        <f t="shared" si="29"/>
        <v>405.83100000000002</v>
      </c>
      <c r="GN18" s="52">
        <f t="shared" ref="GN18:GO18" si="30">SUM(GN15:GN17)</f>
        <v>407.76800000000003</v>
      </c>
      <c r="GO18" s="52">
        <f t="shared" si="30"/>
        <v>409.90800000000002</v>
      </c>
      <c r="GP18" s="52">
        <f t="shared" ref="GP18:GQ18" si="31">SUM(GP15:GP17)</f>
        <v>411.61099999999999</v>
      </c>
      <c r="GQ18" s="52">
        <f t="shared" si="31"/>
        <v>414.53600000000006</v>
      </c>
    </row>
    <row r="19" spans="1:201" s="30" customFormat="1" ht="20.149999999999999" customHeight="1" thickTop="1" x14ac:dyDescent="0.35">
      <c r="A19" s="26" t="s">
        <v>269</v>
      </c>
      <c r="B19" s="45"/>
      <c r="C19" s="45"/>
      <c r="D19" s="45"/>
      <c r="E19" s="45"/>
      <c r="F19" s="45"/>
      <c r="G19" s="45"/>
      <c r="H19" s="45"/>
      <c r="I19" s="45"/>
      <c r="J19" s="45"/>
      <c r="K19" s="45"/>
      <c r="L19" s="45"/>
      <c r="M19" s="49"/>
      <c r="N19" s="50"/>
      <c r="O19" s="45"/>
      <c r="P19" s="45"/>
      <c r="Q19" s="45"/>
      <c r="R19" s="45"/>
      <c r="S19" s="45"/>
      <c r="T19" s="45"/>
      <c r="U19" s="45"/>
      <c r="V19" s="45"/>
      <c r="W19" s="45"/>
      <c r="X19" s="45"/>
      <c r="Y19" s="49"/>
      <c r="Z19" s="45"/>
      <c r="AA19" s="45"/>
      <c r="AB19" s="45"/>
      <c r="AC19" s="45"/>
      <c r="AD19" s="45"/>
      <c r="AE19" s="45"/>
      <c r="AF19" s="45"/>
      <c r="AG19" s="45"/>
      <c r="AH19" s="45"/>
      <c r="AI19" s="45"/>
      <c r="AJ19" s="45"/>
      <c r="AK19" s="49"/>
      <c r="AL19" s="45"/>
      <c r="AM19" s="45"/>
      <c r="AN19" s="45"/>
      <c r="AO19" s="45"/>
      <c r="AP19" s="45"/>
      <c r="AQ19" s="45"/>
      <c r="AR19" s="45"/>
      <c r="AS19" s="45"/>
      <c r="AT19" s="45"/>
      <c r="AU19" s="45"/>
      <c r="AV19" s="45"/>
      <c r="AW19" s="49"/>
      <c r="AX19" s="45"/>
      <c r="AY19" s="45"/>
      <c r="AZ19" s="45"/>
      <c r="BA19" s="45"/>
      <c r="BB19" s="45"/>
      <c r="BC19" s="45"/>
      <c r="BD19" s="45"/>
      <c r="BE19" s="45"/>
      <c r="BF19" s="45"/>
      <c r="BG19" s="45"/>
      <c r="BH19" s="45"/>
      <c r="BI19" s="49"/>
      <c r="BJ19" s="45"/>
      <c r="BK19" s="45"/>
      <c r="BL19" s="45"/>
      <c r="BM19" s="45"/>
      <c r="BN19" s="45"/>
      <c r="BO19" s="45"/>
      <c r="BP19" s="45"/>
      <c r="BQ19" s="45"/>
      <c r="BR19" s="45"/>
      <c r="BS19" s="45"/>
      <c r="BT19" s="45"/>
      <c r="BU19" s="49"/>
      <c r="BV19" s="45"/>
      <c r="BW19" s="45"/>
      <c r="BX19" s="45"/>
      <c r="BY19" s="45"/>
      <c r="BZ19" s="45"/>
      <c r="CA19" s="45"/>
      <c r="CB19" s="45"/>
      <c r="CC19" s="45"/>
      <c r="CD19" s="45"/>
      <c r="CE19" s="45"/>
      <c r="CF19" s="45"/>
      <c r="CG19" s="124"/>
      <c r="CH19" s="69"/>
      <c r="CI19" s="45"/>
      <c r="CJ19" s="45"/>
      <c r="CK19" s="45"/>
      <c r="CL19" s="45"/>
      <c r="CM19" s="45"/>
      <c r="CN19" s="45"/>
      <c r="CO19" s="45"/>
      <c r="CP19" s="45"/>
      <c r="CQ19" s="45"/>
      <c r="CR19" s="45"/>
      <c r="CS19" s="124"/>
      <c r="CT19" s="69"/>
      <c r="CU19" s="45"/>
      <c r="CV19" s="45"/>
      <c r="CW19" s="45"/>
      <c r="CX19" s="45"/>
      <c r="CY19" s="45"/>
      <c r="CZ19" s="45"/>
      <c r="DA19" s="45"/>
      <c r="DB19" s="45"/>
      <c r="DC19" s="45"/>
      <c r="DD19" s="45"/>
      <c r="DE19" s="124"/>
      <c r="DF19" s="69"/>
      <c r="DG19" s="45"/>
      <c r="DH19" s="45"/>
      <c r="DI19" s="45"/>
      <c r="DJ19" s="45"/>
      <c r="DK19" s="45"/>
      <c r="DL19" s="45"/>
      <c r="DM19" s="45"/>
      <c r="DN19" s="45"/>
      <c r="DO19" s="45"/>
      <c r="DP19" s="45"/>
      <c r="DQ19" s="124"/>
      <c r="DR19" s="69"/>
      <c r="DS19" s="45"/>
      <c r="DT19" s="126"/>
      <c r="DU19" s="126"/>
      <c r="DV19" s="126"/>
      <c r="DW19" s="126"/>
      <c r="DX19" s="126"/>
      <c r="DY19" s="126"/>
      <c r="DZ19" s="126"/>
      <c r="EA19" s="126"/>
      <c r="EB19" s="126"/>
      <c r="EC19" s="126"/>
      <c r="ED19" s="69"/>
      <c r="EE19" s="45"/>
      <c r="EF19" s="126"/>
      <c r="EG19" s="126"/>
      <c r="EH19" s="126"/>
      <c r="EI19" s="126"/>
      <c r="EJ19" s="126"/>
      <c r="EK19" s="126"/>
      <c r="EL19" s="126"/>
      <c r="EM19" s="126"/>
      <c r="EN19" s="126"/>
      <c r="EO19" s="126"/>
      <c r="EP19" s="69"/>
      <c r="EQ19" s="45"/>
      <c r="ER19" s="126"/>
      <c r="ES19" s="126"/>
      <c r="ET19" s="126"/>
      <c r="EU19" s="126"/>
      <c r="EV19" s="126"/>
      <c r="EW19" s="126"/>
      <c r="EX19" s="126"/>
      <c r="EY19" s="126"/>
      <c r="EZ19" s="126"/>
      <c r="FA19" s="132"/>
      <c r="FB19" s="126"/>
      <c r="FC19" s="126"/>
      <c r="FD19" s="126"/>
      <c r="FE19" s="126"/>
      <c r="FF19" s="126"/>
      <c r="FG19" s="126"/>
      <c r="FH19" s="126"/>
      <c r="FI19" s="126"/>
      <c r="FJ19" s="126"/>
      <c r="FK19" s="126"/>
      <c r="FL19" s="126"/>
      <c r="FM19" s="126"/>
      <c r="FN19" s="172"/>
      <c r="FO19" s="126"/>
      <c r="FP19" s="126"/>
      <c r="FQ19" s="126"/>
      <c r="FR19" s="126"/>
      <c r="FS19" s="126"/>
      <c r="FT19" s="126"/>
      <c r="FU19" s="126"/>
      <c r="FV19" s="126"/>
      <c r="FW19" s="126"/>
      <c r="FX19" s="126"/>
      <c r="FY19" s="126"/>
      <c r="FZ19" s="172"/>
      <c r="GA19" s="126"/>
      <c r="GB19" s="126"/>
      <c r="GC19" s="126"/>
      <c r="GD19" s="126"/>
      <c r="GE19" s="126"/>
      <c r="GF19" s="126"/>
      <c r="GG19" s="126"/>
      <c r="GH19" s="126"/>
      <c r="GI19" s="126"/>
      <c r="GJ19" s="126"/>
      <c r="GK19" s="126"/>
      <c r="GL19" s="172"/>
      <c r="GM19" s="126"/>
      <c r="GN19" s="126"/>
      <c r="GO19" s="126"/>
      <c r="GP19" s="126"/>
      <c r="GQ19" s="126"/>
    </row>
    <row r="20" spans="1:201" s="1" customFormat="1" ht="20.149999999999999" customHeight="1" x14ac:dyDescent="0.35">
      <c r="A20" s="31" t="s">
        <v>277</v>
      </c>
      <c r="B20" s="45">
        <v>5.0000000000000001E-3</v>
      </c>
      <c r="C20" s="45">
        <v>5.0000000000000001E-3</v>
      </c>
      <c r="D20" s="45">
        <v>5.0000000000000001E-3</v>
      </c>
      <c r="E20" s="45">
        <v>1.2E-2</v>
      </c>
      <c r="F20" s="45">
        <v>2.3E-2</v>
      </c>
      <c r="G20" s="45">
        <v>0.78700000000000003</v>
      </c>
      <c r="H20" s="45">
        <v>0.78900000000000003</v>
      </c>
      <c r="I20" s="45">
        <v>0.81799999999999995</v>
      </c>
      <c r="J20" s="45">
        <v>0.83199999999999996</v>
      </c>
      <c r="K20" s="45">
        <v>0.84199999999999997</v>
      </c>
      <c r="L20" s="45">
        <v>0.872</v>
      </c>
      <c r="M20" s="49">
        <v>0.93300000000000005</v>
      </c>
      <c r="N20" s="50">
        <v>0.93700000000000006</v>
      </c>
      <c r="O20" s="45">
        <v>0.95</v>
      </c>
      <c r="P20" s="45">
        <v>1.01</v>
      </c>
      <c r="Q20" s="45">
        <v>1.077</v>
      </c>
      <c r="R20" s="45">
        <v>1.1200000000000001</v>
      </c>
      <c r="S20" s="45">
        <v>1.7909999999999999</v>
      </c>
      <c r="T20" s="45">
        <v>86.438000000000002</v>
      </c>
      <c r="U20" s="45">
        <v>87.072999999999993</v>
      </c>
      <c r="V20" s="45">
        <v>92.716999999999999</v>
      </c>
      <c r="W20" s="45">
        <v>104.771</v>
      </c>
      <c r="X20" s="45">
        <v>105.297</v>
      </c>
      <c r="Y20" s="49">
        <v>105.98</v>
      </c>
      <c r="Z20" s="45">
        <v>105.98</v>
      </c>
      <c r="AA20" s="45">
        <v>106.392</v>
      </c>
      <c r="AB20" s="45">
        <v>111.581</v>
      </c>
      <c r="AC20" s="45">
        <v>111.581</v>
      </c>
      <c r="AD20" s="45">
        <v>111.64100000000001</v>
      </c>
      <c r="AE20" s="45">
        <v>121.617</v>
      </c>
      <c r="AF20" s="45">
        <v>177.93899999999999</v>
      </c>
      <c r="AG20" s="45">
        <v>177.93899999999999</v>
      </c>
      <c r="AH20" s="45">
        <v>177.93899999999999</v>
      </c>
      <c r="AI20" s="45">
        <v>177.94200000000001</v>
      </c>
      <c r="AJ20" s="45">
        <v>181.327</v>
      </c>
      <c r="AK20" s="49">
        <v>181.327</v>
      </c>
      <c r="AL20" s="45">
        <v>181.327</v>
      </c>
      <c r="AM20" s="45">
        <v>181.327</v>
      </c>
      <c r="AN20" s="45">
        <v>186.166</v>
      </c>
      <c r="AO20" s="45">
        <v>192.941</v>
      </c>
      <c r="AP20" s="45">
        <v>192.947</v>
      </c>
      <c r="AQ20" s="45">
        <v>194.19200000000001</v>
      </c>
      <c r="AR20" s="45">
        <v>198.096</v>
      </c>
      <c r="AS20" s="45">
        <v>202.75</v>
      </c>
      <c r="AT20" s="45">
        <v>203.86</v>
      </c>
      <c r="AU20" s="45">
        <v>210.44800000000001</v>
      </c>
      <c r="AV20" s="45">
        <v>210.452</v>
      </c>
      <c r="AW20" s="49">
        <v>213.83199999999999</v>
      </c>
      <c r="AX20" s="45">
        <v>213.83199999999999</v>
      </c>
      <c r="AY20" s="45">
        <v>219.64500000000001</v>
      </c>
      <c r="AZ20" s="45">
        <v>229.172</v>
      </c>
      <c r="BA20" s="45">
        <v>234.166</v>
      </c>
      <c r="BB20" s="45">
        <v>245.434</v>
      </c>
      <c r="BC20" s="45">
        <v>255.26</v>
      </c>
      <c r="BD20" s="45">
        <v>260.18299999999999</v>
      </c>
      <c r="BE20" s="45">
        <v>263.80099999999999</v>
      </c>
      <c r="BF20" s="45">
        <v>265.58800000000002</v>
      </c>
      <c r="BG20" s="45">
        <v>265.87599999999998</v>
      </c>
      <c r="BH20" s="45">
        <v>268.85500000000002</v>
      </c>
      <c r="BI20" s="49">
        <v>285.61500000000001</v>
      </c>
      <c r="BJ20" s="45">
        <v>285.61500000000001</v>
      </c>
      <c r="BK20" s="45">
        <v>289.358</v>
      </c>
      <c r="BL20" s="45">
        <v>326.36799999999999</v>
      </c>
      <c r="BM20" s="45">
        <v>328.20800000000003</v>
      </c>
      <c r="BN20" s="45">
        <v>332.11399999999998</v>
      </c>
      <c r="BO20" s="45">
        <v>364.01100000000002</v>
      </c>
      <c r="BP20" s="45">
        <v>373.15499999999997</v>
      </c>
      <c r="BQ20" s="45">
        <v>382.76600000000002</v>
      </c>
      <c r="BR20" s="45">
        <v>404.47800000000001</v>
      </c>
      <c r="BS20" s="45">
        <v>438.08</v>
      </c>
      <c r="BT20" s="45">
        <v>478.149</v>
      </c>
      <c r="BU20" s="49">
        <v>786.798</v>
      </c>
      <c r="BV20" s="45">
        <v>787.06500000000005</v>
      </c>
      <c r="BW20" s="45">
        <v>792.495</v>
      </c>
      <c r="BX20" s="45">
        <v>803.65800000000002</v>
      </c>
      <c r="BY20" s="45">
        <v>803.65800000000002</v>
      </c>
      <c r="BZ20" s="45">
        <v>818.64200000000005</v>
      </c>
      <c r="CA20" s="45">
        <v>946.69299999999998</v>
      </c>
      <c r="CB20" s="45">
        <v>946.69299999999998</v>
      </c>
      <c r="CC20" s="45">
        <v>956.18</v>
      </c>
      <c r="CD20" s="45">
        <v>965.89499999999998</v>
      </c>
      <c r="CE20" s="45">
        <v>965.89499999999998</v>
      </c>
      <c r="CF20" s="45">
        <v>970.7</v>
      </c>
      <c r="CG20" s="124">
        <v>970.7</v>
      </c>
      <c r="CH20" s="69">
        <v>970.70399999999995</v>
      </c>
      <c r="CI20" s="45">
        <v>970.70399999999995</v>
      </c>
      <c r="CJ20" s="45">
        <v>975.71400000000006</v>
      </c>
      <c r="CK20" s="45">
        <v>975.71400000000006</v>
      </c>
      <c r="CL20" s="45">
        <v>975.71799999999996</v>
      </c>
      <c r="CM20" s="45">
        <v>975.71799999999996</v>
      </c>
      <c r="CN20" s="45">
        <v>975.71799999999996</v>
      </c>
      <c r="CO20" s="45">
        <v>975.71799999999996</v>
      </c>
      <c r="CP20" s="45">
        <v>975.71799999999996</v>
      </c>
      <c r="CQ20" s="45">
        <v>975.71799999999996</v>
      </c>
      <c r="CR20" s="45">
        <v>975.71799999999996</v>
      </c>
      <c r="CS20" s="124">
        <v>975.71799999999996</v>
      </c>
      <c r="CT20" s="69">
        <v>975.72199999999998</v>
      </c>
      <c r="CU20" s="45">
        <v>975.72199999999998</v>
      </c>
      <c r="CV20" s="45">
        <v>975.72199999999998</v>
      </c>
      <c r="CW20" s="45">
        <v>975.72199999999998</v>
      </c>
      <c r="CX20" s="45">
        <v>975.72199999999998</v>
      </c>
      <c r="CY20" s="45">
        <v>975.72199999999998</v>
      </c>
      <c r="CZ20" s="45">
        <v>975.72199999999998</v>
      </c>
      <c r="DA20" s="45">
        <v>975.72199999999998</v>
      </c>
      <c r="DB20" s="45">
        <v>975.72199999999998</v>
      </c>
      <c r="DC20" s="45">
        <v>975.72199999999998</v>
      </c>
      <c r="DD20" s="45">
        <v>975.72199999999998</v>
      </c>
      <c r="DE20" s="124">
        <v>975.72199999999998</v>
      </c>
      <c r="DF20" s="69">
        <v>975.72199999999998</v>
      </c>
      <c r="DG20" s="45">
        <v>975.72199999999998</v>
      </c>
      <c r="DH20" s="45">
        <v>975.72199999999998</v>
      </c>
      <c r="DI20" s="45">
        <v>975.72199999999998</v>
      </c>
      <c r="DJ20" s="45">
        <v>975.72199999999998</v>
      </c>
      <c r="DK20" s="45">
        <v>975.72199999999998</v>
      </c>
      <c r="DL20" s="45">
        <v>975.72199999999998</v>
      </c>
      <c r="DM20" s="45">
        <v>975.72199999999998</v>
      </c>
      <c r="DN20" s="45">
        <v>975.72199999999998</v>
      </c>
      <c r="DO20" s="45">
        <v>975.72199999999998</v>
      </c>
      <c r="DP20" s="45">
        <v>975.72199999999998</v>
      </c>
      <c r="DQ20" s="124">
        <v>975.72199999999998</v>
      </c>
      <c r="DR20" s="69">
        <v>975.72199999999998</v>
      </c>
      <c r="DS20" s="45">
        <v>975.72199999999998</v>
      </c>
      <c r="DT20" s="45">
        <v>975.72199999999998</v>
      </c>
      <c r="DU20" s="45">
        <v>975.72199999999998</v>
      </c>
      <c r="DV20" s="45">
        <v>975.72199999999998</v>
      </c>
      <c r="DW20" s="45">
        <v>975.72199999999998</v>
      </c>
      <c r="DX20" s="45">
        <v>975.72199999999998</v>
      </c>
      <c r="DY20" s="45">
        <v>975.72199999999998</v>
      </c>
      <c r="DZ20" s="45">
        <v>975.72199999999998</v>
      </c>
      <c r="EA20" s="45">
        <v>975.72199999999998</v>
      </c>
      <c r="EB20" s="45">
        <v>975.72199999999998</v>
      </c>
      <c r="EC20" s="45">
        <v>975.72199999999998</v>
      </c>
      <c r="ED20" s="69">
        <v>975.72199999999998</v>
      </c>
      <c r="EE20" s="45">
        <v>975.72199999999998</v>
      </c>
      <c r="EF20" s="45">
        <v>975.72199999999998</v>
      </c>
      <c r="EG20" s="45">
        <v>975.72199999999998</v>
      </c>
      <c r="EH20" s="45">
        <v>975.72199999999998</v>
      </c>
      <c r="EI20" s="45">
        <v>975.72199999999998</v>
      </c>
      <c r="EJ20" s="45">
        <v>975.72199999999998</v>
      </c>
      <c r="EK20" s="45">
        <v>975.72199999999998</v>
      </c>
      <c r="EL20" s="45">
        <v>975.72199999999998</v>
      </c>
      <c r="EM20" s="45">
        <v>975.72199999999998</v>
      </c>
      <c r="EN20" s="45">
        <v>975.72199999999998</v>
      </c>
      <c r="EO20" s="45">
        <v>975.72199999999998</v>
      </c>
      <c r="EP20" s="69">
        <v>975.72199999999998</v>
      </c>
      <c r="EQ20" s="45">
        <v>975.72199999999998</v>
      </c>
      <c r="ER20" s="45">
        <v>975.72199999999998</v>
      </c>
      <c r="ES20" s="45">
        <v>975.72199999999998</v>
      </c>
      <c r="ET20" s="45">
        <v>975.72199999999998</v>
      </c>
      <c r="EU20" s="45">
        <v>975.72199999999998</v>
      </c>
      <c r="EV20" s="45">
        <v>975.72199999999998</v>
      </c>
      <c r="EW20" s="45">
        <v>975.72199999999998</v>
      </c>
      <c r="EX20" s="45">
        <v>975.72199999999998</v>
      </c>
      <c r="EY20" s="45">
        <v>975.72199999999998</v>
      </c>
      <c r="EZ20" s="45">
        <v>975.72199999999998</v>
      </c>
      <c r="FA20" s="82">
        <v>975.72199999999998</v>
      </c>
      <c r="FB20" s="45">
        <v>975.72199999999998</v>
      </c>
      <c r="FC20" s="45">
        <v>975.72199999999998</v>
      </c>
      <c r="FD20" s="45">
        <v>975.72199999999998</v>
      </c>
      <c r="FE20" s="45">
        <v>975.72199999999998</v>
      </c>
      <c r="FF20" s="45">
        <v>975.72199999999998</v>
      </c>
      <c r="FG20" s="45">
        <v>975.72199999999998</v>
      </c>
      <c r="FH20" s="45">
        <v>975.72199999999998</v>
      </c>
      <c r="FI20" s="45">
        <v>975.72199999999998</v>
      </c>
      <c r="FJ20" s="45">
        <v>975.72199999999998</v>
      </c>
      <c r="FK20" s="45">
        <v>975.72199999999998</v>
      </c>
      <c r="FL20" s="45">
        <v>975.72199999999998</v>
      </c>
      <c r="FM20" s="45">
        <v>975.72199999999998</v>
      </c>
      <c r="FN20" s="69">
        <v>975.72199999999998</v>
      </c>
      <c r="FO20" s="45">
        <v>975.72199999999998</v>
      </c>
      <c r="FP20" s="45">
        <v>975.72199999999998</v>
      </c>
      <c r="FQ20" s="45">
        <v>975.72199999999998</v>
      </c>
      <c r="FR20" s="45">
        <v>975.72199999999998</v>
      </c>
      <c r="FS20" s="45">
        <v>975.72199999999998</v>
      </c>
      <c r="FT20" s="45">
        <v>975.72199999999998</v>
      </c>
      <c r="FU20" s="45">
        <v>975.72199999999998</v>
      </c>
      <c r="FV20" s="45">
        <v>975.72199999999998</v>
      </c>
      <c r="FW20" s="45">
        <v>975.72199999999998</v>
      </c>
      <c r="FX20" s="45">
        <v>975.72199999999998</v>
      </c>
      <c r="FY20" s="45">
        <v>975.72199999999998</v>
      </c>
      <c r="FZ20" s="69">
        <v>975.72199999999998</v>
      </c>
      <c r="GA20" s="45">
        <v>975.72199999999998</v>
      </c>
      <c r="GB20" s="45">
        <v>975.72199999999998</v>
      </c>
      <c r="GC20" s="45">
        <v>975.72199999999998</v>
      </c>
      <c r="GD20" s="45">
        <v>975.72199999999998</v>
      </c>
      <c r="GE20" s="45">
        <v>975.72199999999998</v>
      </c>
      <c r="GF20" s="45">
        <v>975.72199999999998</v>
      </c>
      <c r="GG20" s="45">
        <v>975.72199999999998</v>
      </c>
      <c r="GH20" s="45">
        <v>975.72199999999998</v>
      </c>
      <c r="GI20" s="45">
        <v>975.72199999999998</v>
      </c>
      <c r="GJ20" s="45">
        <v>975.72199999999998</v>
      </c>
      <c r="GK20" s="45">
        <v>975.72199999999998</v>
      </c>
      <c r="GL20" s="69">
        <v>975.72199999999998</v>
      </c>
      <c r="GM20" s="45">
        <v>975.72199999999998</v>
      </c>
      <c r="GN20" s="45">
        <v>975.72199999999998</v>
      </c>
      <c r="GO20" s="45">
        <v>975.72199999999998</v>
      </c>
      <c r="GP20" s="45">
        <v>975.72199999999998</v>
      </c>
      <c r="GQ20" s="45">
        <v>975.72199999999998</v>
      </c>
    </row>
    <row r="21" spans="1:201" s="1" customFormat="1" ht="20.149999999999999" customHeight="1" x14ac:dyDescent="0.35">
      <c r="A21" s="31" t="s">
        <v>278</v>
      </c>
      <c r="B21" s="45">
        <v>12.845000000000001</v>
      </c>
      <c r="C21" s="45">
        <v>13.856999999999999</v>
      </c>
      <c r="D21" s="45">
        <v>15.819000000000001</v>
      </c>
      <c r="E21" s="45">
        <v>18.035</v>
      </c>
      <c r="F21" s="45">
        <v>21.678999999999998</v>
      </c>
      <c r="G21" s="45">
        <v>26.094000000000001</v>
      </c>
      <c r="H21" s="45">
        <v>31.177</v>
      </c>
      <c r="I21" s="45">
        <v>36.463999999999999</v>
      </c>
      <c r="J21" s="45">
        <v>43.343000000000004</v>
      </c>
      <c r="K21" s="45">
        <v>51.899000000000001</v>
      </c>
      <c r="L21" s="45">
        <v>61.375</v>
      </c>
      <c r="M21" s="49">
        <v>68.727999999999994</v>
      </c>
      <c r="N21" s="50">
        <v>78.876999999999995</v>
      </c>
      <c r="O21" s="45">
        <v>91.263999999999996</v>
      </c>
      <c r="P21" s="45">
        <v>109.855</v>
      </c>
      <c r="Q21" s="45">
        <v>133.27199999999999</v>
      </c>
      <c r="R21" s="45">
        <v>155.833</v>
      </c>
      <c r="S21" s="45">
        <v>187.97499999999999</v>
      </c>
      <c r="T21" s="45">
        <v>258.32299999999998</v>
      </c>
      <c r="U21" s="45">
        <v>301.97300000000001</v>
      </c>
      <c r="V21" s="45">
        <v>366.24299999999999</v>
      </c>
      <c r="W21" s="45">
        <v>468.44299999999998</v>
      </c>
      <c r="X21" s="45">
        <v>659.84699999999998</v>
      </c>
      <c r="Y21" s="49">
        <v>838.26900000000001</v>
      </c>
      <c r="Z21" s="45">
        <v>861.54200000000003</v>
      </c>
      <c r="AA21" s="45">
        <v>1029.3030000000001</v>
      </c>
      <c r="AB21" s="45">
        <v>1129.694</v>
      </c>
      <c r="AC21" s="45">
        <v>1145.461</v>
      </c>
      <c r="AD21" s="45">
        <v>1179.6369999999999</v>
      </c>
      <c r="AE21" s="45">
        <v>1232.527</v>
      </c>
      <c r="AF21" s="45">
        <v>1365.8869999999999</v>
      </c>
      <c r="AG21" s="45">
        <v>1379.604</v>
      </c>
      <c r="AH21" s="45">
        <v>1397.1780000000001</v>
      </c>
      <c r="AI21" s="45">
        <v>1439.5060000000001</v>
      </c>
      <c r="AJ21" s="45">
        <v>1460.954</v>
      </c>
      <c r="AK21" s="49">
        <v>1481.809</v>
      </c>
      <c r="AL21" s="45">
        <v>1505.348</v>
      </c>
      <c r="AM21" s="45">
        <v>1532.778</v>
      </c>
      <c r="AN21" s="45">
        <v>1564.847</v>
      </c>
      <c r="AO21" s="45">
        <v>1611.0809999999999</v>
      </c>
      <c r="AP21" s="45">
        <v>1647.5050000000001</v>
      </c>
      <c r="AQ21" s="45">
        <v>1713.261</v>
      </c>
      <c r="AR21" s="45">
        <v>1742.0730000000001</v>
      </c>
      <c r="AS21" s="45">
        <v>1779.2139999999999</v>
      </c>
      <c r="AT21" s="45">
        <v>1815.9290000000001</v>
      </c>
      <c r="AU21" s="45">
        <v>1853.0050000000001</v>
      </c>
      <c r="AV21" s="45">
        <v>1896.32</v>
      </c>
      <c r="AW21" s="49">
        <v>1939.405</v>
      </c>
      <c r="AX21" s="45">
        <v>1973.627</v>
      </c>
      <c r="AY21" s="45">
        <v>2010.3620000000001</v>
      </c>
      <c r="AZ21" s="45">
        <v>2092.16</v>
      </c>
      <c r="BA21" s="45">
        <v>2128.4090000000001</v>
      </c>
      <c r="BB21" s="45">
        <v>2164.9960000000001</v>
      </c>
      <c r="BC21" s="45">
        <v>2225.0390000000002</v>
      </c>
      <c r="BD21" s="45">
        <v>2269.6909999999998</v>
      </c>
      <c r="BE21" s="45">
        <v>2313.4960000000001</v>
      </c>
      <c r="BF21" s="45">
        <v>2367.6959999999999</v>
      </c>
      <c r="BG21" s="45">
        <v>2424.8090000000002</v>
      </c>
      <c r="BH21" s="45">
        <v>2478.7249999999999</v>
      </c>
      <c r="BI21" s="49">
        <v>2551.1849999999999</v>
      </c>
      <c r="BJ21" s="45">
        <v>2583.3270000000002</v>
      </c>
      <c r="BK21" s="45">
        <v>2623.1889999999999</v>
      </c>
      <c r="BL21" s="45">
        <v>2711.2669999999998</v>
      </c>
      <c r="BM21" s="45">
        <v>2753.3420000000001</v>
      </c>
      <c r="BN21" s="45">
        <v>2801.4549999999999</v>
      </c>
      <c r="BO21" s="45">
        <v>2891.5219999999999</v>
      </c>
      <c r="BP21" s="45">
        <v>2942.0169999999998</v>
      </c>
      <c r="BQ21" s="45">
        <v>2993.5059999999999</v>
      </c>
      <c r="BR21" s="45">
        <v>3089.1280000000002</v>
      </c>
      <c r="BS21" s="45">
        <v>3164.587</v>
      </c>
      <c r="BT21" s="45">
        <v>3268.7570000000001</v>
      </c>
      <c r="BU21" s="49">
        <v>3472.1320000000001</v>
      </c>
      <c r="BV21" s="45">
        <v>3563.2489999999998</v>
      </c>
      <c r="BW21" s="45">
        <v>3582.5880000000002</v>
      </c>
      <c r="BX21" s="45">
        <v>3650.223</v>
      </c>
      <c r="BY21" s="45">
        <v>3659.5419999999999</v>
      </c>
      <c r="BZ21" s="45">
        <v>3675.181</v>
      </c>
      <c r="CA21" s="45">
        <v>3687.9609999999998</v>
      </c>
      <c r="CB21" s="45">
        <v>3700.32</v>
      </c>
      <c r="CC21" s="45">
        <v>3714.6840000000002</v>
      </c>
      <c r="CD21" s="45">
        <v>3734.759</v>
      </c>
      <c r="CE21" s="45">
        <v>3744.1840000000002</v>
      </c>
      <c r="CF21" s="45">
        <v>3753.857</v>
      </c>
      <c r="CG21" s="124">
        <v>3765.01</v>
      </c>
      <c r="CH21" s="69">
        <v>3769.7959999999998</v>
      </c>
      <c r="CI21" s="45">
        <v>3777.192</v>
      </c>
      <c r="CJ21" s="45">
        <v>3788.2489999999998</v>
      </c>
      <c r="CK21" s="45">
        <v>3796.078</v>
      </c>
      <c r="CL21" s="45">
        <v>3805.9589999999998</v>
      </c>
      <c r="CM21" s="45">
        <v>3817.9639999999999</v>
      </c>
      <c r="CN21" s="45">
        <v>3829.3490000000002</v>
      </c>
      <c r="CO21" s="45">
        <v>3843.1970000000001</v>
      </c>
      <c r="CP21" s="45">
        <v>3855.953</v>
      </c>
      <c r="CQ21" s="45">
        <v>3865.1489999999999</v>
      </c>
      <c r="CR21" s="45">
        <v>3876.2979999999998</v>
      </c>
      <c r="CS21" s="124">
        <v>3884.3519999999999</v>
      </c>
      <c r="CT21" s="69">
        <v>3892.1460000000002</v>
      </c>
      <c r="CU21" s="45">
        <v>3899.3510000000001</v>
      </c>
      <c r="CV21" s="45">
        <v>3911.4349999999999</v>
      </c>
      <c r="CW21" s="45">
        <v>3921.3150000000001</v>
      </c>
      <c r="CX21" s="45">
        <v>3931.78</v>
      </c>
      <c r="CY21" s="45">
        <v>3944.444</v>
      </c>
      <c r="CZ21" s="45">
        <v>3955.866</v>
      </c>
      <c r="DA21" s="45">
        <v>3967.7049999999999</v>
      </c>
      <c r="DB21" s="45">
        <v>3980.846</v>
      </c>
      <c r="DC21" s="45">
        <v>3992.8960000000002</v>
      </c>
      <c r="DD21" s="45">
        <v>4008.0219999999999</v>
      </c>
      <c r="DE21" s="124">
        <v>4026.8679999999999</v>
      </c>
      <c r="DF21" s="69">
        <v>4043.8629999999998</v>
      </c>
      <c r="DG21" s="45">
        <v>4068.7080000000001</v>
      </c>
      <c r="DH21" s="45">
        <v>4132.2510000000002</v>
      </c>
      <c r="DI21" s="45">
        <v>4136.4049999999997</v>
      </c>
      <c r="DJ21" s="45">
        <v>4137.1880000000001</v>
      </c>
      <c r="DK21" s="45">
        <v>4138.9549999999999</v>
      </c>
      <c r="DL21" s="45">
        <v>4140.3389999999999</v>
      </c>
      <c r="DM21" s="45">
        <v>4142.6559999999999</v>
      </c>
      <c r="DN21" s="45">
        <v>4145.34</v>
      </c>
      <c r="DO21" s="45">
        <v>4145.6840000000002</v>
      </c>
      <c r="DP21" s="45">
        <v>4146.1459999999997</v>
      </c>
      <c r="DQ21" s="124">
        <v>4146.5169999999998</v>
      </c>
      <c r="DR21" s="69">
        <v>4147.1409999999996</v>
      </c>
      <c r="DS21" s="45">
        <v>4147.9679999999998</v>
      </c>
      <c r="DT21" s="45">
        <v>4150.1779999999999</v>
      </c>
      <c r="DU21" s="45">
        <v>4150.1779999999999</v>
      </c>
      <c r="DV21" s="45">
        <v>4150.1779999999999</v>
      </c>
      <c r="DW21" s="45">
        <v>4150.2079999999996</v>
      </c>
      <c r="DX21" s="45">
        <v>4150.2380000000003</v>
      </c>
      <c r="DY21" s="45">
        <v>4150.4660000000003</v>
      </c>
      <c r="DZ21" s="45">
        <v>4150.6790000000001</v>
      </c>
      <c r="EA21" s="45">
        <v>4150.6869999999999</v>
      </c>
      <c r="EB21" s="45">
        <v>4150.6869999999999</v>
      </c>
      <c r="EC21" s="45">
        <v>4150.7470000000003</v>
      </c>
      <c r="ED21" s="69">
        <v>4150.7969999999996</v>
      </c>
      <c r="EE21" s="45">
        <v>4150.7969999999996</v>
      </c>
      <c r="EF21" s="45">
        <v>4150.7969999999996</v>
      </c>
      <c r="EG21" s="45">
        <v>4150.7969999999996</v>
      </c>
      <c r="EH21" s="45">
        <v>4150.7969999999996</v>
      </c>
      <c r="EI21" s="45">
        <v>4150.7969999999996</v>
      </c>
      <c r="EJ21" s="45">
        <v>4150.7969999999996</v>
      </c>
      <c r="EK21" s="45">
        <v>4150.7969999999996</v>
      </c>
      <c r="EL21" s="45">
        <v>4150.7969999999996</v>
      </c>
      <c r="EM21" s="45">
        <v>4150.7969999999996</v>
      </c>
      <c r="EN21" s="45">
        <v>4150.7969999999996</v>
      </c>
      <c r="EO21" s="45">
        <v>4150.7969999999996</v>
      </c>
      <c r="EP21" s="69">
        <v>4150.7969999999996</v>
      </c>
      <c r="EQ21" s="45">
        <v>4150.7969999999996</v>
      </c>
      <c r="ER21" s="45">
        <v>4150.7969999999996</v>
      </c>
      <c r="ES21" s="45">
        <v>4150.7969999999996</v>
      </c>
      <c r="ET21" s="45">
        <v>4150.7969999999996</v>
      </c>
      <c r="EU21" s="45">
        <v>4150.7969999999996</v>
      </c>
      <c r="EV21" s="45">
        <v>4150.7969999999996</v>
      </c>
      <c r="EW21" s="45">
        <v>4150.7969999999996</v>
      </c>
      <c r="EX21" s="45">
        <v>4150.7969999999996</v>
      </c>
      <c r="EY21" s="45">
        <v>4150.7969999999996</v>
      </c>
      <c r="EZ21" s="45">
        <v>4150.7969999999996</v>
      </c>
      <c r="FA21" s="82">
        <v>4150.7969999999996</v>
      </c>
      <c r="FB21" s="45">
        <v>4150.7969999999996</v>
      </c>
      <c r="FC21" s="45">
        <v>4150.7969999999996</v>
      </c>
      <c r="FD21" s="45">
        <v>4150.7969999999996</v>
      </c>
      <c r="FE21" s="45">
        <v>4150.7969999999996</v>
      </c>
      <c r="FF21" s="45">
        <v>4150.7969999999996</v>
      </c>
      <c r="FG21" s="45">
        <v>4150.7969999999996</v>
      </c>
      <c r="FH21" s="45">
        <v>4150.7969999999996</v>
      </c>
      <c r="FI21" s="45">
        <v>4150.7969999999996</v>
      </c>
      <c r="FJ21" s="45">
        <v>4150.7969999999996</v>
      </c>
      <c r="FK21" s="45">
        <v>4150.7969999999996</v>
      </c>
      <c r="FL21" s="45">
        <v>4150.7969999999996</v>
      </c>
      <c r="FM21" s="45">
        <v>4150.7969999999996</v>
      </c>
      <c r="FN21" s="69">
        <v>4150.7969999999996</v>
      </c>
      <c r="FO21" s="45">
        <v>4150.7969999999996</v>
      </c>
      <c r="FP21" s="45">
        <v>4150.7969999999996</v>
      </c>
      <c r="FQ21" s="45">
        <v>4150.7969999999996</v>
      </c>
      <c r="FR21" s="45">
        <v>4150.7969999999996</v>
      </c>
      <c r="FS21" s="45">
        <v>4150.7969999999996</v>
      </c>
      <c r="FT21" s="45">
        <v>4150.7969999999996</v>
      </c>
      <c r="FU21" s="45">
        <v>4150.7969999999996</v>
      </c>
      <c r="FV21" s="45">
        <v>4150.7969999999996</v>
      </c>
      <c r="FW21" s="45">
        <v>4150.7969999999996</v>
      </c>
      <c r="FX21" s="45">
        <v>4150.7969999999996</v>
      </c>
      <c r="FY21" s="45">
        <v>4150.7969999999996</v>
      </c>
      <c r="FZ21" s="69">
        <v>4150.7969999999996</v>
      </c>
      <c r="GA21" s="45">
        <v>4150.7969999999996</v>
      </c>
      <c r="GB21" s="45">
        <v>4150.7969999999996</v>
      </c>
      <c r="GC21" s="45">
        <v>4150.7969999999996</v>
      </c>
      <c r="GD21" s="45">
        <v>4150.7969999999996</v>
      </c>
      <c r="GE21" s="45">
        <v>4150.7969999999996</v>
      </c>
      <c r="GF21" s="45">
        <v>4150.7969999999996</v>
      </c>
      <c r="GG21" s="45">
        <v>4150.7969999999996</v>
      </c>
      <c r="GH21" s="45">
        <v>4150.7969999999996</v>
      </c>
      <c r="GI21" s="45">
        <v>4150.7969999999996</v>
      </c>
      <c r="GJ21" s="45">
        <v>4150.7969999999996</v>
      </c>
      <c r="GK21" s="45">
        <v>4150.7969999999996</v>
      </c>
      <c r="GL21" s="69">
        <v>4150.7969999999996</v>
      </c>
      <c r="GM21" s="45">
        <v>4150.7969999999996</v>
      </c>
      <c r="GN21" s="45">
        <v>4150.7969999999996</v>
      </c>
      <c r="GO21" s="45">
        <v>4150.7969999999996</v>
      </c>
      <c r="GP21" s="45">
        <v>4150.7969999999996</v>
      </c>
      <c r="GQ21" s="45">
        <v>4150.7969999999996</v>
      </c>
      <c r="GS21" s="215"/>
    </row>
    <row r="22" spans="1:201" s="1" customFormat="1" ht="20.149999999999999" customHeight="1" x14ac:dyDescent="0.35">
      <c r="A22" s="31" t="s">
        <v>279</v>
      </c>
      <c r="B22" s="45">
        <v>0</v>
      </c>
      <c r="C22" s="45">
        <v>0</v>
      </c>
      <c r="D22" s="45">
        <v>0</v>
      </c>
      <c r="E22" s="45">
        <v>0</v>
      </c>
      <c r="F22" s="45">
        <v>0</v>
      </c>
      <c r="G22" s="45">
        <v>0</v>
      </c>
      <c r="H22" s="45">
        <v>0</v>
      </c>
      <c r="I22" s="45">
        <v>0</v>
      </c>
      <c r="J22" s="45">
        <v>0</v>
      </c>
      <c r="K22" s="45">
        <v>0</v>
      </c>
      <c r="L22" s="45">
        <v>0</v>
      </c>
      <c r="M22" s="49">
        <v>0</v>
      </c>
      <c r="N22" s="50">
        <v>0</v>
      </c>
      <c r="O22" s="45">
        <v>0</v>
      </c>
      <c r="P22" s="45">
        <v>0</v>
      </c>
      <c r="Q22" s="45">
        <v>0</v>
      </c>
      <c r="R22" s="45">
        <v>0</v>
      </c>
      <c r="S22" s="45">
        <v>0</v>
      </c>
      <c r="T22" s="45">
        <v>1.4410000000000001</v>
      </c>
      <c r="U22" s="45">
        <v>1.4410000000000001</v>
      </c>
      <c r="V22" s="45">
        <v>1.4410000000000001</v>
      </c>
      <c r="W22" s="45">
        <v>1.4410000000000001</v>
      </c>
      <c r="X22" s="45">
        <v>1.4410000000000001</v>
      </c>
      <c r="Y22" s="49">
        <v>6.4409999999999998</v>
      </c>
      <c r="Z22" s="45">
        <v>6.4409999999999998</v>
      </c>
      <c r="AA22" s="45">
        <v>6.4409999999999998</v>
      </c>
      <c r="AB22" s="45">
        <v>6.4409999999999998</v>
      </c>
      <c r="AC22" s="45">
        <v>6.4409999999999998</v>
      </c>
      <c r="AD22" s="45">
        <v>6.4409999999999998</v>
      </c>
      <c r="AE22" s="45">
        <v>6.4409999999999998</v>
      </c>
      <c r="AF22" s="45">
        <v>6.4409999999999998</v>
      </c>
      <c r="AG22" s="45">
        <v>6.4409999999999998</v>
      </c>
      <c r="AH22" s="45">
        <v>6.4409999999999998</v>
      </c>
      <c r="AI22" s="45">
        <v>6.4409999999999998</v>
      </c>
      <c r="AJ22" s="45">
        <v>6.4409999999999998</v>
      </c>
      <c r="AK22" s="49">
        <v>6.4409999999999998</v>
      </c>
      <c r="AL22" s="45">
        <v>6.4409999999999998</v>
      </c>
      <c r="AM22" s="45">
        <v>6.4409999999999998</v>
      </c>
      <c r="AN22" s="45">
        <v>93.528999999999996</v>
      </c>
      <c r="AO22" s="45">
        <v>99.16</v>
      </c>
      <c r="AP22" s="45">
        <v>118.131</v>
      </c>
      <c r="AQ22" s="45">
        <v>176.33500000000001</v>
      </c>
      <c r="AR22" s="45">
        <v>180.78800000000001</v>
      </c>
      <c r="AS22" s="45">
        <v>203.63399999999999</v>
      </c>
      <c r="AT22" s="45">
        <v>206.53399999999999</v>
      </c>
      <c r="AU22" s="45">
        <v>206.53399999999999</v>
      </c>
      <c r="AV22" s="45">
        <v>261.53500000000003</v>
      </c>
      <c r="AW22" s="49">
        <v>271.57900000000001</v>
      </c>
      <c r="AX22" s="45">
        <v>357.81900000000002</v>
      </c>
      <c r="AY22" s="45">
        <v>397.91199999999998</v>
      </c>
      <c r="AZ22" s="45">
        <v>1292.3420000000001</v>
      </c>
      <c r="BA22" s="45">
        <v>1301.3330000000001</v>
      </c>
      <c r="BB22" s="45">
        <v>1352.367</v>
      </c>
      <c r="BC22" s="45">
        <v>1412.1610000000001</v>
      </c>
      <c r="BD22" s="45">
        <v>1524.8610000000001</v>
      </c>
      <c r="BE22" s="45">
        <v>1535.962</v>
      </c>
      <c r="BF22" s="45">
        <v>1680.5409999999999</v>
      </c>
      <c r="BG22" s="45">
        <v>1784.5129999999999</v>
      </c>
      <c r="BH22" s="45">
        <v>1856.7940000000001</v>
      </c>
      <c r="BI22" s="49">
        <v>2068.0369999999998</v>
      </c>
      <c r="BJ22" s="45">
        <v>2100.4749999999999</v>
      </c>
      <c r="BK22" s="45">
        <v>2209.6840000000002</v>
      </c>
      <c r="BL22" s="45">
        <v>4426.5820000000003</v>
      </c>
      <c r="BM22" s="45">
        <v>4428.4669999999996</v>
      </c>
      <c r="BN22" s="45">
        <v>4433.09</v>
      </c>
      <c r="BO22" s="45">
        <v>4433.09</v>
      </c>
      <c r="BP22" s="45">
        <v>4453.4080000000004</v>
      </c>
      <c r="BQ22" s="45">
        <v>4487.8549999999996</v>
      </c>
      <c r="BR22" s="45">
        <v>4491.8459999999995</v>
      </c>
      <c r="BS22" s="45">
        <v>4543.027</v>
      </c>
      <c r="BT22" s="45">
        <v>4580.5209999999997</v>
      </c>
      <c r="BU22" s="49">
        <v>4673.1750000000002</v>
      </c>
      <c r="BV22" s="45">
        <v>4710.43</v>
      </c>
      <c r="BW22" s="45">
        <v>4784.7579999999998</v>
      </c>
      <c r="BX22" s="45">
        <v>5831.6030000000001</v>
      </c>
      <c r="BY22" s="45">
        <v>5878.1610000000001</v>
      </c>
      <c r="BZ22" s="45">
        <v>5892.9579999999996</v>
      </c>
      <c r="CA22" s="45">
        <v>5912.924</v>
      </c>
      <c r="CB22" s="45">
        <v>5922.902</v>
      </c>
      <c r="CC22" s="45">
        <v>5937.3509999999997</v>
      </c>
      <c r="CD22" s="45">
        <v>5946.97</v>
      </c>
      <c r="CE22" s="45">
        <v>5973.8440000000001</v>
      </c>
      <c r="CF22" s="45">
        <v>5996.84</v>
      </c>
      <c r="CG22" s="124">
        <v>6053.018</v>
      </c>
      <c r="CH22" s="69">
        <v>6071.433</v>
      </c>
      <c r="CI22" s="45">
        <v>6153.5690000000004</v>
      </c>
      <c r="CJ22" s="45">
        <v>6636.5209999999997</v>
      </c>
      <c r="CK22" s="45">
        <v>6644.51</v>
      </c>
      <c r="CL22" s="45">
        <v>6648.89</v>
      </c>
      <c r="CM22" s="45">
        <v>6648.89</v>
      </c>
      <c r="CN22" s="45">
        <v>6653.7929999999997</v>
      </c>
      <c r="CO22" s="45">
        <v>6653.7929999999997</v>
      </c>
      <c r="CP22" s="45">
        <v>6653.7929999999997</v>
      </c>
      <c r="CQ22" s="45">
        <v>6653.7929999999997</v>
      </c>
      <c r="CR22" s="45">
        <v>6653.7929999999997</v>
      </c>
      <c r="CS22" s="124">
        <v>6659.7529999999997</v>
      </c>
      <c r="CT22" s="69">
        <v>6686.8530000000001</v>
      </c>
      <c r="CU22" s="45">
        <v>6693.3530000000001</v>
      </c>
      <c r="CV22" s="45">
        <v>6717.4470000000001</v>
      </c>
      <c r="CW22" s="45">
        <v>6730.4470000000001</v>
      </c>
      <c r="CX22" s="45">
        <v>6730.4470000000001</v>
      </c>
      <c r="CY22" s="45">
        <v>6733.7389999999996</v>
      </c>
      <c r="CZ22" s="45">
        <v>6733.7389999999996</v>
      </c>
      <c r="DA22" s="45">
        <v>6733.7389999999996</v>
      </c>
      <c r="DB22" s="45">
        <v>6733.7389999999996</v>
      </c>
      <c r="DC22" s="45">
        <v>6733.7389999999996</v>
      </c>
      <c r="DD22" s="45">
        <v>6733.7389999999996</v>
      </c>
      <c r="DE22" s="124">
        <v>6733.7389999999996</v>
      </c>
      <c r="DF22" s="69">
        <v>6733.7389999999996</v>
      </c>
      <c r="DG22" s="45">
        <v>6733.7389999999996</v>
      </c>
      <c r="DH22" s="45">
        <v>6733.7389999999996</v>
      </c>
      <c r="DI22" s="45">
        <v>6733.7389999999996</v>
      </c>
      <c r="DJ22" s="45">
        <v>6733.7389999999996</v>
      </c>
      <c r="DK22" s="45">
        <v>6733.7389999999996</v>
      </c>
      <c r="DL22" s="45">
        <v>6733.7389999999996</v>
      </c>
      <c r="DM22" s="45">
        <v>6733.7389999999996</v>
      </c>
      <c r="DN22" s="45">
        <v>6733.7389999999996</v>
      </c>
      <c r="DO22" s="45">
        <v>6733.7389999999996</v>
      </c>
      <c r="DP22" s="45">
        <v>6733.7389999999996</v>
      </c>
      <c r="DQ22" s="124">
        <v>6733.7389999999996</v>
      </c>
      <c r="DR22" s="69">
        <v>6733.7389999999996</v>
      </c>
      <c r="DS22" s="45">
        <v>6733.7389999999996</v>
      </c>
      <c r="DT22" s="45">
        <v>6733.7389999999996</v>
      </c>
      <c r="DU22" s="45">
        <v>6733.7389999999996</v>
      </c>
      <c r="DV22" s="45">
        <v>6733.7389999999996</v>
      </c>
      <c r="DW22" s="45">
        <v>6733.7389999999996</v>
      </c>
      <c r="DX22" s="45">
        <v>6733.7389999999996</v>
      </c>
      <c r="DY22" s="45">
        <v>6733.7389999999996</v>
      </c>
      <c r="DZ22" s="45">
        <v>6733.7389999999996</v>
      </c>
      <c r="EA22" s="45">
        <v>6733.7389999999996</v>
      </c>
      <c r="EB22" s="45">
        <v>6733.7389999999996</v>
      </c>
      <c r="EC22" s="45">
        <v>6733.7389999999996</v>
      </c>
      <c r="ED22" s="69">
        <v>6733.7389999999996</v>
      </c>
      <c r="EE22" s="45">
        <v>6733.7389999999996</v>
      </c>
      <c r="EF22" s="45">
        <v>6733.7389999999996</v>
      </c>
      <c r="EG22" s="45">
        <v>6733.7389999999996</v>
      </c>
      <c r="EH22" s="45">
        <v>6733.7389999999996</v>
      </c>
      <c r="EI22" s="45">
        <v>6733.7389999999996</v>
      </c>
      <c r="EJ22" s="45">
        <v>6733.7389999999996</v>
      </c>
      <c r="EK22" s="45">
        <v>6733.7389999999996</v>
      </c>
      <c r="EL22" s="45">
        <v>6733.7389999999996</v>
      </c>
      <c r="EM22" s="45">
        <v>6733.7389999999996</v>
      </c>
      <c r="EN22" s="45">
        <v>6733.7389999999996</v>
      </c>
      <c r="EO22" s="45">
        <v>6733.7389999999996</v>
      </c>
      <c r="EP22" s="69">
        <v>6733.7389999999996</v>
      </c>
      <c r="EQ22" s="45">
        <v>6733.7389999999996</v>
      </c>
      <c r="ER22" s="45">
        <v>6733.7389999999996</v>
      </c>
      <c r="ES22" s="45">
        <v>6733.7389999999996</v>
      </c>
      <c r="ET22" s="45">
        <v>6733.7389999999996</v>
      </c>
      <c r="EU22" s="45">
        <v>6733.7389999999996</v>
      </c>
      <c r="EV22" s="45">
        <v>6733.7389999999996</v>
      </c>
      <c r="EW22" s="45">
        <v>6733.7389999999996</v>
      </c>
      <c r="EX22" s="45">
        <v>6733.7389999999996</v>
      </c>
      <c r="EY22" s="45">
        <v>6733.7389999999996</v>
      </c>
      <c r="EZ22" s="45">
        <v>6733.7389999999996</v>
      </c>
      <c r="FA22" s="82">
        <v>6733.7389999999996</v>
      </c>
      <c r="FB22" s="45">
        <v>6733.7389999999996</v>
      </c>
      <c r="FC22" s="45">
        <v>6733.7389999999996</v>
      </c>
      <c r="FD22" s="45">
        <v>6733.7389999999996</v>
      </c>
      <c r="FE22" s="45">
        <v>6733.7389999999996</v>
      </c>
      <c r="FF22" s="45">
        <v>6733.7389999999996</v>
      </c>
      <c r="FG22" s="45">
        <v>6733.7389999999996</v>
      </c>
      <c r="FH22" s="45">
        <v>6733.7389999999996</v>
      </c>
      <c r="FI22" s="45">
        <v>6733.7389999999996</v>
      </c>
      <c r="FJ22" s="45">
        <v>6733.7389999999996</v>
      </c>
      <c r="FK22" s="45">
        <v>6733.7389999999996</v>
      </c>
      <c r="FL22" s="45">
        <v>6733.7389999999996</v>
      </c>
      <c r="FM22" s="45">
        <v>6733.7389999999996</v>
      </c>
      <c r="FN22" s="69">
        <v>6733.7389999999996</v>
      </c>
      <c r="FO22" s="45">
        <v>6733.7389999999996</v>
      </c>
      <c r="FP22" s="45">
        <v>6733.7389999999996</v>
      </c>
      <c r="FQ22" s="45">
        <v>6733.7389999999996</v>
      </c>
      <c r="FR22" s="45">
        <v>6733.7389999999996</v>
      </c>
      <c r="FS22" s="45">
        <v>6733.7389999999996</v>
      </c>
      <c r="FT22" s="45">
        <v>6733.7389999999996</v>
      </c>
      <c r="FU22" s="45">
        <v>6733.7389999999996</v>
      </c>
      <c r="FV22" s="45">
        <v>6733.7389999999996</v>
      </c>
      <c r="FW22" s="45">
        <v>6733.7389999999996</v>
      </c>
      <c r="FX22" s="45">
        <v>6733.7389999999996</v>
      </c>
      <c r="FY22" s="45">
        <v>6733.7389999999996</v>
      </c>
      <c r="FZ22" s="69">
        <v>6733.7389999999996</v>
      </c>
      <c r="GA22" s="45">
        <v>6733.7389999999996</v>
      </c>
      <c r="GB22" s="45">
        <v>6733.7389999999996</v>
      </c>
      <c r="GC22" s="45">
        <v>6733.7389999999996</v>
      </c>
      <c r="GD22" s="45">
        <v>6733.7389999999996</v>
      </c>
      <c r="GE22" s="45">
        <v>6733.7389999999996</v>
      </c>
      <c r="GF22" s="45">
        <v>6733.7389999999996</v>
      </c>
      <c r="GG22" s="45">
        <v>6733.7389999999996</v>
      </c>
      <c r="GH22" s="45">
        <v>6733.7389999999996</v>
      </c>
      <c r="GI22" s="45">
        <v>6733.7389999999996</v>
      </c>
      <c r="GJ22" s="45">
        <v>6733.7389999999996</v>
      </c>
      <c r="GK22" s="45">
        <v>6733.7389999999996</v>
      </c>
      <c r="GL22" s="69">
        <v>6733.7389999999996</v>
      </c>
      <c r="GM22" s="45">
        <v>6733.7389999999996</v>
      </c>
      <c r="GN22" s="45">
        <v>6733.7389999999996</v>
      </c>
      <c r="GO22" s="45">
        <v>6733.7389999999996</v>
      </c>
      <c r="GP22" s="45">
        <v>6733.7389999999996</v>
      </c>
      <c r="GQ22" s="45">
        <v>6733.7389999999996</v>
      </c>
      <c r="GS22" s="213"/>
    </row>
    <row r="23" spans="1:201" s="1" customFormat="1" ht="20.149999999999999" customHeight="1" x14ac:dyDescent="0.35">
      <c r="A23" s="31" t="s">
        <v>280</v>
      </c>
      <c r="B23" s="45">
        <v>1.95</v>
      </c>
      <c r="C23" s="45">
        <v>1.95</v>
      </c>
      <c r="D23" s="45">
        <v>1.99</v>
      </c>
      <c r="E23" s="45">
        <v>2.0030000000000001</v>
      </c>
      <c r="F23" s="45">
        <v>2.0089999999999999</v>
      </c>
      <c r="G23" s="45">
        <v>2.0369999999999999</v>
      </c>
      <c r="H23" s="45">
        <v>2.056</v>
      </c>
      <c r="I23" s="45">
        <v>2.0590000000000002</v>
      </c>
      <c r="J23" s="45">
        <v>2.06</v>
      </c>
      <c r="K23" s="45">
        <v>2.0720000000000001</v>
      </c>
      <c r="L23" s="45">
        <v>2.0910000000000002</v>
      </c>
      <c r="M23" s="49">
        <v>2.1019999999999999</v>
      </c>
      <c r="N23" s="50">
        <v>2.1019999999999999</v>
      </c>
      <c r="O23" s="45">
        <v>2.1110000000000002</v>
      </c>
      <c r="P23" s="45">
        <v>2.1259999999999999</v>
      </c>
      <c r="Q23" s="45">
        <v>2.1339999999999999</v>
      </c>
      <c r="R23" s="45">
        <v>2.1859999999999999</v>
      </c>
      <c r="S23" s="45">
        <v>2.23</v>
      </c>
      <c r="T23" s="45">
        <v>2.2469999999999999</v>
      </c>
      <c r="U23" s="45">
        <v>2.2799999999999998</v>
      </c>
      <c r="V23" s="45">
        <v>2.33</v>
      </c>
      <c r="W23" s="45">
        <v>7.2510000000000003</v>
      </c>
      <c r="X23" s="45">
        <v>7.3689999999999998</v>
      </c>
      <c r="Y23" s="49">
        <v>7.5380000000000003</v>
      </c>
      <c r="Z23" s="45">
        <v>7.7220000000000004</v>
      </c>
      <c r="AA23" s="45">
        <v>7.806</v>
      </c>
      <c r="AB23" s="45">
        <v>8.9450000000000003</v>
      </c>
      <c r="AC23" s="45">
        <v>9.0370000000000008</v>
      </c>
      <c r="AD23" s="45">
        <v>9.1180000000000003</v>
      </c>
      <c r="AE23" s="45">
        <v>9.2260000000000009</v>
      </c>
      <c r="AF23" s="45">
        <v>9.327</v>
      </c>
      <c r="AG23" s="45">
        <v>9.7739999999999991</v>
      </c>
      <c r="AH23" s="45">
        <v>10.223000000000001</v>
      </c>
      <c r="AI23" s="45">
        <v>10.978999999999999</v>
      </c>
      <c r="AJ23" s="45">
        <v>13.85</v>
      </c>
      <c r="AK23" s="49">
        <v>14.477</v>
      </c>
      <c r="AL23" s="45">
        <v>18.105</v>
      </c>
      <c r="AM23" s="45">
        <v>59.723999999999997</v>
      </c>
      <c r="AN23" s="45">
        <v>331.01100000000002</v>
      </c>
      <c r="AO23" s="45">
        <v>331.82900000000001</v>
      </c>
      <c r="AP23" s="45">
        <v>345.44400000000002</v>
      </c>
      <c r="AQ23" s="45">
        <v>346.68299999999999</v>
      </c>
      <c r="AR23" s="45">
        <v>348.72500000000002</v>
      </c>
      <c r="AS23" s="45">
        <v>351.50900000000001</v>
      </c>
      <c r="AT23" s="45">
        <v>354.30900000000003</v>
      </c>
      <c r="AU23" s="45">
        <v>356.98200000000003</v>
      </c>
      <c r="AV23" s="45">
        <v>360.41399999999999</v>
      </c>
      <c r="AW23" s="49">
        <v>362.98399999999998</v>
      </c>
      <c r="AX23" s="45">
        <v>366.54</v>
      </c>
      <c r="AY23" s="45">
        <v>409.517</v>
      </c>
      <c r="AZ23" s="45">
        <v>431.02600000000001</v>
      </c>
      <c r="BA23" s="45">
        <v>433.31200000000001</v>
      </c>
      <c r="BB23" s="45">
        <v>436.21800000000002</v>
      </c>
      <c r="BC23" s="45">
        <v>439.98099999999999</v>
      </c>
      <c r="BD23" s="45">
        <v>443.15</v>
      </c>
      <c r="BE23" s="45">
        <v>445.31400000000002</v>
      </c>
      <c r="BF23" s="45">
        <v>447.97899999999998</v>
      </c>
      <c r="BG23" s="45">
        <v>450.971</v>
      </c>
      <c r="BH23" s="45">
        <v>453.31</v>
      </c>
      <c r="BI23" s="49">
        <v>457.48899999999998</v>
      </c>
      <c r="BJ23" s="45">
        <v>466.33300000000003</v>
      </c>
      <c r="BK23" s="45">
        <v>469.065</v>
      </c>
      <c r="BL23" s="45">
        <v>475.51400000000001</v>
      </c>
      <c r="BM23" s="45">
        <v>478.16800000000001</v>
      </c>
      <c r="BN23" s="45">
        <v>485.67500000000001</v>
      </c>
      <c r="BO23" s="45">
        <v>489.005</v>
      </c>
      <c r="BP23" s="45">
        <v>491.61700000000002</v>
      </c>
      <c r="BQ23" s="45">
        <v>496.7</v>
      </c>
      <c r="BR23" s="45">
        <v>508.495</v>
      </c>
      <c r="BS23" s="45">
        <v>512.71699999999998</v>
      </c>
      <c r="BT23" s="45">
        <v>516.33399999999995</v>
      </c>
      <c r="BU23" s="49">
        <v>517.87699999999995</v>
      </c>
      <c r="BV23" s="45">
        <v>523.28800000000001</v>
      </c>
      <c r="BW23" s="45">
        <v>527.03800000000001</v>
      </c>
      <c r="BX23" s="45">
        <v>541.91499999999996</v>
      </c>
      <c r="BY23" s="45">
        <v>545.01599999999996</v>
      </c>
      <c r="BZ23" s="45">
        <v>546.27200000000005</v>
      </c>
      <c r="CA23" s="45">
        <v>549.16</v>
      </c>
      <c r="CB23" s="45">
        <v>551.07000000000005</v>
      </c>
      <c r="CC23" s="45">
        <v>553.33000000000004</v>
      </c>
      <c r="CD23" s="45">
        <v>560.43899999999996</v>
      </c>
      <c r="CE23" s="45">
        <v>560.60199999999998</v>
      </c>
      <c r="CF23" s="45">
        <v>560.87</v>
      </c>
      <c r="CG23" s="124">
        <v>561.11500000000001</v>
      </c>
      <c r="CH23" s="69">
        <v>561.31500000000005</v>
      </c>
      <c r="CI23" s="45">
        <v>561.86</v>
      </c>
      <c r="CJ23" s="45">
        <v>564.12599999999998</v>
      </c>
      <c r="CK23" s="45">
        <v>564.12599999999998</v>
      </c>
      <c r="CL23" s="45">
        <v>564.12599999999998</v>
      </c>
      <c r="CM23" s="45">
        <v>564.12599999999998</v>
      </c>
      <c r="CN23" s="45">
        <v>564.12599999999998</v>
      </c>
      <c r="CO23" s="45">
        <v>564.12599999999998</v>
      </c>
      <c r="CP23" s="45">
        <v>564.12599999999998</v>
      </c>
      <c r="CQ23" s="45">
        <v>564.12599999999998</v>
      </c>
      <c r="CR23" s="45">
        <v>564.12599999999998</v>
      </c>
      <c r="CS23" s="124">
        <v>564.12599999999998</v>
      </c>
      <c r="CT23" s="69">
        <v>564.12599999999998</v>
      </c>
      <c r="CU23" s="45">
        <v>564.12599999999998</v>
      </c>
      <c r="CV23" s="45">
        <v>564.29600000000005</v>
      </c>
      <c r="CW23" s="45">
        <v>564.29600000000005</v>
      </c>
      <c r="CX23" s="45">
        <v>564.29600000000005</v>
      </c>
      <c r="CY23" s="45">
        <v>564.29600000000005</v>
      </c>
      <c r="CZ23" s="45">
        <v>564.29600000000005</v>
      </c>
      <c r="DA23" s="45">
        <v>564.29600000000005</v>
      </c>
      <c r="DB23" s="45">
        <v>564.29600000000005</v>
      </c>
      <c r="DC23" s="45">
        <v>564.29600000000005</v>
      </c>
      <c r="DD23" s="45">
        <v>564.29600000000005</v>
      </c>
      <c r="DE23" s="124">
        <v>564.29600000000005</v>
      </c>
      <c r="DF23" s="69">
        <v>564.29600000000005</v>
      </c>
      <c r="DG23" s="45">
        <v>564.29600000000005</v>
      </c>
      <c r="DH23" s="45">
        <v>564.29600000000005</v>
      </c>
      <c r="DI23" s="45">
        <v>564.29600000000005</v>
      </c>
      <c r="DJ23" s="45">
        <v>564.29600000000005</v>
      </c>
      <c r="DK23" s="45">
        <v>564.29600000000005</v>
      </c>
      <c r="DL23" s="45">
        <v>564.29600000000005</v>
      </c>
      <c r="DM23" s="45">
        <v>564.29600000000005</v>
      </c>
      <c r="DN23" s="45">
        <v>564.29600000000005</v>
      </c>
      <c r="DO23" s="45">
        <v>564.29600000000005</v>
      </c>
      <c r="DP23" s="45">
        <v>564.29600000000005</v>
      </c>
      <c r="DQ23" s="124">
        <v>564.29600000000005</v>
      </c>
      <c r="DR23" s="69">
        <v>564.29600000000005</v>
      </c>
      <c r="DS23" s="45">
        <v>564.29600000000005</v>
      </c>
      <c r="DT23" s="45">
        <v>564.29600000000005</v>
      </c>
      <c r="DU23" s="45">
        <v>564.29600000000005</v>
      </c>
      <c r="DV23" s="45">
        <v>564.29600000000005</v>
      </c>
      <c r="DW23" s="45">
        <v>564.29600000000005</v>
      </c>
      <c r="DX23" s="45">
        <v>564.29600000000005</v>
      </c>
      <c r="DY23" s="45">
        <v>564.29600000000005</v>
      </c>
      <c r="DZ23" s="45">
        <v>564.29600000000005</v>
      </c>
      <c r="EA23" s="45">
        <v>564.29600000000005</v>
      </c>
      <c r="EB23" s="45">
        <v>564.29600000000005</v>
      </c>
      <c r="EC23" s="45">
        <v>564.29600000000005</v>
      </c>
      <c r="ED23" s="69">
        <v>564.29600000000005</v>
      </c>
      <c r="EE23" s="45">
        <v>564.29600000000005</v>
      </c>
      <c r="EF23" s="45">
        <v>564.29600000000005</v>
      </c>
      <c r="EG23" s="45">
        <v>564.29600000000005</v>
      </c>
      <c r="EH23" s="45">
        <v>564.29600000000005</v>
      </c>
      <c r="EI23" s="45">
        <v>564.29600000000005</v>
      </c>
      <c r="EJ23" s="45">
        <v>564.29600000000005</v>
      </c>
      <c r="EK23" s="45">
        <v>564.29600000000005</v>
      </c>
      <c r="EL23" s="45">
        <v>564.29600000000005</v>
      </c>
      <c r="EM23" s="45">
        <v>564.29600000000005</v>
      </c>
      <c r="EN23" s="45">
        <v>564.29600000000005</v>
      </c>
      <c r="EO23" s="45">
        <v>564.29600000000005</v>
      </c>
      <c r="EP23" s="69">
        <v>564.29600000000005</v>
      </c>
      <c r="EQ23" s="45">
        <v>564.29600000000005</v>
      </c>
      <c r="ER23" s="45">
        <v>564.29600000000005</v>
      </c>
      <c r="ES23" s="45">
        <v>564.29600000000005</v>
      </c>
      <c r="ET23" s="45">
        <v>564.29600000000005</v>
      </c>
      <c r="EU23" s="45">
        <v>564.29600000000005</v>
      </c>
      <c r="EV23" s="45">
        <v>564.29600000000005</v>
      </c>
      <c r="EW23" s="45">
        <v>564.29600000000005</v>
      </c>
      <c r="EX23" s="45">
        <v>564.29600000000005</v>
      </c>
      <c r="EY23" s="45">
        <v>564.29600000000005</v>
      </c>
      <c r="EZ23" s="45">
        <v>564.29600000000005</v>
      </c>
      <c r="FA23" s="82">
        <v>564.29600000000005</v>
      </c>
      <c r="FB23" s="45">
        <v>564.29600000000005</v>
      </c>
      <c r="FC23" s="45">
        <v>564.29600000000005</v>
      </c>
      <c r="FD23" s="45">
        <v>564.29600000000005</v>
      </c>
      <c r="FE23" s="45">
        <v>564.29600000000005</v>
      </c>
      <c r="FF23" s="45">
        <v>564.29600000000005</v>
      </c>
      <c r="FG23" s="45">
        <v>564.29600000000005</v>
      </c>
      <c r="FH23" s="45">
        <v>564.29600000000005</v>
      </c>
      <c r="FI23" s="45">
        <v>564.29600000000005</v>
      </c>
      <c r="FJ23" s="45">
        <v>564.29600000000005</v>
      </c>
      <c r="FK23" s="45">
        <v>564.29600000000005</v>
      </c>
      <c r="FL23" s="45">
        <v>564.29600000000005</v>
      </c>
      <c r="FM23" s="45">
        <v>564.29600000000005</v>
      </c>
      <c r="FN23" s="69">
        <v>587.51599999999996</v>
      </c>
      <c r="FO23" s="45">
        <v>587.51599999999996</v>
      </c>
      <c r="FP23" s="45">
        <v>591.98500000000001</v>
      </c>
      <c r="FQ23" s="45">
        <v>591.98500000000001</v>
      </c>
      <c r="FR23" s="45">
        <v>594.08199999999999</v>
      </c>
      <c r="FS23" s="45">
        <v>594.73199999999997</v>
      </c>
      <c r="FT23" s="45">
        <v>594.73199999999997</v>
      </c>
      <c r="FU23" s="45">
        <v>595.45799999999997</v>
      </c>
      <c r="FV23" s="45">
        <v>595.45799999999997</v>
      </c>
      <c r="FW23" s="45">
        <v>619.54</v>
      </c>
      <c r="FX23" s="45">
        <v>619.54</v>
      </c>
      <c r="FY23" s="45">
        <v>619.54</v>
      </c>
      <c r="FZ23" s="69">
        <v>619.54</v>
      </c>
      <c r="GA23" s="45">
        <v>619.54</v>
      </c>
      <c r="GB23" s="45">
        <v>619.54</v>
      </c>
      <c r="GC23" s="45">
        <v>619.54</v>
      </c>
      <c r="GD23" s="45">
        <v>619.54</v>
      </c>
      <c r="GE23" s="45">
        <v>619.54</v>
      </c>
      <c r="GF23" s="45">
        <v>619.54</v>
      </c>
      <c r="GG23" s="45">
        <v>619.54</v>
      </c>
      <c r="GH23" s="45">
        <v>619.54</v>
      </c>
      <c r="GI23" s="45">
        <v>619.54</v>
      </c>
      <c r="GJ23" s="45">
        <v>619.54</v>
      </c>
      <c r="GK23" s="45">
        <v>619.54</v>
      </c>
      <c r="GL23" s="69">
        <v>619.54</v>
      </c>
      <c r="GM23" s="45">
        <v>619.54</v>
      </c>
      <c r="GN23" s="45">
        <v>619.54</v>
      </c>
      <c r="GO23" s="45">
        <v>619.54</v>
      </c>
      <c r="GP23" s="45">
        <v>619.54</v>
      </c>
      <c r="GQ23" s="45">
        <v>619.54</v>
      </c>
      <c r="GR23" s="206"/>
    </row>
    <row r="24" spans="1:201" s="1" customFormat="1" ht="20.149999999999999" customHeight="1" x14ac:dyDescent="0.35">
      <c r="A24" s="31" t="s">
        <v>281</v>
      </c>
      <c r="B24" s="45">
        <v>0</v>
      </c>
      <c r="C24" s="45">
        <v>0</v>
      </c>
      <c r="D24" s="45">
        <v>0</v>
      </c>
      <c r="E24" s="45">
        <v>0</v>
      </c>
      <c r="F24" s="45">
        <v>0</v>
      </c>
      <c r="G24" s="45">
        <v>0</v>
      </c>
      <c r="H24" s="45">
        <v>0</v>
      </c>
      <c r="I24" s="45">
        <v>0</v>
      </c>
      <c r="J24" s="45">
        <v>0</v>
      </c>
      <c r="K24" s="45">
        <v>0</v>
      </c>
      <c r="L24" s="45">
        <v>0</v>
      </c>
      <c r="M24" s="49">
        <v>0</v>
      </c>
      <c r="N24" s="50">
        <v>0</v>
      </c>
      <c r="O24" s="45">
        <v>0</v>
      </c>
      <c r="P24" s="45">
        <v>0</v>
      </c>
      <c r="Q24" s="45">
        <v>0</v>
      </c>
      <c r="R24" s="45">
        <v>0</v>
      </c>
      <c r="S24" s="45">
        <v>0</v>
      </c>
      <c r="T24" s="45">
        <v>0</v>
      </c>
      <c r="U24" s="45">
        <v>0</v>
      </c>
      <c r="V24" s="45">
        <v>0</v>
      </c>
      <c r="W24" s="45">
        <v>0</v>
      </c>
      <c r="X24" s="45">
        <v>0</v>
      </c>
      <c r="Y24" s="49">
        <v>0</v>
      </c>
      <c r="Z24" s="45">
        <v>0</v>
      </c>
      <c r="AA24" s="45">
        <v>0</v>
      </c>
      <c r="AB24" s="45">
        <v>0</v>
      </c>
      <c r="AC24" s="45">
        <v>0</v>
      </c>
      <c r="AD24" s="45">
        <v>0</v>
      </c>
      <c r="AE24" s="45">
        <v>0</v>
      </c>
      <c r="AF24" s="45">
        <v>0</v>
      </c>
      <c r="AG24" s="45">
        <v>0</v>
      </c>
      <c r="AH24" s="45">
        <v>0</v>
      </c>
      <c r="AI24" s="45">
        <v>0</v>
      </c>
      <c r="AJ24" s="45">
        <v>0</v>
      </c>
      <c r="AK24" s="49">
        <v>0</v>
      </c>
      <c r="AL24" s="45">
        <v>0</v>
      </c>
      <c r="AM24" s="45">
        <v>0</v>
      </c>
      <c r="AN24" s="45">
        <v>0</v>
      </c>
      <c r="AO24" s="45">
        <v>0</v>
      </c>
      <c r="AP24" s="45">
        <v>0</v>
      </c>
      <c r="AQ24" s="45">
        <v>0</v>
      </c>
      <c r="AR24" s="45">
        <v>0</v>
      </c>
      <c r="AS24" s="45">
        <v>0</v>
      </c>
      <c r="AT24" s="45">
        <v>0</v>
      </c>
      <c r="AU24" s="45">
        <v>0</v>
      </c>
      <c r="AV24" s="45">
        <v>0</v>
      </c>
      <c r="AW24" s="49">
        <v>0</v>
      </c>
      <c r="AX24" s="45">
        <v>0</v>
      </c>
      <c r="AY24" s="45">
        <v>0</v>
      </c>
      <c r="AZ24" s="45">
        <v>0</v>
      </c>
      <c r="BA24" s="45">
        <v>0</v>
      </c>
      <c r="BB24" s="45">
        <v>0</v>
      </c>
      <c r="BC24" s="45">
        <v>0</v>
      </c>
      <c r="BD24" s="45">
        <v>0</v>
      </c>
      <c r="BE24" s="45">
        <v>0</v>
      </c>
      <c r="BF24" s="45">
        <v>0</v>
      </c>
      <c r="BG24" s="45">
        <v>0</v>
      </c>
      <c r="BH24" s="45">
        <v>0</v>
      </c>
      <c r="BI24" s="49">
        <v>0</v>
      </c>
      <c r="BJ24" s="45">
        <v>0</v>
      </c>
      <c r="BK24" s="45">
        <v>0</v>
      </c>
      <c r="BL24" s="45">
        <v>0</v>
      </c>
      <c r="BM24" s="45">
        <v>0</v>
      </c>
      <c r="BN24" s="45">
        <v>0</v>
      </c>
      <c r="BO24" s="45">
        <v>0</v>
      </c>
      <c r="BP24" s="45">
        <v>0</v>
      </c>
      <c r="BQ24" s="45">
        <v>0</v>
      </c>
      <c r="BR24" s="45">
        <v>0</v>
      </c>
      <c r="BS24" s="45">
        <v>0</v>
      </c>
      <c r="BT24" s="45">
        <v>0</v>
      </c>
      <c r="BU24" s="49">
        <v>0</v>
      </c>
      <c r="BV24" s="45">
        <v>0</v>
      </c>
      <c r="BW24" s="45">
        <v>0</v>
      </c>
      <c r="BX24" s="45">
        <v>0</v>
      </c>
      <c r="BY24" s="45">
        <v>0</v>
      </c>
      <c r="BZ24" s="45">
        <v>0</v>
      </c>
      <c r="CA24" s="45">
        <v>11.94</v>
      </c>
      <c r="CB24" s="45">
        <v>11.94</v>
      </c>
      <c r="CC24" s="45">
        <v>11.94</v>
      </c>
      <c r="CD24" s="45">
        <v>11.94</v>
      </c>
      <c r="CE24" s="45">
        <v>11.94</v>
      </c>
      <c r="CF24" s="45">
        <v>11.94</v>
      </c>
      <c r="CG24" s="124">
        <v>11.94</v>
      </c>
      <c r="CH24" s="69">
        <v>11.94</v>
      </c>
      <c r="CI24" s="45">
        <v>11.94</v>
      </c>
      <c r="CJ24" s="45">
        <v>11.94</v>
      </c>
      <c r="CK24" s="45">
        <v>11.94</v>
      </c>
      <c r="CL24" s="45">
        <v>11.94</v>
      </c>
      <c r="CM24" s="45">
        <v>11.94</v>
      </c>
      <c r="CN24" s="45">
        <v>22.84</v>
      </c>
      <c r="CO24" s="45">
        <v>22.84</v>
      </c>
      <c r="CP24" s="45">
        <v>22.84</v>
      </c>
      <c r="CQ24" s="45">
        <v>22.84</v>
      </c>
      <c r="CR24" s="45">
        <v>22.84</v>
      </c>
      <c r="CS24" s="124">
        <v>22.84</v>
      </c>
      <c r="CT24" s="69">
        <v>22.84</v>
      </c>
      <c r="CU24" s="45">
        <v>22.84</v>
      </c>
      <c r="CV24" s="45">
        <v>22.84</v>
      </c>
      <c r="CW24" s="45">
        <v>22.84</v>
      </c>
      <c r="CX24" s="45">
        <v>22.84</v>
      </c>
      <c r="CY24" s="45">
        <v>22.84</v>
      </c>
      <c r="CZ24" s="45">
        <v>22.84</v>
      </c>
      <c r="DA24" s="45">
        <v>22.84</v>
      </c>
      <c r="DB24" s="45">
        <v>22.84</v>
      </c>
      <c r="DC24" s="45">
        <v>22.84</v>
      </c>
      <c r="DD24" s="45">
        <v>22.84</v>
      </c>
      <c r="DE24" s="124">
        <v>22.84</v>
      </c>
      <c r="DF24" s="69">
        <v>22.84</v>
      </c>
      <c r="DG24" s="45">
        <v>22.84</v>
      </c>
      <c r="DH24" s="45">
        <v>22.84</v>
      </c>
      <c r="DI24" s="45">
        <v>22.84</v>
      </c>
      <c r="DJ24" s="45">
        <v>22.84</v>
      </c>
      <c r="DK24" s="45">
        <v>22.84</v>
      </c>
      <c r="DL24" s="45">
        <v>22.84</v>
      </c>
      <c r="DM24" s="45">
        <v>22.84</v>
      </c>
      <c r="DN24" s="45">
        <v>22.84</v>
      </c>
      <c r="DO24" s="45">
        <v>22.84</v>
      </c>
      <c r="DP24" s="45">
        <v>22.84</v>
      </c>
      <c r="DQ24" s="124">
        <v>22.84</v>
      </c>
      <c r="DR24" s="69">
        <v>22.84</v>
      </c>
      <c r="DS24" s="45">
        <v>22.84</v>
      </c>
      <c r="DT24" s="45">
        <v>22.84</v>
      </c>
      <c r="DU24" s="45">
        <v>22.84</v>
      </c>
      <c r="DV24" s="45">
        <v>22.84</v>
      </c>
      <c r="DW24" s="45">
        <v>22.84</v>
      </c>
      <c r="DX24" s="45">
        <v>22.84</v>
      </c>
      <c r="DY24" s="45">
        <v>22.84</v>
      </c>
      <c r="DZ24" s="45">
        <v>22.84</v>
      </c>
      <c r="EA24" s="45">
        <v>22.84</v>
      </c>
      <c r="EB24" s="45">
        <v>22.84</v>
      </c>
      <c r="EC24" s="45">
        <v>22.84</v>
      </c>
      <c r="ED24" s="69">
        <v>22.84</v>
      </c>
      <c r="EE24" s="45">
        <v>22.84</v>
      </c>
      <c r="EF24" s="45">
        <v>22.84</v>
      </c>
      <c r="EG24" s="45">
        <v>22.84</v>
      </c>
      <c r="EH24" s="45">
        <v>22.84</v>
      </c>
      <c r="EI24" s="45">
        <v>22.84</v>
      </c>
      <c r="EJ24" s="45">
        <v>22.84</v>
      </c>
      <c r="EK24" s="45">
        <v>22.84</v>
      </c>
      <c r="EL24" s="45">
        <v>22.84</v>
      </c>
      <c r="EM24" s="45">
        <v>22.84</v>
      </c>
      <c r="EN24" s="45">
        <v>22.84</v>
      </c>
      <c r="EO24" s="45">
        <v>22.84</v>
      </c>
      <c r="EP24" s="69">
        <v>22.84</v>
      </c>
      <c r="EQ24" s="45">
        <v>22.84</v>
      </c>
      <c r="ER24" s="45">
        <v>22.84</v>
      </c>
      <c r="ES24" s="45">
        <v>22.84</v>
      </c>
      <c r="ET24" s="45">
        <v>22.84</v>
      </c>
      <c r="EU24" s="45">
        <v>22.84</v>
      </c>
      <c r="EV24" s="45">
        <v>22.84</v>
      </c>
      <c r="EW24" s="45">
        <v>22.84</v>
      </c>
      <c r="EX24" s="45">
        <v>22.84</v>
      </c>
      <c r="EY24" s="45">
        <v>22.84</v>
      </c>
      <c r="EZ24" s="45">
        <v>22.84</v>
      </c>
      <c r="FA24" s="82">
        <v>22.84</v>
      </c>
      <c r="FB24" s="45">
        <v>22.84</v>
      </c>
      <c r="FC24" s="45">
        <v>22.84</v>
      </c>
      <c r="FD24" s="45">
        <v>22.84</v>
      </c>
      <c r="FE24" s="45">
        <v>22.84</v>
      </c>
      <c r="FF24" s="45">
        <v>22.84</v>
      </c>
      <c r="FG24" s="45">
        <v>22.84</v>
      </c>
      <c r="FH24" s="45">
        <v>22.84</v>
      </c>
      <c r="FI24" s="45">
        <v>22.84</v>
      </c>
      <c r="FJ24" s="45">
        <v>22.84</v>
      </c>
      <c r="FK24" s="45">
        <v>22.84</v>
      </c>
      <c r="FL24" s="45">
        <v>22.84</v>
      </c>
      <c r="FM24" s="45">
        <v>22.84</v>
      </c>
      <c r="FN24" s="69">
        <v>22.84</v>
      </c>
      <c r="FO24" s="45">
        <v>22.84</v>
      </c>
      <c r="FP24" s="45">
        <v>22.84</v>
      </c>
      <c r="FQ24" s="45">
        <v>22.84</v>
      </c>
      <c r="FR24" s="45">
        <v>22.84</v>
      </c>
      <c r="FS24" s="45">
        <v>22.84</v>
      </c>
      <c r="FT24" s="45">
        <v>22.84</v>
      </c>
      <c r="FU24" s="45">
        <v>22.84</v>
      </c>
      <c r="FV24" s="45">
        <v>22.84</v>
      </c>
      <c r="FW24" s="45">
        <v>22.84</v>
      </c>
      <c r="FX24" s="45">
        <v>22.84</v>
      </c>
      <c r="FY24" s="45">
        <v>22.84</v>
      </c>
      <c r="FZ24" s="69">
        <v>117.316</v>
      </c>
      <c r="GA24" s="45">
        <v>117.316</v>
      </c>
      <c r="GB24" s="45">
        <v>140.316</v>
      </c>
      <c r="GC24" s="45">
        <v>148.316</v>
      </c>
      <c r="GD24" s="45">
        <v>186.57</v>
      </c>
      <c r="GE24" s="45">
        <v>226.63</v>
      </c>
      <c r="GF24" s="45">
        <v>336.63</v>
      </c>
      <c r="GG24" s="45">
        <v>363.33</v>
      </c>
      <c r="GH24" s="45">
        <v>363.33</v>
      </c>
      <c r="GI24" s="45">
        <v>399.42</v>
      </c>
      <c r="GJ24" s="45">
        <v>509.21</v>
      </c>
      <c r="GK24" s="45">
        <v>542.80999999999995</v>
      </c>
      <c r="GL24" s="69">
        <v>622.71</v>
      </c>
      <c r="GM24" s="45">
        <v>622.71</v>
      </c>
      <c r="GN24" s="45">
        <v>697.61</v>
      </c>
      <c r="GO24" s="45">
        <v>852.41</v>
      </c>
      <c r="GP24" s="45">
        <v>852.41</v>
      </c>
      <c r="GQ24" s="45">
        <v>955.995</v>
      </c>
    </row>
    <row r="25" spans="1:201" s="1" customFormat="1" ht="20.149999999999999" customHeight="1" x14ac:dyDescent="0.35">
      <c r="A25" s="33" t="s">
        <v>284</v>
      </c>
      <c r="B25" s="46">
        <v>15.071999999999999</v>
      </c>
      <c r="C25" s="46">
        <v>15.476000000000001</v>
      </c>
      <c r="D25" s="46">
        <v>16.007000000000001</v>
      </c>
      <c r="E25" s="46">
        <v>16.431999999999999</v>
      </c>
      <c r="F25" s="46">
        <v>17.074000000000002</v>
      </c>
      <c r="G25" s="46">
        <v>17.507000000000001</v>
      </c>
      <c r="H25" s="46">
        <v>18.298999999999999</v>
      </c>
      <c r="I25" s="46">
        <v>18.803000000000001</v>
      </c>
      <c r="J25" s="46">
        <v>19.433</v>
      </c>
      <c r="K25" s="46">
        <v>20.302</v>
      </c>
      <c r="L25" s="46">
        <v>21.239000000000001</v>
      </c>
      <c r="M25" s="48">
        <v>21.815999999999999</v>
      </c>
      <c r="N25" s="47">
        <v>22.87</v>
      </c>
      <c r="O25" s="46">
        <v>23.943000000000001</v>
      </c>
      <c r="P25" s="46">
        <v>25.196999999999999</v>
      </c>
      <c r="Q25" s="46">
        <v>26.138000000000002</v>
      </c>
      <c r="R25" s="46">
        <v>27.175999999999998</v>
      </c>
      <c r="S25" s="46">
        <v>28.312999999999999</v>
      </c>
      <c r="T25" s="46">
        <v>29.706</v>
      </c>
      <c r="U25" s="46">
        <v>31.353000000000002</v>
      </c>
      <c r="V25" s="46">
        <v>33.35</v>
      </c>
      <c r="W25" s="46">
        <v>35.820999999999998</v>
      </c>
      <c r="X25" s="46">
        <v>42.389000000000003</v>
      </c>
      <c r="Y25" s="48">
        <v>51.841000000000001</v>
      </c>
      <c r="Z25" s="46">
        <v>58.978999999999999</v>
      </c>
      <c r="AA25" s="46">
        <v>65.346999999999994</v>
      </c>
      <c r="AB25" s="46">
        <v>70.861999999999995</v>
      </c>
      <c r="AC25" s="46">
        <v>72.394999999999996</v>
      </c>
      <c r="AD25" s="46">
        <v>74.352000000000004</v>
      </c>
      <c r="AE25" s="46">
        <v>76.647999999999996</v>
      </c>
      <c r="AF25" s="46">
        <v>82.715999999999994</v>
      </c>
      <c r="AG25" s="46">
        <v>84.037000000000006</v>
      </c>
      <c r="AH25" s="46">
        <v>85.388999999999996</v>
      </c>
      <c r="AI25" s="46">
        <v>87.492999999999995</v>
      </c>
      <c r="AJ25" s="46">
        <v>89.197999999999993</v>
      </c>
      <c r="AK25" s="48">
        <v>90.876999999999995</v>
      </c>
      <c r="AL25" s="46">
        <v>93.16</v>
      </c>
      <c r="AM25" s="46">
        <v>95.070999999999998</v>
      </c>
      <c r="AN25" s="46">
        <v>97.838999999999999</v>
      </c>
      <c r="AO25" s="46">
        <v>100.405</v>
      </c>
      <c r="AP25" s="46">
        <v>102.40600000000001</v>
      </c>
      <c r="AQ25" s="46">
        <v>105.084</v>
      </c>
      <c r="AR25" s="46">
        <v>106.914</v>
      </c>
      <c r="AS25" s="46">
        <v>108.92400000000001</v>
      </c>
      <c r="AT25" s="46">
        <v>111.473</v>
      </c>
      <c r="AU25" s="46">
        <v>114.048</v>
      </c>
      <c r="AV25" s="46">
        <v>117.292</v>
      </c>
      <c r="AW25" s="48">
        <v>131.38300000000001</v>
      </c>
      <c r="AX25" s="46">
        <v>133.55799999999999</v>
      </c>
      <c r="AY25" s="46">
        <v>135.80699999999999</v>
      </c>
      <c r="AZ25" s="46">
        <v>170.79</v>
      </c>
      <c r="BA25" s="46">
        <v>205.14500000000001</v>
      </c>
      <c r="BB25" s="46">
        <v>207.834</v>
      </c>
      <c r="BC25" s="46">
        <v>210.91499999999999</v>
      </c>
      <c r="BD25" s="46">
        <v>214.00399999999999</v>
      </c>
      <c r="BE25" s="46">
        <v>217.322</v>
      </c>
      <c r="BF25" s="46">
        <v>221.49700000000001</v>
      </c>
      <c r="BG25" s="46">
        <v>225.375</v>
      </c>
      <c r="BH25" s="46">
        <v>234.89400000000001</v>
      </c>
      <c r="BI25" s="48">
        <v>238.16300000000001</v>
      </c>
      <c r="BJ25" s="46">
        <v>264.81</v>
      </c>
      <c r="BK25" s="46">
        <v>274.161</v>
      </c>
      <c r="BL25" s="46">
        <v>296.77800000000002</v>
      </c>
      <c r="BM25" s="46">
        <v>300.387</v>
      </c>
      <c r="BN25" s="46">
        <v>307.14100000000002</v>
      </c>
      <c r="BO25" s="46">
        <v>317.834</v>
      </c>
      <c r="BP25" s="46">
        <v>322.697</v>
      </c>
      <c r="BQ25" s="46">
        <v>343.99</v>
      </c>
      <c r="BR25" s="46">
        <v>349.86900000000003</v>
      </c>
      <c r="BS25" s="46">
        <v>356.33699999999999</v>
      </c>
      <c r="BT25" s="46">
        <v>382.42200000000003</v>
      </c>
      <c r="BU25" s="48">
        <v>459.34500000000003</v>
      </c>
      <c r="BV25" s="46">
        <v>490.82100000000003</v>
      </c>
      <c r="BW25" s="46">
        <v>493.60300000000001</v>
      </c>
      <c r="BX25" s="46">
        <v>522.851</v>
      </c>
      <c r="BY25" s="46">
        <v>536.71900000000005</v>
      </c>
      <c r="BZ25" s="46">
        <v>539.38499999999999</v>
      </c>
      <c r="CA25" s="46">
        <v>583.39499999999998</v>
      </c>
      <c r="CB25" s="46">
        <v>601.74599999999998</v>
      </c>
      <c r="CC25" s="46">
        <v>624.22500000000002</v>
      </c>
      <c r="CD25" s="46">
        <v>628.58100000000002</v>
      </c>
      <c r="CE25" s="46">
        <v>632.72700000000009</v>
      </c>
      <c r="CF25" s="46">
        <v>637.13100000000009</v>
      </c>
      <c r="CG25" s="46">
        <v>646.13200000000006</v>
      </c>
      <c r="CH25" s="69">
        <v>661.53899999999999</v>
      </c>
      <c r="CI25" s="45">
        <v>665.02800000000002</v>
      </c>
      <c r="CJ25" s="45">
        <v>725.28800000000001</v>
      </c>
      <c r="CK25" s="45">
        <v>728.495</v>
      </c>
      <c r="CL25" s="45">
        <v>732.0630000000001</v>
      </c>
      <c r="CM25" s="45">
        <v>737.202</v>
      </c>
      <c r="CN25" s="45">
        <v>738.74599999999998</v>
      </c>
      <c r="CO25" s="45">
        <v>742.34499999999991</v>
      </c>
      <c r="CP25" s="45">
        <v>746.38299999999992</v>
      </c>
      <c r="CQ25" s="45">
        <v>761.875</v>
      </c>
      <c r="CR25" s="45">
        <v>766.64799999999991</v>
      </c>
      <c r="CS25" s="124">
        <v>776.12099999999998</v>
      </c>
      <c r="CT25" s="69">
        <v>780.6339999999999</v>
      </c>
      <c r="CU25" s="45">
        <v>784.399</v>
      </c>
      <c r="CV25" s="45">
        <v>789.01</v>
      </c>
      <c r="CW25" s="45">
        <v>793.04</v>
      </c>
      <c r="CX25" s="45">
        <v>805.40199999999993</v>
      </c>
      <c r="CY25" s="45">
        <v>809.93499999999995</v>
      </c>
      <c r="CZ25" s="45">
        <v>814.00099999999998</v>
      </c>
      <c r="DA25" s="45">
        <v>819.32899999999995</v>
      </c>
      <c r="DB25" s="45">
        <v>823.4799999999999</v>
      </c>
      <c r="DC25" s="45">
        <v>837.52599999999995</v>
      </c>
      <c r="DD25" s="46">
        <v>849.53099999999995</v>
      </c>
      <c r="DE25" s="46">
        <v>860.11299999999994</v>
      </c>
      <c r="DF25" s="69">
        <v>867.06099999999992</v>
      </c>
      <c r="DG25" s="45">
        <v>874.53199999999993</v>
      </c>
      <c r="DH25" s="46">
        <v>898.49899999999991</v>
      </c>
      <c r="DI25" s="45">
        <v>912.64299999999992</v>
      </c>
      <c r="DJ25" s="45">
        <v>919.54199999999992</v>
      </c>
      <c r="DK25" s="45">
        <v>928.09899999999993</v>
      </c>
      <c r="DL25" s="46">
        <v>945.42199999999991</v>
      </c>
      <c r="DM25" s="45">
        <v>959.99</v>
      </c>
      <c r="DN25" s="45">
        <v>983.69899999999996</v>
      </c>
      <c r="DO25" s="45">
        <v>996.56599999999992</v>
      </c>
      <c r="DP25" s="45">
        <v>1008.9799999999999</v>
      </c>
      <c r="DQ25" s="46">
        <v>1053.328</v>
      </c>
      <c r="DR25" s="69">
        <v>1135.2659999999998</v>
      </c>
      <c r="DS25" s="45">
        <v>1151.472</v>
      </c>
      <c r="DT25" s="45">
        <v>1165.414</v>
      </c>
      <c r="DU25" s="45">
        <v>1170.4449999999999</v>
      </c>
      <c r="DV25" s="45">
        <v>1184.4449999999999</v>
      </c>
      <c r="DW25" s="45">
        <v>1194.8419999999999</v>
      </c>
      <c r="DX25" s="45">
        <v>1213.961</v>
      </c>
      <c r="DY25" s="45">
        <v>1231.0639999999999</v>
      </c>
      <c r="DZ25" s="45">
        <v>1246.78</v>
      </c>
      <c r="EA25" s="45">
        <v>1265.72</v>
      </c>
      <c r="EB25" s="45">
        <v>1283.808</v>
      </c>
      <c r="EC25" s="45">
        <v>1360.915</v>
      </c>
      <c r="ED25" s="69">
        <v>1382.741</v>
      </c>
      <c r="EE25" s="45">
        <v>1398.1849999999999</v>
      </c>
      <c r="EF25" s="45">
        <v>1533.037</v>
      </c>
      <c r="EG25" s="45">
        <v>1601.576</v>
      </c>
      <c r="EH25" s="45">
        <v>1628.44</v>
      </c>
      <c r="EI25" s="45">
        <v>1663.229</v>
      </c>
      <c r="EJ25" s="45">
        <v>1689.1209999999999</v>
      </c>
      <c r="EK25" s="45">
        <v>1710.8719999999998</v>
      </c>
      <c r="EL25" s="45">
        <v>1741.902</v>
      </c>
      <c r="EM25" s="45">
        <v>1768.287</v>
      </c>
      <c r="EN25" s="45">
        <v>1799.5809999999999</v>
      </c>
      <c r="EO25" s="45">
        <v>1823.575</v>
      </c>
      <c r="EP25" s="69">
        <v>1911.6089999999999</v>
      </c>
      <c r="EQ25" s="45">
        <v>1944.973</v>
      </c>
      <c r="ER25" s="45">
        <v>1998.3429999999998</v>
      </c>
      <c r="ES25" s="45">
        <v>2046.114</v>
      </c>
      <c r="ET25" s="45">
        <v>2106.8690000000001</v>
      </c>
      <c r="EU25" s="45">
        <v>2158.6000000000004</v>
      </c>
      <c r="EV25" s="45">
        <v>2230.3920000000003</v>
      </c>
      <c r="EW25" s="45">
        <v>2286.8160000000003</v>
      </c>
      <c r="EX25" s="45">
        <v>2372.3760000000002</v>
      </c>
      <c r="EY25" s="45">
        <v>2486.9960000000001</v>
      </c>
      <c r="EZ25" s="45">
        <v>2567.7170000000001</v>
      </c>
      <c r="FA25" s="82">
        <v>2691.415</v>
      </c>
      <c r="FB25" s="45">
        <v>3117.71</v>
      </c>
      <c r="FC25" s="45">
        <v>3483.0810000000001</v>
      </c>
      <c r="FD25" s="45">
        <v>4022.7940000000003</v>
      </c>
      <c r="FE25" s="45">
        <v>4112.1660000000002</v>
      </c>
      <c r="FF25" s="45">
        <v>4280.4539999999997</v>
      </c>
      <c r="FG25" s="45">
        <v>4433.1820000000007</v>
      </c>
      <c r="FH25" s="45">
        <v>4521.3250000000007</v>
      </c>
      <c r="FI25" s="45">
        <v>4608.9130000000005</v>
      </c>
      <c r="FJ25" s="45">
        <v>4796.3980000000001</v>
      </c>
      <c r="FK25" s="45">
        <v>4923.8040000000001</v>
      </c>
      <c r="FL25" s="45">
        <v>5047.835</v>
      </c>
      <c r="FM25" s="45">
        <v>5102.6899999999996</v>
      </c>
      <c r="FN25" s="69">
        <v>5235.0999999999995</v>
      </c>
      <c r="FO25" s="45">
        <v>5333.95</v>
      </c>
      <c r="FP25" s="45">
        <v>5567.5700000000006</v>
      </c>
      <c r="FQ25" s="45">
        <v>5695.9160000000002</v>
      </c>
      <c r="FR25" s="45">
        <v>5830.7129999999997</v>
      </c>
      <c r="FS25" s="45">
        <v>5999.2190000000001</v>
      </c>
      <c r="FT25" s="45">
        <v>6143.5510000000004</v>
      </c>
      <c r="FU25" s="45">
        <v>6252.7449999999999</v>
      </c>
      <c r="FV25" s="45">
        <v>6333.5889999999999</v>
      </c>
      <c r="FW25" s="45">
        <v>6676.2699999999995</v>
      </c>
      <c r="FX25" s="45">
        <v>6817.8109999999997</v>
      </c>
      <c r="FY25" s="45">
        <v>6924.2190000000001</v>
      </c>
      <c r="FZ25" s="69">
        <v>7024.5079999999998</v>
      </c>
      <c r="GA25" s="45">
        <v>7127.7020000000002</v>
      </c>
      <c r="GB25" s="45">
        <v>7459.4519999999993</v>
      </c>
      <c r="GC25" s="45">
        <v>7597.8610000000008</v>
      </c>
      <c r="GD25" s="45">
        <v>7701.1949999999997</v>
      </c>
      <c r="GE25" s="45">
        <v>7836.277</v>
      </c>
      <c r="GF25" s="45">
        <v>8303.875</v>
      </c>
      <c r="GG25" s="45">
        <v>8472.7860000000001</v>
      </c>
      <c r="GH25" s="45">
        <v>8627.8649999999998</v>
      </c>
      <c r="GI25" s="45">
        <v>8868.8090000000011</v>
      </c>
      <c r="GJ25" s="45">
        <v>8934.1890000000003</v>
      </c>
      <c r="GK25" s="45">
        <v>9043.5389999999989</v>
      </c>
      <c r="GL25" s="69">
        <v>9055.0049999999992</v>
      </c>
      <c r="GM25" s="45">
        <v>9159.0360000000001</v>
      </c>
      <c r="GN25" s="45">
        <v>9261.130000000001</v>
      </c>
      <c r="GO25" s="45">
        <v>9218.8549999999996</v>
      </c>
      <c r="GP25" s="45">
        <v>9307.7059999999983</v>
      </c>
      <c r="GQ25" s="45">
        <v>9335.8770000000004</v>
      </c>
      <c r="GR25" s="213"/>
    </row>
    <row r="26" spans="1:201" s="25" customFormat="1" ht="20.149999999999999" customHeight="1" thickBot="1" x14ac:dyDescent="0.4">
      <c r="A26" s="135" t="s">
        <v>267</v>
      </c>
      <c r="B26" s="136">
        <f>SUM(B20:B25)</f>
        <v>29.872</v>
      </c>
      <c r="C26" s="137">
        <f t="shared" ref="C26:BN26" si="32">SUM(C20:C25)</f>
        <v>31.288</v>
      </c>
      <c r="D26" s="137">
        <f t="shared" si="32"/>
        <v>33.820999999999998</v>
      </c>
      <c r="E26" s="137">
        <f t="shared" si="32"/>
        <v>36.481999999999999</v>
      </c>
      <c r="F26" s="137">
        <f t="shared" si="32"/>
        <v>40.784999999999997</v>
      </c>
      <c r="G26" s="137">
        <f t="shared" si="32"/>
        <v>46.424999999999997</v>
      </c>
      <c r="H26" s="137">
        <f t="shared" si="32"/>
        <v>52.320999999999998</v>
      </c>
      <c r="I26" s="137">
        <f t="shared" si="32"/>
        <v>58.143999999999991</v>
      </c>
      <c r="J26" s="137">
        <f t="shared" si="32"/>
        <v>65.668000000000006</v>
      </c>
      <c r="K26" s="137">
        <f t="shared" si="32"/>
        <v>75.115000000000009</v>
      </c>
      <c r="L26" s="137">
        <f t="shared" si="32"/>
        <v>85.576999999999998</v>
      </c>
      <c r="M26" s="137">
        <f t="shared" si="32"/>
        <v>93.579000000000008</v>
      </c>
      <c r="N26" s="136">
        <f t="shared" si="32"/>
        <v>104.786</v>
      </c>
      <c r="O26" s="137">
        <f t="shared" si="32"/>
        <v>118.268</v>
      </c>
      <c r="P26" s="137">
        <f t="shared" si="32"/>
        <v>138.18800000000002</v>
      </c>
      <c r="Q26" s="137">
        <f t="shared" si="32"/>
        <v>162.62099999999998</v>
      </c>
      <c r="R26" s="137">
        <f t="shared" si="32"/>
        <v>186.315</v>
      </c>
      <c r="S26" s="137">
        <f t="shared" si="32"/>
        <v>220.30899999999997</v>
      </c>
      <c r="T26" s="137">
        <f t="shared" si="32"/>
        <v>378.15499999999997</v>
      </c>
      <c r="U26" s="137">
        <f t="shared" si="32"/>
        <v>424.11999999999995</v>
      </c>
      <c r="V26" s="137">
        <f t="shared" si="32"/>
        <v>496.08099999999996</v>
      </c>
      <c r="W26" s="137">
        <f t="shared" si="32"/>
        <v>617.72699999999998</v>
      </c>
      <c r="X26" s="137">
        <f t="shared" si="32"/>
        <v>816.34300000000007</v>
      </c>
      <c r="Y26" s="138">
        <f t="shared" si="32"/>
        <v>1010.0690000000001</v>
      </c>
      <c r="Z26" s="137">
        <f t="shared" si="32"/>
        <v>1040.664</v>
      </c>
      <c r="AA26" s="137">
        <f t="shared" si="32"/>
        <v>1215.2890000000002</v>
      </c>
      <c r="AB26" s="137">
        <f t="shared" si="32"/>
        <v>1327.5229999999999</v>
      </c>
      <c r="AC26" s="137">
        <f t="shared" si="32"/>
        <v>1344.915</v>
      </c>
      <c r="AD26" s="137">
        <f t="shared" si="32"/>
        <v>1381.1890000000001</v>
      </c>
      <c r="AE26" s="137">
        <f t="shared" si="32"/>
        <v>1446.4590000000001</v>
      </c>
      <c r="AF26" s="137">
        <f t="shared" si="32"/>
        <v>1642.31</v>
      </c>
      <c r="AG26" s="137">
        <f t="shared" si="32"/>
        <v>1657.7950000000001</v>
      </c>
      <c r="AH26" s="137">
        <f t="shared" si="32"/>
        <v>1677.17</v>
      </c>
      <c r="AI26" s="137">
        <f t="shared" si="32"/>
        <v>1722.3610000000001</v>
      </c>
      <c r="AJ26" s="137">
        <f t="shared" si="32"/>
        <v>1751.77</v>
      </c>
      <c r="AK26" s="138">
        <f t="shared" si="32"/>
        <v>1774.931</v>
      </c>
      <c r="AL26" s="137">
        <f t="shared" si="32"/>
        <v>1804.3810000000001</v>
      </c>
      <c r="AM26" s="137">
        <f t="shared" si="32"/>
        <v>1875.3409999999999</v>
      </c>
      <c r="AN26" s="137">
        <f t="shared" si="32"/>
        <v>2273.3919999999998</v>
      </c>
      <c r="AO26" s="137">
        <f t="shared" si="32"/>
        <v>2335.4160000000002</v>
      </c>
      <c r="AP26" s="137">
        <f t="shared" si="32"/>
        <v>2406.4330000000004</v>
      </c>
      <c r="AQ26" s="137">
        <f t="shared" si="32"/>
        <v>2535.5549999999998</v>
      </c>
      <c r="AR26" s="137">
        <f t="shared" si="32"/>
        <v>2576.5960000000005</v>
      </c>
      <c r="AS26" s="137">
        <f t="shared" si="32"/>
        <v>2646.0309999999999</v>
      </c>
      <c r="AT26" s="137">
        <f t="shared" si="32"/>
        <v>2692.1050000000005</v>
      </c>
      <c r="AU26" s="137">
        <f t="shared" si="32"/>
        <v>2741.0169999999998</v>
      </c>
      <c r="AV26" s="137">
        <f t="shared" si="32"/>
        <v>2846.0129999999995</v>
      </c>
      <c r="AW26" s="138">
        <f t="shared" si="32"/>
        <v>2919.183</v>
      </c>
      <c r="AX26" s="137">
        <f t="shared" si="32"/>
        <v>3045.3759999999997</v>
      </c>
      <c r="AY26" s="137">
        <f t="shared" si="32"/>
        <v>3173.2429999999995</v>
      </c>
      <c r="AZ26" s="137">
        <f t="shared" si="32"/>
        <v>4215.49</v>
      </c>
      <c r="BA26" s="137">
        <f t="shared" si="32"/>
        <v>4302.3650000000007</v>
      </c>
      <c r="BB26" s="137">
        <f t="shared" si="32"/>
        <v>4406.8490000000002</v>
      </c>
      <c r="BC26" s="137">
        <f t="shared" si="32"/>
        <v>4543.3559999999998</v>
      </c>
      <c r="BD26" s="137">
        <f t="shared" si="32"/>
        <v>4711.8889999999992</v>
      </c>
      <c r="BE26" s="137">
        <f t="shared" si="32"/>
        <v>4775.8950000000004</v>
      </c>
      <c r="BF26" s="137">
        <f t="shared" si="32"/>
        <v>4983.3010000000004</v>
      </c>
      <c r="BG26" s="137">
        <f t="shared" si="32"/>
        <v>5151.5439999999999</v>
      </c>
      <c r="BH26" s="137">
        <f t="shared" si="32"/>
        <v>5292.5780000000004</v>
      </c>
      <c r="BI26" s="138">
        <f t="shared" si="32"/>
        <v>5600.4889999999996</v>
      </c>
      <c r="BJ26" s="137">
        <f t="shared" si="32"/>
        <v>5700.5599999999995</v>
      </c>
      <c r="BK26" s="137">
        <f t="shared" si="32"/>
        <v>5865.4569999999994</v>
      </c>
      <c r="BL26" s="137">
        <f t="shared" si="32"/>
        <v>8236.509</v>
      </c>
      <c r="BM26" s="137">
        <f t="shared" si="32"/>
        <v>8288.5720000000001</v>
      </c>
      <c r="BN26" s="137">
        <f t="shared" si="32"/>
        <v>8359.4750000000004</v>
      </c>
      <c r="BO26" s="137">
        <f t="shared" ref="BO26:DZ26" si="33">SUM(BO20:BO25)</f>
        <v>8495.4619999999995</v>
      </c>
      <c r="BP26" s="137">
        <f t="shared" si="33"/>
        <v>8582.8940000000002</v>
      </c>
      <c r="BQ26" s="137">
        <f t="shared" si="33"/>
        <v>8704.8169999999991</v>
      </c>
      <c r="BR26" s="137">
        <f t="shared" si="33"/>
        <v>8843.8160000000007</v>
      </c>
      <c r="BS26" s="137">
        <f t="shared" si="33"/>
        <v>9014.7479999999996</v>
      </c>
      <c r="BT26" s="137">
        <f t="shared" si="33"/>
        <v>9226.1830000000009</v>
      </c>
      <c r="BU26" s="138">
        <f t="shared" si="33"/>
        <v>9909.3269999999993</v>
      </c>
      <c r="BV26" s="137">
        <f t="shared" si="33"/>
        <v>10074.853000000001</v>
      </c>
      <c r="BW26" s="137">
        <f t="shared" si="33"/>
        <v>10180.482</v>
      </c>
      <c r="BX26" s="137">
        <f t="shared" si="33"/>
        <v>11350.250000000002</v>
      </c>
      <c r="BY26" s="137">
        <f t="shared" si="33"/>
        <v>11423.096000000001</v>
      </c>
      <c r="BZ26" s="137">
        <f t="shared" si="33"/>
        <v>11472.438</v>
      </c>
      <c r="CA26" s="137">
        <f t="shared" si="33"/>
        <v>11692.073</v>
      </c>
      <c r="CB26" s="137">
        <f t="shared" si="33"/>
        <v>11734.671</v>
      </c>
      <c r="CC26" s="137">
        <f t="shared" si="33"/>
        <v>11797.710000000001</v>
      </c>
      <c r="CD26" s="137">
        <f t="shared" si="33"/>
        <v>11848.584000000001</v>
      </c>
      <c r="CE26" s="137">
        <f t="shared" si="33"/>
        <v>11889.192000000001</v>
      </c>
      <c r="CF26" s="137">
        <f t="shared" si="33"/>
        <v>11931.338000000002</v>
      </c>
      <c r="CG26" s="137">
        <f t="shared" si="33"/>
        <v>12007.914999999999</v>
      </c>
      <c r="CH26" s="139">
        <f t="shared" si="33"/>
        <v>12046.727000000003</v>
      </c>
      <c r="CI26" s="137">
        <f t="shared" si="33"/>
        <v>12140.293000000001</v>
      </c>
      <c r="CJ26" s="137">
        <f t="shared" si="33"/>
        <v>12701.838000000002</v>
      </c>
      <c r="CK26" s="137">
        <f t="shared" si="33"/>
        <v>12720.863000000001</v>
      </c>
      <c r="CL26" s="137">
        <f t="shared" si="33"/>
        <v>12738.696</v>
      </c>
      <c r="CM26" s="137">
        <f t="shared" si="33"/>
        <v>12755.84</v>
      </c>
      <c r="CN26" s="137">
        <f t="shared" si="33"/>
        <v>12784.572</v>
      </c>
      <c r="CO26" s="137">
        <f t="shared" si="33"/>
        <v>12802.018999999998</v>
      </c>
      <c r="CP26" s="137">
        <f t="shared" si="33"/>
        <v>12818.813</v>
      </c>
      <c r="CQ26" s="137">
        <f t="shared" si="33"/>
        <v>12843.501</v>
      </c>
      <c r="CR26" s="137">
        <f t="shared" si="33"/>
        <v>12859.422999999999</v>
      </c>
      <c r="CS26" s="137">
        <f t="shared" si="33"/>
        <v>12882.91</v>
      </c>
      <c r="CT26" s="139">
        <f t="shared" si="33"/>
        <v>12922.321000000002</v>
      </c>
      <c r="CU26" s="137">
        <f t="shared" si="33"/>
        <v>12939.790999999999</v>
      </c>
      <c r="CV26" s="137">
        <f t="shared" si="33"/>
        <v>12980.75</v>
      </c>
      <c r="CW26" s="137">
        <f t="shared" si="33"/>
        <v>13007.66</v>
      </c>
      <c r="CX26" s="137">
        <f t="shared" si="33"/>
        <v>13030.487000000001</v>
      </c>
      <c r="CY26" s="137">
        <f t="shared" si="33"/>
        <v>13050.975999999999</v>
      </c>
      <c r="CZ26" s="137">
        <f t="shared" si="33"/>
        <v>13066.464</v>
      </c>
      <c r="DA26" s="137">
        <f t="shared" si="33"/>
        <v>13083.630999999999</v>
      </c>
      <c r="DB26" s="137">
        <f t="shared" si="33"/>
        <v>13100.923000000001</v>
      </c>
      <c r="DC26" s="137">
        <f t="shared" si="33"/>
        <v>13127.019</v>
      </c>
      <c r="DD26" s="137">
        <f t="shared" si="33"/>
        <v>13154.150000000001</v>
      </c>
      <c r="DE26" s="137">
        <f t="shared" si="33"/>
        <v>13183.578</v>
      </c>
      <c r="DF26" s="139">
        <f t="shared" si="33"/>
        <v>13207.521000000001</v>
      </c>
      <c r="DG26" s="137">
        <f t="shared" si="33"/>
        <v>13239.837</v>
      </c>
      <c r="DH26" s="137">
        <f t="shared" si="33"/>
        <v>13327.347</v>
      </c>
      <c r="DI26" s="137">
        <f t="shared" si="33"/>
        <v>13345.644999999999</v>
      </c>
      <c r="DJ26" s="137">
        <f t="shared" si="33"/>
        <v>13353.326999999999</v>
      </c>
      <c r="DK26" s="137">
        <f t="shared" si="33"/>
        <v>13363.651</v>
      </c>
      <c r="DL26" s="137">
        <f t="shared" si="33"/>
        <v>13382.358</v>
      </c>
      <c r="DM26" s="137">
        <f t="shared" si="33"/>
        <v>13399.242999999999</v>
      </c>
      <c r="DN26" s="137">
        <f t="shared" si="33"/>
        <v>13425.636</v>
      </c>
      <c r="DO26" s="137">
        <f t="shared" si="33"/>
        <v>13438.847000000002</v>
      </c>
      <c r="DP26" s="137">
        <f t="shared" si="33"/>
        <v>13451.723</v>
      </c>
      <c r="DQ26" s="137">
        <f t="shared" si="33"/>
        <v>13496.441999999999</v>
      </c>
      <c r="DR26" s="139">
        <f t="shared" si="33"/>
        <v>13579.003999999999</v>
      </c>
      <c r="DS26" s="137">
        <f t="shared" si="33"/>
        <v>13596.037</v>
      </c>
      <c r="DT26" s="137">
        <f t="shared" si="33"/>
        <v>13612.189</v>
      </c>
      <c r="DU26" s="137">
        <f t="shared" si="33"/>
        <v>13617.22</v>
      </c>
      <c r="DV26" s="137">
        <f t="shared" si="33"/>
        <v>13631.22</v>
      </c>
      <c r="DW26" s="137">
        <f t="shared" si="33"/>
        <v>13641.646999999999</v>
      </c>
      <c r="DX26" s="137">
        <f t="shared" si="33"/>
        <v>13660.796</v>
      </c>
      <c r="DY26" s="137">
        <f t="shared" si="33"/>
        <v>13678.127</v>
      </c>
      <c r="DZ26" s="137">
        <f t="shared" si="33"/>
        <v>13694.056</v>
      </c>
      <c r="EA26" s="137">
        <f t="shared" ref="EA26:FA26" si="34">SUM(EA20:EA25)</f>
        <v>13713.003999999999</v>
      </c>
      <c r="EB26" s="137">
        <f t="shared" si="34"/>
        <v>13731.092000000001</v>
      </c>
      <c r="EC26" s="137">
        <f t="shared" si="34"/>
        <v>13808.258999999998</v>
      </c>
      <c r="ED26" s="139">
        <f t="shared" si="34"/>
        <v>13830.134999999998</v>
      </c>
      <c r="EE26" s="137">
        <f t="shared" si="34"/>
        <v>13845.578999999998</v>
      </c>
      <c r="EF26" s="137">
        <f t="shared" si="34"/>
        <v>13980.430999999999</v>
      </c>
      <c r="EG26" s="137">
        <f t="shared" si="34"/>
        <v>14048.969999999998</v>
      </c>
      <c r="EH26" s="137">
        <f t="shared" si="34"/>
        <v>14075.833999999999</v>
      </c>
      <c r="EI26" s="137">
        <f t="shared" si="34"/>
        <v>14110.622999999998</v>
      </c>
      <c r="EJ26" s="137">
        <f t="shared" si="34"/>
        <v>14136.514999999998</v>
      </c>
      <c r="EK26" s="137">
        <f t="shared" si="34"/>
        <v>14158.265999999998</v>
      </c>
      <c r="EL26" s="137">
        <f t="shared" si="34"/>
        <v>14189.295999999998</v>
      </c>
      <c r="EM26" s="137">
        <f t="shared" si="34"/>
        <v>14215.680999999999</v>
      </c>
      <c r="EN26" s="137">
        <f t="shared" si="34"/>
        <v>14246.974999999999</v>
      </c>
      <c r="EO26" s="137">
        <f t="shared" si="34"/>
        <v>14270.968999999999</v>
      </c>
      <c r="EP26" s="139">
        <f t="shared" si="34"/>
        <v>14359.002999999999</v>
      </c>
      <c r="EQ26" s="137">
        <f t="shared" si="34"/>
        <v>14392.366999999998</v>
      </c>
      <c r="ER26" s="137">
        <f t="shared" si="34"/>
        <v>14445.736999999997</v>
      </c>
      <c r="ES26" s="137">
        <f t="shared" si="34"/>
        <v>14493.507999999998</v>
      </c>
      <c r="ET26" s="137">
        <f t="shared" si="34"/>
        <v>14554.262999999999</v>
      </c>
      <c r="EU26" s="137">
        <f t="shared" si="34"/>
        <v>14605.993999999999</v>
      </c>
      <c r="EV26" s="137">
        <f t="shared" si="34"/>
        <v>14677.785999999998</v>
      </c>
      <c r="EW26" s="137">
        <f t="shared" si="34"/>
        <v>14734.21</v>
      </c>
      <c r="EX26" s="137">
        <f t="shared" si="34"/>
        <v>14819.769999999999</v>
      </c>
      <c r="EY26" s="137">
        <f t="shared" si="34"/>
        <v>14934.39</v>
      </c>
      <c r="EZ26" s="137">
        <f t="shared" si="34"/>
        <v>15015.110999999999</v>
      </c>
      <c r="FA26" s="140">
        <f t="shared" si="34"/>
        <v>15138.808999999997</v>
      </c>
      <c r="FB26" s="137">
        <f t="shared" ref="FB26" si="35">SUM(FB20:FB25)</f>
        <v>15565.103999999999</v>
      </c>
      <c r="FC26" s="137">
        <f t="shared" ref="FC26" si="36">SUM(FC20:FC25)</f>
        <v>15930.474999999999</v>
      </c>
      <c r="FD26" s="137">
        <f t="shared" ref="FD26:FG26" si="37">SUM(FD20:FD25)</f>
        <v>16470.187999999998</v>
      </c>
      <c r="FE26" s="137">
        <f t="shared" si="37"/>
        <v>16559.559999999998</v>
      </c>
      <c r="FF26" s="137">
        <f t="shared" si="37"/>
        <v>16727.847999999998</v>
      </c>
      <c r="FG26" s="137">
        <f t="shared" si="37"/>
        <v>16880.576000000001</v>
      </c>
      <c r="FH26" s="137">
        <f t="shared" ref="FH26:FJ26" si="38">SUM(FH20:FH25)</f>
        <v>16968.718999999997</v>
      </c>
      <c r="FI26" s="137">
        <f t="shared" si="38"/>
        <v>17056.307000000001</v>
      </c>
      <c r="FJ26" s="137">
        <f t="shared" si="38"/>
        <v>17243.791999999998</v>
      </c>
      <c r="FK26" s="137">
        <f t="shared" ref="FK26:FV26" si="39">SUM(FK20:FK25)</f>
        <v>17371.197999999997</v>
      </c>
      <c r="FL26" s="137">
        <f t="shared" si="39"/>
        <v>17495.228999999999</v>
      </c>
      <c r="FM26" s="137">
        <f t="shared" si="39"/>
        <v>17550.083999999999</v>
      </c>
      <c r="FN26" s="139">
        <f t="shared" si="39"/>
        <v>17705.713999999996</v>
      </c>
      <c r="FO26" s="137">
        <f t="shared" si="39"/>
        <v>17804.563999999998</v>
      </c>
      <c r="FP26" s="137">
        <f t="shared" si="39"/>
        <v>18042.652999999998</v>
      </c>
      <c r="FQ26" s="137">
        <f t="shared" si="39"/>
        <v>18170.999</v>
      </c>
      <c r="FR26" s="137">
        <f t="shared" si="39"/>
        <v>18307.892999999996</v>
      </c>
      <c r="FS26" s="137">
        <f t="shared" si="39"/>
        <v>18477.048999999999</v>
      </c>
      <c r="FT26" s="137">
        <f t="shared" si="39"/>
        <v>18621.380999999998</v>
      </c>
      <c r="FU26" s="137">
        <f t="shared" si="39"/>
        <v>18731.300999999999</v>
      </c>
      <c r="FV26" s="137">
        <f t="shared" si="39"/>
        <v>18812.144999999997</v>
      </c>
      <c r="FW26" s="137">
        <f t="shared" ref="FW26:FY26" si="40">SUM(FW20:FW25)</f>
        <v>19178.907999999999</v>
      </c>
      <c r="FX26" s="137">
        <f t="shared" si="40"/>
        <v>19320.449000000001</v>
      </c>
      <c r="FY26" s="137">
        <f t="shared" si="40"/>
        <v>19426.857</v>
      </c>
      <c r="FZ26" s="139">
        <f t="shared" ref="FZ26:GB26" si="41">SUM(FZ20:FZ25)</f>
        <v>19621.621999999999</v>
      </c>
      <c r="GA26" s="137">
        <f t="shared" si="41"/>
        <v>19724.815999999999</v>
      </c>
      <c r="GB26" s="137">
        <f t="shared" si="41"/>
        <v>20079.565999999999</v>
      </c>
      <c r="GC26" s="137">
        <f t="shared" ref="GC26:GG26" si="42">SUM(GC20:GC25)</f>
        <v>20225.974999999999</v>
      </c>
      <c r="GD26" s="137">
        <f t="shared" si="42"/>
        <v>20367.562999999998</v>
      </c>
      <c r="GE26" s="137">
        <f t="shared" si="42"/>
        <v>20542.704999999998</v>
      </c>
      <c r="GF26" s="137">
        <f t="shared" si="42"/>
        <v>21120.303</v>
      </c>
      <c r="GG26" s="137">
        <f t="shared" si="42"/>
        <v>21315.913999999997</v>
      </c>
      <c r="GH26" s="137">
        <f t="shared" ref="GH26:GI26" si="43">SUM(GH20:GH25)</f>
        <v>21470.992999999999</v>
      </c>
      <c r="GI26" s="137">
        <f t="shared" si="43"/>
        <v>21748.027000000002</v>
      </c>
      <c r="GJ26" s="137">
        <f t="shared" ref="GJ26:GK26" si="44">SUM(GJ20:GJ25)</f>
        <v>21923.197</v>
      </c>
      <c r="GK26" s="137">
        <f t="shared" si="44"/>
        <v>22066.146999999997</v>
      </c>
      <c r="GL26" s="139">
        <f t="shared" ref="GL26:GM26" si="45">SUM(GL20:GL25)</f>
        <v>22157.512999999999</v>
      </c>
      <c r="GM26" s="137">
        <f t="shared" si="45"/>
        <v>22261.543999999998</v>
      </c>
      <c r="GN26" s="137">
        <f t="shared" ref="GN26:GO26" si="46">SUM(GN20:GN25)</f>
        <v>22438.538</v>
      </c>
      <c r="GO26" s="137">
        <f t="shared" si="46"/>
        <v>22551.062999999998</v>
      </c>
      <c r="GP26" s="137">
        <f t="shared" ref="GP26:GQ26" si="47">SUM(GP20:GP25)</f>
        <v>22639.913999999997</v>
      </c>
      <c r="GQ26" s="137">
        <f t="shared" si="47"/>
        <v>22771.67</v>
      </c>
    </row>
    <row r="27" spans="1:201" s="25" customFormat="1" ht="20.149999999999999" customHeight="1" x14ac:dyDescent="0.35">
      <c r="A27" s="35"/>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134"/>
      <c r="DS27" s="134"/>
      <c r="DT27" s="134"/>
      <c r="DU27" s="134"/>
      <c r="DV27" s="134"/>
      <c r="DW27" s="134"/>
      <c r="DX27" s="134"/>
      <c r="DY27" s="134"/>
      <c r="DZ27" s="134"/>
      <c r="EA27" s="134"/>
      <c r="EB27" s="134"/>
      <c r="EC27" s="134"/>
      <c r="ED27" s="134"/>
      <c r="EE27" s="134"/>
      <c r="EF27" s="134"/>
      <c r="EG27" s="134"/>
      <c r="EH27" s="134"/>
      <c r="EI27" s="134"/>
      <c r="EJ27" s="134"/>
      <c r="EK27" s="134"/>
      <c r="EL27" s="134"/>
      <c r="EM27" s="134"/>
      <c r="EN27" s="134"/>
      <c r="EO27" s="134"/>
      <c r="EP27" s="134"/>
      <c r="EQ27" s="134"/>
      <c r="ER27" s="134"/>
      <c r="ES27" s="134"/>
      <c r="ET27" s="134"/>
      <c r="EU27" s="134"/>
      <c r="EV27" s="134"/>
      <c r="EW27" s="134"/>
      <c r="EX27" s="134"/>
      <c r="EY27" s="134"/>
      <c r="EZ27" s="134"/>
      <c r="FA27" s="134"/>
      <c r="GQ27" s="211"/>
    </row>
    <row r="28" spans="1:201" s="1" customFormat="1" ht="30.65" customHeight="1" x14ac:dyDescent="0.35">
      <c r="A28" s="144" t="s">
        <v>272</v>
      </c>
      <c r="B28" s="145" t="s">
        <v>76</v>
      </c>
      <c r="C28" s="43" t="s">
        <v>77</v>
      </c>
      <c r="D28" s="43" t="s">
        <v>78</v>
      </c>
      <c r="E28" s="43" t="s">
        <v>79</v>
      </c>
      <c r="F28" s="43" t="s">
        <v>80</v>
      </c>
      <c r="G28" s="43" t="s">
        <v>81</v>
      </c>
      <c r="H28" s="43" t="s">
        <v>82</v>
      </c>
      <c r="I28" s="43" t="s">
        <v>83</v>
      </c>
      <c r="J28" s="43" t="s">
        <v>84</v>
      </c>
      <c r="K28" s="43" t="s">
        <v>85</v>
      </c>
      <c r="L28" s="43" t="s">
        <v>86</v>
      </c>
      <c r="M28" s="43" t="s">
        <v>87</v>
      </c>
      <c r="N28" s="145" t="s">
        <v>88</v>
      </c>
      <c r="O28" s="43" t="s">
        <v>89</v>
      </c>
      <c r="P28" s="43" t="s">
        <v>90</v>
      </c>
      <c r="Q28" s="43" t="s">
        <v>91</v>
      </c>
      <c r="R28" s="43" t="s">
        <v>92</v>
      </c>
      <c r="S28" s="43" t="s">
        <v>93</v>
      </c>
      <c r="T28" s="43" t="s">
        <v>94</v>
      </c>
      <c r="U28" s="43" t="s">
        <v>95</v>
      </c>
      <c r="V28" s="43" t="s">
        <v>96</v>
      </c>
      <c r="W28" s="43" t="s">
        <v>97</v>
      </c>
      <c r="X28" s="43" t="s">
        <v>98</v>
      </c>
      <c r="Y28" s="146" t="s">
        <v>99</v>
      </c>
      <c r="Z28" s="43" t="s">
        <v>100</v>
      </c>
      <c r="AA28" s="43" t="s">
        <v>101</v>
      </c>
      <c r="AB28" s="43" t="s">
        <v>102</v>
      </c>
      <c r="AC28" s="43" t="s">
        <v>103</v>
      </c>
      <c r="AD28" s="43" t="s">
        <v>104</v>
      </c>
      <c r="AE28" s="43" t="s">
        <v>105</v>
      </c>
      <c r="AF28" s="43" t="s">
        <v>106</v>
      </c>
      <c r="AG28" s="43" t="s">
        <v>107</v>
      </c>
      <c r="AH28" s="43" t="s">
        <v>108</v>
      </c>
      <c r="AI28" s="43" t="s">
        <v>109</v>
      </c>
      <c r="AJ28" s="43" t="s">
        <v>110</v>
      </c>
      <c r="AK28" s="146" t="s">
        <v>111</v>
      </c>
      <c r="AL28" s="43" t="s">
        <v>112</v>
      </c>
      <c r="AM28" s="43" t="s">
        <v>113</v>
      </c>
      <c r="AN28" s="43" t="s">
        <v>114</v>
      </c>
      <c r="AO28" s="43" t="s">
        <v>115</v>
      </c>
      <c r="AP28" s="43" t="s">
        <v>116</v>
      </c>
      <c r="AQ28" s="43" t="s">
        <v>117</v>
      </c>
      <c r="AR28" s="43" t="s">
        <v>118</v>
      </c>
      <c r="AS28" s="43" t="s">
        <v>119</v>
      </c>
      <c r="AT28" s="43" t="s">
        <v>120</v>
      </c>
      <c r="AU28" s="43" t="s">
        <v>121</v>
      </c>
      <c r="AV28" s="43" t="s">
        <v>122</v>
      </c>
      <c r="AW28" s="146" t="s">
        <v>123</v>
      </c>
      <c r="AX28" s="43" t="s">
        <v>124</v>
      </c>
      <c r="AY28" s="43" t="s">
        <v>125</v>
      </c>
      <c r="AZ28" s="43" t="s">
        <v>126</v>
      </c>
      <c r="BA28" s="43" t="s">
        <v>127</v>
      </c>
      <c r="BB28" s="43" t="s">
        <v>128</v>
      </c>
      <c r="BC28" s="43" t="s">
        <v>129</v>
      </c>
      <c r="BD28" s="43" t="s">
        <v>130</v>
      </c>
      <c r="BE28" s="43" t="s">
        <v>131</v>
      </c>
      <c r="BF28" s="43" t="s">
        <v>132</v>
      </c>
      <c r="BG28" s="43" t="s">
        <v>133</v>
      </c>
      <c r="BH28" s="43" t="s">
        <v>134</v>
      </c>
      <c r="BI28" s="146" t="s">
        <v>135</v>
      </c>
      <c r="BJ28" s="43" t="s">
        <v>136</v>
      </c>
      <c r="BK28" s="43" t="s">
        <v>137</v>
      </c>
      <c r="BL28" s="43" t="s">
        <v>138</v>
      </c>
      <c r="BM28" s="43" t="s">
        <v>139</v>
      </c>
      <c r="BN28" s="43" t="s">
        <v>140</v>
      </c>
      <c r="BO28" s="43" t="s">
        <v>141</v>
      </c>
      <c r="BP28" s="43" t="s">
        <v>142</v>
      </c>
      <c r="BQ28" s="43" t="s">
        <v>143</v>
      </c>
      <c r="BR28" s="43" t="s">
        <v>144</v>
      </c>
      <c r="BS28" s="43" t="s">
        <v>145</v>
      </c>
      <c r="BT28" s="43" t="s">
        <v>146</v>
      </c>
      <c r="BU28" s="146" t="s">
        <v>147</v>
      </c>
      <c r="BV28" s="43" t="s">
        <v>148</v>
      </c>
      <c r="BW28" s="43" t="s">
        <v>149</v>
      </c>
      <c r="BX28" s="43" t="s">
        <v>150</v>
      </c>
      <c r="BY28" s="43" t="s">
        <v>151</v>
      </c>
      <c r="BZ28" s="43" t="s">
        <v>152</v>
      </c>
      <c r="CA28" s="43" t="s">
        <v>153</v>
      </c>
      <c r="CB28" s="43" t="s">
        <v>154</v>
      </c>
      <c r="CC28" s="43" t="s">
        <v>155</v>
      </c>
      <c r="CD28" s="43" t="s">
        <v>156</v>
      </c>
      <c r="CE28" s="43" t="s">
        <v>157</v>
      </c>
      <c r="CF28" s="43" t="s">
        <v>158</v>
      </c>
      <c r="CG28" s="146" t="s">
        <v>159</v>
      </c>
      <c r="CH28" s="43" t="s">
        <v>160</v>
      </c>
      <c r="CI28" s="43" t="s">
        <v>161</v>
      </c>
      <c r="CJ28" s="43" t="s">
        <v>162</v>
      </c>
      <c r="CK28" s="43" t="s">
        <v>163</v>
      </c>
      <c r="CL28" s="43" t="s">
        <v>164</v>
      </c>
      <c r="CM28" s="43" t="s">
        <v>165</v>
      </c>
      <c r="CN28" s="43" t="s">
        <v>166</v>
      </c>
      <c r="CO28" s="43" t="s">
        <v>167</v>
      </c>
      <c r="CP28" s="43" t="s">
        <v>168</v>
      </c>
      <c r="CQ28" s="43" t="s">
        <v>169</v>
      </c>
      <c r="CR28" s="43" t="s">
        <v>170</v>
      </c>
      <c r="CS28" s="146" t="s">
        <v>171</v>
      </c>
      <c r="CT28" s="43" t="s">
        <v>172</v>
      </c>
      <c r="CU28" s="43" t="s">
        <v>173</v>
      </c>
      <c r="CV28" s="43" t="s">
        <v>174</v>
      </c>
      <c r="CW28" s="43" t="s">
        <v>175</v>
      </c>
      <c r="CX28" s="43" t="s">
        <v>176</v>
      </c>
      <c r="CY28" s="43" t="s">
        <v>177</v>
      </c>
      <c r="CZ28" s="43" t="s">
        <v>178</v>
      </c>
      <c r="DA28" s="43" t="s">
        <v>179</v>
      </c>
      <c r="DB28" s="43" t="s">
        <v>180</v>
      </c>
      <c r="DC28" s="43" t="s">
        <v>181</v>
      </c>
      <c r="DD28" s="43" t="s">
        <v>182</v>
      </c>
      <c r="DE28" s="146" t="s">
        <v>183</v>
      </c>
      <c r="DF28" s="43" t="s">
        <v>184</v>
      </c>
      <c r="DG28" s="43" t="s">
        <v>185</v>
      </c>
      <c r="DH28" s="43" t="s">
        <v>186</v>
      </c>
      <c r="DI28" s="43" t="s">
        <v>187</v>
      </c>
      <c r="DJ28" s="43" t="s">
        <v>188</v>
      </c>
      <c r="DK28" s="43" t="s">
        <v>189</v>
      </c>
      <c r="DL28" s="43" t="s">
        <v>190</v>
      </c>
      <c r="DM28" s="43" t="s">
        <v>191</v>
      </c>
      <c r="DN28" s="43" t="s">
        <v>192</v>
      </c>
      <c r="DO28" s="43" t="s">
        <v>193</v>
      </c>
      <c r="DP28" s="43" t="s">
        <v>194</v>
      </c>
      <c r="DQ28" s="146" t="s">
        <v>195</v>
      </c>
      <c r="DR28" s="43" t="s">
        <v>196</v>
      </c>
      <c r="DS28" s="43" t="s">
        <v>197</v>
      </c>
      <c r="DT28" s="43" t="s">
        <v>198</v>
      </c>
      <c r="DU28" s="43" t="s">
        <v>199</v>
      </c>
      <c r="DV28" s="43" t="s">
        <v>200</v>
      </c>
      <c r="DW28" s="43" t="s">
        <v>201</v>
      </c>
      <c r="DX28" s="43" t="s">
        <v>202</v>
      </c>
      <c r="DY28" s="43" t="s">
        <v>203</v>
      </c>
      <c r="DZ28" s="43" t="s">
        <v>204</v>
      </c>
      <c r="EA28" s="43" t="s">
        <v>205</v>
      </c>
      <c r="EB28" s="43" t="s">
        <v>206</v>
      </c>
      <c r="EC28" s="146" t="s">
        <v>207</v>
      </c>
      <c r="ED28" s="43" t="s">
        <v>208</v>
      </c>
      <c r="EE28" s="43" t="s">
        <v>209</v>
      </c>
      <c r="EF28" s="43" t="s">
        <v>210</v>
      </c>
      <c r="EG28" s="43" t="s">
        <v>211</v>
      </c>
      <c r="EH28" s="43" t="s">
        <v>212</v>
      </c>
      <c r="EI28" s="43" t="s">
        <v>213</v>
      </c>
      <c r="EJ28" s="43" t="s">
        <v>275</v>
      </c>
      <c r="EK28" s="43" t="s">
        <v>215</v>
      </c>
      <c r="EL28" s="43" t="s">
        <v>216</v>
      </c>
      <c r="EM28" s="43" t="s">
        <v>217</v>
      </c>
      <c r="EN28" s="43" t="s">
        <v>218</v>
      </c>
      <c r="EO28" s="43" t="s">
        <v>231</v>
      </c>
      <c r="EP28" s="147" t="s">
        <v>220</v>
      </c>
      <c r="EQ28" s="43" t="s">
        <v>221</v>
      </c>
      <c r="ER28" s="43" t="s">
        <v>222</v>
      </c>
      <c r="ES28" s="43" t="s">
        <v>223</v>
      </c>
      <c r="ET28" s="43" t="s">
        <v>224</v>
      </c>
      <c r="EU28" s="43" t="s">
        <v>225</v>
      </c>
      <c r="EV28" s="43" t="s">
        <v>226</v>
      </c>
      <c r="EW28" s="43" t="s">
        <v>276</v>
      </c>
      <c r="EX28" s="43" t="s">
        <v>228</v>
      </c>
      <c r="EY28" s="43" t="s">
        <v>229</v>
      </c>
      <c r="EZ28" s="43" t="s">
        <v>230</v>
      </c>
      <c r="FA28" s="141" t="s">
        <v>243</v>
      </c>
      <c r="FB28" s="43" t="s">
        <v>232</v>
      </c>
      <c r="FC28" s="43" t="s">
        <v>233</v>
      </c>
      <c r="FD28" s="43" t="s">
        <v>234</v>
      </c>
      <c r="FE28" s="43" t="s">
        <v>235</v>
      </c>
      <c r="FF28" s="43" t="s">
        <v>236</v>
      </c>
      <c r="FG28" s="43" t="s">
        <v>237</v>
      </c>
      <c r="FH28" s="43" t="s">
        <v>238</v>
      </c>
      <c r="FI28" s="43" t="s">
        <v>239</v>
      </c>
      <c r="FJ28" s="43" t="s">
        <v>240</v>
      </c>
      <c r="FK28" s="43" t="s">
        <v>241</v>
      </c>
      <c r="FL28" s="43" t="s">
        <v>242</v>
      </c>
      <c r="FM28" s="43" t="s">
        <v>285</v>
      </c>
      <c r="FN28" s="147" t="s">
        <v>244</v>
      </c>
      <c r="FO28" s="43" t="s">
        <v>245</v>
      </c>
      <c r="FP28" s="43" t="s">
        <v>246</v>
      </c>
      <c r="FQ28" s="43" t="s">
        <v>247</v>
      </c>
      <c r="FR28" s="43" t="s">
        <v>248</v>
      </c>
      <c r="FS28" s="43" t="s">
        <v>249</v>
      </c>
      <c r="FT28" s="43" t="s">
        <v>250</v>
      </c>
      <c r="FU28" s="43" t="s">
        <v>251</v>
      </c>
      <c r="FV28" s="43" t="s">
        <v>252</v>
      </c>
      <c r="FW28" s="43" t="s">
        <v>253</v>
      </c>
      <c r="FX28" s="43" t="s">
        <v>254</v>
      </c>
      <c r="FY28" s="43" t="s">
        <v>255</v>
      </c>
      <c r="FZ28" s="147" t="s">
        <v>256</v>
      </c>
      <c r="GA28" s="43" t="s">
        <v>257</v>
      </c>
      <c r="GB28" s="43" t="s">
        <v>258</v>
      </c>
      <c r="GC28" s="43" t="s">
        <v>259</v>
      </c>
      <c r="GD28" s="43" t="s">
        <v>260</v>
      </c>
      <c r="GE28" s="43" t="s">
        <v>261</v>
      </c>
      <c r="GF28" s="43" t="s">
        <v>262</v>
      </c>
      <c r="GG28" s="43" t="s">
        <v>263</v>
      </c>
      <c r="GH28" s="43" t="s">
        <v>264</v>
      </c>
      <c r="GI28" s="43" t="s">
        <v>265</v>
      </c>
      <c r="GJ28" s="43" t="s">
        <v>1622</v>
      </c>
      <c r="GK28" s="43" t="s">
        <v>1629</v>
      </c>
      <c r="GL28" s="147" t="s">
        <v>1630</v>
      </c>
      <c r="GM28" s="43" t="s">
        <v>1635</v>
      </c>
      <c r="GN28" s="43" t="s">
        <v>1638</v>
      </c>
      <c r="GO28" s="43" t="s">
        <v>1645</v>
      </c>
      <c r="GP28" s="43" t="s">
        <v>1649</v>
      </c>
      <c r="GQ28" s="43" t="s">
        <v>1663</v>
      </c>
    </row>
    <row r="29" spans="1:201" s="1" customFormat="1" ht="20.149999999999999" customHeight="1" x14ac:dyDescent="0.35">
      <c r="A29" s="26" t="s">
        <v>266</v>
      </c>
      <c r="B29" s="27"/>
      <c r="C29" s="27"/>
      <c r="D29" s="27"/>
      <c r="E29" s="27"/>
      <c r="F29" s="27"/>
      <c r="G29" s="27"/>
      <c r="H29" s="27"/>
      <c r="I29" s="27"/>
      <c r="J29" s="27"/>
      <c r="K29" s="27"/>
      <c r="L29" s="27"/>
      <c r="M29" s="28"/>
      <c r="N29" s="29"/>
      <c r="O29" s="27"/>
      <c r="P29" s="27"/>
      <c r="Q29" s="27"/>
      <c r="R29" s="27"/>
      <c r="S29" s="27"/>
      <c r="T29" s="27"/>
      <c r="U29" s="27"/>
      <c r="V29" s="27"/>
      <c r="W29" s="27"/>
      <c r="X29" s="27"/>
      <c r="Y29" s="28"/>
      <c r="Z29" s="27"/>
      <c r="AA29" s="27"/>
      <c r="AB29" s="27"/>
      <c r="AC29" s="27"/>
      <c r="AD29" s="27"/>
      <c r="AE29" s="27"/>
      <c r="AF29" s="27"/>
      <c r="AG29" s="27"/>
      <c r="AH29" s="27"/>
      <c r="AI29" s="27"/>
      <c r="AJ29" s="27"/>
      <c r="AK29" s="28"/>
      <c r="AL29" s="27"/>
      <c r="AM29" s="27"/>
      <c r="AN29" s="27"/>
      <c r="AO29" s="27"/>
      <c r="AP29" s="27"/>
      <c r="AQ29" s="27"/>
      <c r="AR29" s="27"/>
      <c r="AS29" s="27"/>
      <c r="AT29" s="27"/>
      <c r="AU29" s="27"/>
      <c r="AV29" s="27"/>
      <c r="AW29" s="28"/>
      <c r="AX29" s="27"/>
      <c r="AY29" s="27"/>
      <c r="AZ29" s="27"/>
      <c r="BA29" s="27"/>
      <c r="BB29" s="27"/>
      <c r="BC29" s="27"/>
      <c r="BD29" s="27"/>
      <c r="BE29" s="27"/>
      <c r="BF29" s="27"/>
      <c r="BG29" s="27"/>
      <c r="BH29" s="27"/>
      <c r="BI29" s="28"/>
      <c r="BJ29" s="27"/>
      <c r="BK29" s="27"/>
      <c r="BL29" s="27"/>
      <c r="BM29" s="27"/>
      <c r="BN29" s="27"/>
      <c r="BO29" s="27"/>
      <c r="BP29" s="27"/>
      <c r="BQ29" s="27"/>
      <c r="BR29" s="27"/>
      <c r="BS29" s="27"/>
      <c r="BT29" s="27"/>
      <c r="BU29" s="28"/>
      <c r="BV29" s="27"/>
      <c r="BW29" s="27"/>
      <c r="BX29" s="27"/>
      <c r="BY29" s="27"/>
      <c r="BZ29" s="27"/>
      <c r="CA29" s="27"/>
      <c r="CB29" s="27"/>
      <c r="CC29" s="27"/>
      <c r="CD29" s="27"/>
      <c r="CE29" s="27"/>
      <c r="CF29" s="27"/>
      <c r="CG29" s="28"/>
      <c r="CH29" s="27"/>
      <c r="CI29" s="27"/>
      <c r="CJ29" s="27"/>
      <c r="CK29" s="27"/>
      <c r="CL29" s="27"/>
      <c r="CM29" s="27"/>
      <c r="CN29" s="27"/>
      <c r="CO29" s="27"/>
      <c r="CP29" s="27"/>
      <c r="CQ29" s="27"/>
      <c r="CR29" s="27"/>
      <c r="CS29" s="28"/>
      <c r="CT29" s="27"/>
      <c r="CU29" s="27"/>
      <c r="CV29" s="27"/>
      <c r="CW29" s="27"/>
      <c r="CX29" s="27"/>
      <c r="CY29" s="27"/>
      <c r="CZ29" s="27"/>
      <c r="DA29" s="27"/>
      <c r="DB29" s="27"/>
      <c r="DC29" s="27"/>
      <c r="DD29" s="27"/>
      <c r="DE29" s="79"/>
      <c r="DF29" s="71"/>
      <c r="DG29" s="27"/>
      <c r="DH29" s="27"/>
      <c r="DI29" s="27"/>
      <c r="DJ29" s="27"/>
      <c r="DK29" s="27"/>
      <c r="DL29" s="27"/>
      <c r="DM29" s="27"/>
      <c r="DN29" s="27"/>
      <c r="DO29" s="27"/>
      <c r="DP29" s="27"/>
      <c r="DQ29" s="79"/>
      <c r="DR29" s="71"/>
      <c r="DS29" s="27"/>
      <c r="DT29" s="27"/>
      <c r="DU29" s="27"/>
      <c r="DV29" s="27"/>
      <c r="DW29" s="27"/>
      <c r="DX29" s="27"/>
      <c r="DY29" s="27"/>
      <c r="DZ29" s="27"/>
      <c r="EA29" s="27"/>
      <c r="EB29" s="27"/>
      <c r="EC29" s="79"/>
      <c r="ED29" s="71"/>
      <c r="EE29" s="27"/>
      <c r="EF29" s="27"/>
      <c r="EG29" s="27"/>
      <c r="EH29" s="27"/>
      <c r="EI29" s="27"/>
      <c r="EJ29" s="27"/>
      <c r="EK29" s="27"/>
      <c r="EL29" s="142"/>
      <c r="EM29" s="142"/>
      <c r="EN29" s="142"/>
      <c r="EO29" s="142"/>
      <c r="EP29" s="143"/>
      <c r="EQ29" s="142"/>
      <c r="ER29" s="68"/>
      <c r="ES29" s="68"/>
      <c r="ET29" s="68"/>
      <c r="EU29" s="68"/>
      <c r="EV29" s="68"/>
      <c r="EW29" s="68"/>
      <c r="EX29" s="68"/>
      <c r="EY29" s="68"/>
      <c r="EZ29" s="68"/>
      <c r="FA29" s="131"/>
      <c r="FB29" s="68"/>
      <c r="FC29" s="68"/>
      <c r="FD29" s="68"/>
      <c r="FE29" s="68"/>
      <c r="FF29" s="68"/>
      <c r="FG29" s="126"/>
      <c r="FH29" s="126"/>
      <c r="FI29" s="126"/>
      <c r="FJ29" s="126"/>
      <c r="FK29" s="126"/>
      <c r="FL29" s="126"/>
      <c r="FM29" s="126"/>
      <c r="FN29" s="172"/>
      <c r="FO29" s="126"/>
      <c r="FP29" s="126"/>
      <c r="FQ29" s="126"/>
      <c r="FR29" s="126"/>
      <c r="FS29" s="126"/>
      <c r="FT29" s="126"/>
      <c r="FU29" s="126"/>
      <c r="FV29" s="45"/>
      <c r="FW29" s="45"/>
      <c r="FX29" s="45"/>
      <c r="FY29" s="45"/>
      <c r="FZ29" s="172"/>
      <c r="GA29" s="45"/>
      <c r="GB29" s="45"/>
      <c r="GC29" s="45"/>
      <c r="GD29" s="45"/>
      <c r="GE29" s="45"/>
      <c r="GF29" s="45"/>
      <c r="GG29" s="45"/>
      <c r="GH29" s="45"/>
      <c r="GI29" s="45"/>
      <c r="GJ29" s="45"/>
      <c r="GK29" s="45"/>
      <c r="GL29" s="172"/>
      <c r="GM29" s="45"/>
      <c r="GN29" s="208"/>
      <c r="GO29" s="208"/>
      <c r="GP29" s="208"/>
      <c r="GQ29" s="208"/>
    </row>
    <row r="30" spans="1:201" s="1" customFormat="1" ht="20.149999999999999" customHeight="1" x14ac:dyDescent="0.35">
      <c r="A30" s="31" t="s">
        <v>277</v>
      </c>
      <c r="B30" s="55">
        <v>1</v>
      </c>
      <c r="C30" s="55">
        <v>1</v>
      </c>
      <c r="D30" s="55">
        <v>1</v>
      </c>
      <c r="E30" s="55">
        <v>2</v>
      </c>
      <c r="F30" s="55">
        <v>4</v>
      </c>
      <c r="G30" s="55">
        <v>6</v>
      </c>
      <c r="H30" s="55">
        <v>7</v>
      </c>
      <c r="I30" s="55">
        <v>9</v>
      </c>
      <c r="J30" s="55">
        <v>12</v>
      </c>
      <c r="K30" s="55">
        <v>13</v>
      </c>
      <c r="L30" s="55">
        <v>16</v>
      </c>
      <c r="M30" s="56">
        <v>20</v>
      </c>
      <c r="N30" s="57">
        <v>21</v>
      </c>
      <c r="O30" s="55">
        <v>23</v>
      </c>
      <c r="P30" s="55">
        <v>29</v>
      </c>
      <c r="Q30" s="55">
        <v>35</v>
      </c>
      <c r="R30" s="55">
        <v>40</v>
      </c>
      <c r="S30" s="55">
        <v>51</v>
      </c>
      <c r="T30" s="55">
        <v>100</v>
      </c>
      <c r="U30" s="55">
        <v>109</v>
      </c>
      <c r="V30" s="55">
        <v>121</v>
      </c>
      <c r="W30" s="55">
        <v>135</v>
      </c>
      <c r="X30" s="55">
        <v>174</v>
      </c>
      <c r="Y30" s="56">
        <v>232</v>
      </c>
      <c r="Z30" s="55">
        <v>232</v>
      </c>
      <c r="AA30" s="55">
        <v>253</v>
      </c>
      <c r="AB30" s="55">
        <v>267</v>
      </c>
      <c r="AC30" s="55">
        <v>267</v>
      </c>
      <c r="AD30" s="55">
        <v>271</v>
      </c>
      <c r="AE30" s="55">
        <v>273</v>
      </c>
      <c r="AF30" s="55">
        <v>300</v>
      </c>
      <c r="AG30" s="55">
        <v>300</v>
      </c>
      <c r="AH30" s="55">
        <v>300</v>
      </c>
      <c r="AI30" s="55">
        <v>301</v>
      </c>
      <c r="AJ30" s="55">
        <v>304</v>
      </c>
      <c r="AK30" s="56">
        <v>304</v>
      </c>
      <c r="AL30" s="55">
        <v>304</v>
      </c>
      <c r="AM30" s="55">
        <v>304</v>
      </c>
      <c r="AN30" s="55">
        <v>305</v>
      </c>
      <c r="AO30" s="55">
        <v>313</v>
      </c>
      <c r="AP30" s="55">
        <v>315</v>
      </c>
      <c r="AQ30" s="55">
        <v>316</v>
      </c>
      <c r="AR30" s="55">
        <v>320</v>
      </c>
      <c r="AS30" s="55">
        <v>323</v>
      </c>
      <c r="AT30" s="55">
        <v>328</v>
      </c>
      <c r="AU30" s="55">
        <v>332</v>
      </c>
      <c r="AV30" s="55">
        <v>333</v>
      </c>
      <c r="AW30" s="56">
        <v>335</v>
      </c>
      <c r="AX30" s="55">
        <v>335</v>
      </c>
      <c r="AY30" s="55">
        <v>337</v>
      </c>
      <c r="AZ30" s="55">
        <v>342</v>
      </c>
      <c r="BA30" s="55">
        <v>343</v>
      </c>
      <c r="BB30" s="55">
        <v>348</v>
      </c>
      <c r="BC30" s="55">
        <v>354</v>
      </c>
      <c r="BD30" s="55">
        <v>357</v>
      </c>
      <c r="BE30" s="55">
        <v>361</v>
      </c>
      <c r="BF30" s="55">
        <v>364</v>
      </c>
      <c r="BG30" s="55">
        <v>369</v>
      </c>
      <c r="BH30" s="55">
        <v>372</v>
      </c>
      <c r="BI30" s="56">
        <v>379</v>
      </c>
      <c r="BJ30" s="55">
        <v>379</v>
      </c>
      <c r="BK30" s="55">
        <v>382</v>
      </c>
      <c r="BL30" s="55">
        <v>393</v>
      </c>
      <c r="BM30" s="55">
        <v>395</v>
      </c>
      <c r="BN30" s="55">
        <v>399</v>
      </c>
      <c r="BO30" s="55">
        <v>409</v>
      </c>
      <c r="BP30" s="55">
        <v>412</v>
      </c>
      <c r="BQ30" s="55">
        <v>415</v>
      </c>
      <c r="BR30" s="55">
        <v>425</v>
      </c>
      <c r="BS30" s="55">
        <v>435</v>
      </c>
      <c r="BT30" s="55">
        <v>448</v>
      </c>
      <c r="BU30" s="56">
        <v>525</v>
      </c>
      <c r="BV30" s="55">
        <v>527</v>
      </c>
      <c r="BW30" s="55">
        <v>529</v>
      </c>
      <c r="BX30" s="55">
        <v>532</v>
      </c>
      <c r="BY30" s="55">
        <v>532</v>
      </c>
      <c r="BZ30" s="55">
        <v>535</v>
      </c>
      <c r="CA30" s="55">
        <v>564</v>
      </c>
      <c r="CB30" s="55">
        <v>564</v>
      </c>
      <c r="CC30" s="55">
        <v>567</v>
      </c>
      <c r="CD30" s="55">
        <v>569</v>
      </c>
      <c r="CE30" s="55">
        <v>569</v>
      </c>
      <c r="CF30" s="55">
        <v>570</v>
      </c>
      <c r="CG30" s="121">
        <v>570</v>
      </c>
      <c r="CH30" s="77">
        <v>571</v>
      </c>
      <c r="CI30" s="55">
        <v>571</v>
      </c>
      <c r="CJ30" s="55">
        <v>573</v>
      </c>
      <c r="CK30" s="55">
        <v>573</v>
      </c>
      <c r="CL30" s="55">
        <v>574</v>
      </c>
      <c r="CM30" s="55">
        <v>574</v>
      </c>
      <c r="CN30" s="55">
        <v>575</v>
      </c>
      <c r="CO30" s="55">
        <v>575</v>
      </c>
      <c r="CP30" s="55">
        <v>575</v>
      </c>
      <c r="CQ30" s="55">
        <v>575</v>
      </c>
      <c r="CR30" s="55">
        <v>575</v>
      </c>
      <c r="CS30" s="121">
        <v>575</v>
      </c>
      <c r="CT30" s="77">
        <v>576</v>
      </c>
      <c r="CU30" s="55">
        <v>576</v>
      </c>
      <c r="CV30" s="55">
        <v>576</v>
      </c>
      <c r="CW30" s="55">
        <v>576</v>
      </c>
      <c r="CX30" s="55">
        <v>576</v>
      </c>
      <c r="CY30" s="55">
        <v>576</v>
      </c>
      <c r="CZ30" s="55">
        <v>576</v>
      </c>
      <c r="DA30" s="55">
        <v>576</v>
      </c>
      <c r="DB30" s="55">
        <v>576</v>
      </c>
      <c r="DC30" s="55">
        <v>576</v>
      </c>
      <c r="DD30" s="55">
        <v>576</v>
      </c>
      <c r="DE30" s="121">
        <v>576</v>
      </c>
      <c r="DF30" s="77">
        <v>576</v>
      </c>
      <c r="DG30" s="55">
        <v>576</v>
      </c>
      <c r="DH30" s="55">
        <v>576</v>
      </c>
      <c r="DI30" s="55">
        <v>576</v>
      </c>
      <c r="DJ30" s="55">
        <v>576</v>
      </c>
      <c r="DK30" s="55">
        <v>576</v>
      </c>
      <c r="DL30" s="55">
        <v>576</v>
      </c>
      <c r="DM30" s="55">
        <v>576</v>
      </c>
      <c r="DN30" s="55">
        <v>576</v>
      </c>
      <c r="DO30" s="55">
        <v>576</v>
      </c>
      <c r="DP30" s="55">
        <v>576</v>
      </c>
      <c r="DQ30" s="121">
        <v>576</v>
      </c>
      <c r="DR30" s="77">
        <v>576</v>
      </c>
      <c r="DS30" s="55">
        <v>576</v>
      </c>
      <c r="DT30" s="55">
        <v>576</v>
      </c>
      <c r="DU30" s="55">
        <v>576</v>
      </c>
      <c r="DV30" s="55">
        <v>576</v>
      </c>
      <c r="DW30" s="55">
        <v>576</v>
      </c>
      <c r="DX30" s="55">
        <v>576</v>
      </c>
      <c r="DY30" s="55">
        <v>576</v>
      </c>
      <c r="DZ30" s="55">
        <v>576</v>
      </c>
      <c r="EA30" s="55">
        <v>576</v>
      </c>
      <c r="EB30" s="55">
        <v>576</v>
      </c>
      <c r="EC30" s="55">
        <v>576</v>
      </c>
      <c r="ED30" s="77">
        <v>576</v>
      </c>
      <c r="EE30" s="55">
        <v>576</v>
      </c>
      <c r="EF30" s="55">
        <v>576</v>
      </c>
      <c r="EG30" s="55">
        <v>576</v>
      </c>
      <c r="EH30" s="55">
        <v>576</v>
      </c>
      <c r="EI30" s="55">
        <v>576</v>
      </c>
      <c r="EJ30" s="55">
        <v>576</v>
      </c>
      <c r="EK30" s="55">
        <v>576</v>
      </c>
      <c r="EL30" s="55">
        <v>576</v>
      </c>
      <c r="EM30" s="55">
        <v>576</v>
      </c>
      <c r="EN30" s="55">
        <v>576</v>
      </c>
      <c r="EO30" s="55">
        <v>576</v>
      </c>
      <c r="EP30" s="77">
        <v>576</v>
      </c>
      <c r="EQ30" s="55">
        <v>576</v>
      </c>
      <c r="ER30" s="55">
        <v>576</v>
      </c>
      <c r="ES30" s="55">
        <v>576</v>
      </c>
      <c r="ET30" s="55">
        <v>576</v>
      </c>
      <c r="EU30" s="55">
        <v>576</v>
      </c>
      <c r="EV30" s="55">
        <v>576</v>
      </c>
      <c r="EW30" s="55">
        <v>576</v>
      </c>
      <c r="EX30" s="55">
        <v>576</v>
      </c>
      <c r="EY30" s="55">
        <v>576</v>
      </c>
      <c r="EZ30" s="55">
        <v>576</v>
      </c>
      <c r="FA30" s="83">
        <v>576</v>
      </c>
      <c r="FB30" s="55">
        <v>576</v>
      </c>
      <c r="FC30" s="55">
        <v>576</v>
      </c>
      <c r="FD30" s="55">
        <v>576</v>
      </c>
      <c r="FE30" s="55">
        <v>576</v>
      </c>
      <c r="FF30" s="55">
        <v>576</v>
      </c>
      <c r="FG30" s="55">
        <v>576</v>
      </c>
      <c r="FH30" s="55">
        <v>576</v>
      </c>
      <c r="FI30" s="55">
        <v>576</v>
      </c>
      <c r="FJ30" s="55">
        <v>576</v>
      </c>
      <c r="FK30" s="55">
        <v>576</v>
      </c>
      <c r="FL30" s="55">
        <v>576</v>
      </c>
      <c r="FM30" s="55">
        <v>576</v>
      </c>
      <c r="FN30" s="77">
        <v>576</v>
      </c>
      <c r="FO30" s="55">
        <v>576</v>
      </c>
      <c r="FP30" s="55">
        <v>576</v>
      </c>
      <c r="FQ30" s="55">
        <v>576</v>
      </c>
      <c r="FR30" s="55">
        <v>576</v>
      </c>
      <c r="FS30" s="55">
        <v>576</v>
      </c>
      <c r="FT30" s="55">
        <v>576</v>
      </c>
      <c r="FU30" s="55">
        <v>576</v>
      </c>
      <c r="FV30" s="55">
        <v>576</v>
      </c>
      <c r="FW30" s="55">
        <v>576</v>
      </c>
      <c r="FX30" s="55">
        <v>576</v>
      </c>
      <c r="FY30" s="55">
        <v>576</v>
      </c>
      <c r="FZ30" s="77">
        <v>576</v>
      </c>
      <c r="GA30" s="55">
        <v>576</v>
      </c>
      <c r="GB30" s="55">
        <v>576</v>
      </c>
      <c r="GC30" s="55">
        <v>576</v>
      </c>
      <c r="GD30" s="55">
        <v>576</v>
      </c>
      <c r="GE30" s="55">
        <v>576</v>
      </c>
      <c r="GF30" s="55">
        <v>576</v>
      </c>
      <c r="GG30" s="55">
        <v>576</v>
      </c>
      <c r="GH30" s="55">
        <v>576</v>
      </c>
      <c r="GI30" s="55">
        <v>576</v>
      </c>
      <c r="GJ30" s="55">
        <v>576</v>
      </c>
      <c r="GK30" s="55">
        <v>576</v>
      </c>
      <c r="GL30" s="77">
        <v>576</v>
      </c>
      <c r="GM30" s="55">
        <v>576</v>
      </c>
      <c r="GN30" s="55">
        <v>576</v>
      </c>
      <c r="GO30" s="55">
        <v>576</v>
      </c>
      <c r="GP30" s="55">
        <v>576</v>
      </c>
      <c r="GQ30" s="55">
        <v>576</v>
      </c>
    </row>
    <row r="31" spans="1:201" s="1" customFormat="1" ht="20.149999999999999" customHeight="1" x14ac:dyDescent="0.35">
      <c r="A31" s="31" t="s">
        <v>278</v>
      </c>
      <c r="B31" s="55">
        <v>4514</v>
      </c>
      <c r="C31" s="55">
        <v>4935</v>
      </c>
      <c r="D31" s="55">
        <v>5722</v>
      </c>
      <c r="E31" s="55">
        <v>6629</v>
      </c>
      <c r="F31" s="55">
        <v>7969</v>
      </c>
      <c r="G31" s="55">
        <v>9669</v>
      </c>
      <c r="H31" s="55">
        <v>11684</v>
      </c>
      <c r="I31" s="55">
        <v>13756</v>
      </c>
      <c r="J31" s="55">
        <v>16352</v>
      </c>
      <c r="K31" s="55">
        <v>19451</v>
      </c>
      <c r="L31" s="55">
        <v>23006</v>
      </c>
      <c r="M31" s="56">
        <v>25679</v>
      </c>
      <c r="N31" s="57">
        <v>29353</v>
      </c>
      <c r="O31" s="55">
        <v>33531</v>
      </c>
      <c r="P31" s="55">
        <v>39806</v>
      </c>
      <c r="Q31" s="55">
        <v>45757</v>
      </c>
      <c r="R31" s="55">
        <v>52706</v>
      </c>
      <c r="S31" s="55">
        <v>61789</v>
      </c>
      <c r="T31" s="55">
        <v>72569</v>
      </c>
      <c r="U31" s="55">
        <v>86110</v>
      </c>
      <c r="V31" s="55">
        <v>102766</v>
      </c>
      <c r="W31" s="55">
        <v>122214</v>
      </c>
      <c r="X31" s="55">
        <v>177201</v>
      </c>
      <c r="Y31" s="56">
        <v>220906</v>
      </c>
      <c r="Z31" s="55">
        <v>228759</v>
      </c>
      <c r="AA31" s="55">
        <v>270860</v>
      </c>
      <c r="AB31" s="55">
        <v>296105</v>
      </c>
      <c r="AC31" s="55">
        <v>300920</v>
      </c>
      <c r="AD31" s="55">
        <v>310590</v>
      </c>
      <c r="AE31" s="55">
        <v>322955</v>
      </c>
      <c r="AF31" s="55">
        <v>348058</v>
      </c>
      <c r="AG31" s="55">
        <v>351434</v>
      </c>
      <c r="AH31" s="55">
        <v>356039</v>
      </c>
      <c r="AI31" s="55">
        <v>366026</v>
      </c>
      <c r="AJ31" s="55">
        <v>371121</v>
      </c>
      <c r="AK31" s="56">
        <v>376576</v>
      </c>
      <c r="AL31" s="55">
        <v>382385</v>
      </c>
      <c r="AM31" s="55">
        <v>388819</v>
      </c>
      <c r="AN31" s="55">
        <v>396070</v>
      </c>
      <c r="AO31" s="55">
        <v>403745</v>
      </c>
      <c r="AP31" s="55">
        <v>411704</v>
      </c>
      <c r="AQ31" s="55">
        <v>423647</v>
      </c>
      <c r="AR31" s="55">
        <v>429727</v>
      </c>
      <c r="AS31" s="55">
        <v>436992</v>
      </c>
      <c r="AT31" s="55">
        <v>444656</v>
      </c>
      <c r="AU31" s="55">
        <v>452815</v>
      </c>
      <c r="AV31" s="55">
        <v>462068</v>
      </c>
      <c r="AW31" s="56">
        <v>469931</v>
      </c>
      <c r="AX31" s="55">
        <v>477545</v>
      </c>
      <c r="AY31" s="55">
        <v>485833</v>
      </c>
      <c r="AZ31" s="55">
        <v>500523</v>
      </c>
      <c r="BA31" s="55">
        <v>507950</v>
      </c>
      <c r="BB31" s="55">
        <v>516133</v>
      </c>
      <c r="BC31" s="55">
        <v>525194</v>
      </c>
      <c r="BD31" s="55">
        <v>535413</v>
      </c>
      <c r="BE31" s="55">
        <v>545292</v>
      </c>
      <c r="BF31" s="55">
        <v>556906</v>
      </c>
      <c r="BG31" s="55">
        <v>568962</v>
      </c>
      <c r="BH31" s="55">
        <v>580568</v>
      </c>
      <c r="BI31" s="56">
        <v>592852</v>
      </c>
      <c r="BJ31" s="55">
        <v>600256</v>
      </c>
      <c r="BK31" s="55">
        <v>609407</v>
      </c>
      <c r="BL31" s="55">
        <v>624372</v>
      </c>
      <c r="BM31" s="55">
        <v>634058</v>
      </c>
      <c r="BN31" s="55">
        <v>644267</v>
      </c>
      <c r="BO31" s="55">
        <v>659339</v>
      </c>
      <c r="BP31" s="55">
        <v>669453</v>
      </c>
      <c r="BQ31" s="55">
        <v>679698</v>
      </c>
      <c r="BR31" s="55">
        <v>697193</v>
      </c>
      <c r="BS31" s="55">
        <v>712179</v>
      </c>
      <c r="BT31" s="55">
        <v>731856</v>
      </c>
      <c r="BU31" s="56">
        <v>755784</v>
      </c>
      <c r="BV31" s="55">
        <v>768751</v>
      </c>
      <c r="BW31" s="55">
        <v>770993</v>
      </c>
      <c r="BX31" s="55">
        <v>774078</v>
      </c>
      <c r="BY31" s="55">
        <v>776278</v>
      </c>
      <c r="BZ31" s="55">
        <v>778623</v>
      </c>
      <c r="CA31" s="55">
        <v>781386</v>
      </c>
      <c r="CB31" s="55">
        <v>783496</v>
      </c>
      <c r="CC31" s="55">
        <v>785565</v>
      </c>
      <c r="CD31" s="55">
        <v>787947</v>
      </c>
      <c r="CE31" s="55">
        <v>789689</v>
      </c>
      <c r="CF31" s="55">
        <v>791695</v>
      </c>
      <c r="CG31" s="121">
        <v>793381</v>
      </c>
      <c r="CH31" s="77">
        <v>794752</v>
      </c>
      <c r="CI31" s="55">
        <v>796340</v>
      </c>
      <c r="CJ31" s="55">
        <v>798577</v>
      </c>
      <c r="CK31" s="55">
        <v>800120</v>
      </c>
      <c r="CL31" s="55">
        <v>802056</v>
      </c>
      <c r="CM31" s="55">
        <v>804005</v>
      </c>
      <c r="CN31" s="55">
        <v>805738</v>
      </c>
      <c r="CO31" s="55">
        <v>807771</v>
      </c>
      <c r="CP31" s="55">
        <v>809794</v>
      </c>
      <c r="CQ31" s="55">
        <v>811619</v>
      </c>
      <c r="CR31" s="55">
        <v>813753</v>
      </c>
      <c r="CS31" s="121">
        <v>815294</v>
      </c>
      <c r="CT31" s="77">
        <v>816891</v>
      </c>
      <c r="CU31" s="55">
        <v>818417</v>
      </c>
      <c r="CV31" s="55">
        <v>820375</v>
      </c>
      <c r="CW31" s="55">
        <v>822120</v>
      </c>
      <c r="CX31" s="55">
        <v>824079</v>
      </c>
      <c r="CY31" s="55">
        <v>826199</v>
      </c>
      <c r="CZ31" s="55">
        <v>828129</v>
      </c>
      <c r="DA31" s="55">
        <v>830346</v>
      </c>
      <c r="DB31" s="55">
        <v>832823</v>
      </c>
      <c r="DC31" s="55">
        <v>835502</v>
      </c>
      <c r="DD31" s="55">
        <v>838522</v>
      </c>
      <c r="DE31" s="121">
        <v>841222</v>
      </c>
      <c r="DF31" s="77">
        <v>844880</v>
      </c>
      <c r="DG31" s="55">
        <v>849275</v>
      </c>
      <c r="DH31" s="55">
        <v>859362</v>
      </c>
      <c r="DI31" s="55">
        <v>859380</v>
      </c>
      <c r="DJ31" s="55">
        <v>859392</v>
      </c>
      <c r="DK31" s="55">
        <v>859406</v>
      </c>
      <c r="DL31" s="55">
        <v>859421</v>
      </c>
      <c r="DM31" s="55">
        <v>859448</v>
      </c>
      <c r="DN31" s="55">
        <v>859478</v>
      </c>
      <c r="DO31" s="55">
        <v>859490</v>
      </c>
      <c r="DP31" s="55">
        <v>859505</v>
      </c>
      <c r="DQ31" s="121">
        <v>859518</v>
      </c>
      <c r="DR31" s="77">
        <v>859542</v>
      </c>
      <c r="DS31" s="55">
        <v>859574</v>
      </c>
      <c r="DT31" s="55">
        <v>859658</v>
      </c>
      <c r="DU31" s="55">
        <v>859658</v>
      </c>
      <c r="DV31" s="55">
        <v>859658</v>
      </c>
      <c r="DW31" s="55">
        <v>859659</v>
      </c>
      <c r="DX31" s="55">
        <v>859660</v>
      </c>
      <c r="DY31" s="55">
        <v>859666</v>
      </c>
      <c r="DZ31" s="55">
        <v>859672</v>
      </c>
      <c r="EA31" s="55">
        <v>859673</v>
      </c>
      <c r="EB31" s="55">
        <v>859673</v>
      </c>
      <c r="EC31" s="55">
        <v>859675</v>
      </c>
      <c r="ED31" s="77">
        <v>859676</v>
      </c>
      <c r="EE31" s="55">
        <v>859676</v>
      </c>
      <c r="EF31" s="55">
        <v>859676</v>
      </c>
      <c r="EG31" s="55">
        <v>859676</v>
      </c>
      <c r="EH31" s="55">
        <v>859676</v>
      </c>
      <c r="EI31" s="55">
        <v>859676</v>
      </c>
      <c r="EJ31" s="55">
        <v>859676</v>
      </c>
      <c r="EK31" s="55">
        <v>859676</v>
      </c>
      <c r="EL31" s="55">
        <v>859676</v>
      </c>
      <c r="EM31" s="55">
        <v>859676</v>
      </c>
      <c r="EN31" s="55">
        <v>859676</v>
      </c>
      <c r="EO31" s="55">
        <v>859676</v>
      </c>
      <c r="EP31" s="77">
        <v>859676</v>
      </c>
      <c r="EQ31" s="55">
        <v>859676</v>
      </c>
      <c r="ER31" s="55">
        <v>859676</v>
      </c>
      <c r="ES31" s="55">
        <v>859676</v>
      </c>
      <c r="ET31" s="55">
        <v>859676</v>
      </c>
      <c r="EU31" s="55">
        <v>859676</v>
      </c>
      <c r="EV31" s="55">
        <v>859676</v>
      </c>
      <c r="EW31" s="55">
        <v>859676</v>
      </c>
      <c r="EX31" s="55">
        <v>859676</v>
      </c>
      <c r="EY31" s="55">
        <v>859676</v>
      </c>
      <c r="EZ31" s="55">
        <v>859676</v>
      </c>
      <c r="FA31" s="83">
        <v>859676</v>
      </c>
      <c r="FB31" s="55">
        <v>859676</v>
      </c>
      <c r="FC31" s="55">
        <v>859676</v>
      </c>
      <c r="FD31" s="55">
        <v>859676</v>
      </c>
      <c r="FE31" s="55">
        <v>859676</v>
      </c>
      <c r="FF31" s="55">
        <v>859676</v>
      </c>
      <c r="FG31" s="55">
        <v>859676</v>
      </c>
      <c r="FH31" s="55">
        <v>859676</v>
      </c>
      <c r="FI31" s="55">
        <v>859676</v>
      </c>
      <c r="FJ31" s="55">
        <v>859676</v>
      </c>
      <c r="FK31" s="55">
        <v>859676</v>
      </c>
      <c r="FL31" s="55">
        <v>859676</v>
      </c>
      <c r="FM31" s="55">
        <v>859676</v>
      </c>
      <c r="FN31" s="77">
        <v>859676</v>
      </c>
      <c r="FO31" s="55">
        <v>859676</v>
      </c>
      <c r="FP31" s="55">
        <v>859676</v>
      </c>
      <c r="FQ31" s="55">
        <v>859676</v>
      </c>
      <c r="FR31" s="55">
        <v>859676</v>
      </c>
      <c r="FS31" s="55">
        <v>859676</v>
      </c>
      <c r="FT31" s="55">
        <v>859676</v>
      </c>
      <c r="FU31" s="55">
        <v>859676</v>
      </c>
      <c r="FV31" s="55">
        <v>859676</v>
      </c>
      <c r="FW31" s="55">
        <v>859676</v>
      </c>
      <c r="FX31" s="55">
        <v>859676</v>
      </c>
      <c r="FY31" s="55">
        <v>859676</v>
      </c>
      <c r="FZ31" s="77">
        <v>859676</v>
      </c>
      <c r="GA31" s="55">
        <v>859676</v>
      </c>
      <c r="GB31" s="55">
        <v>859676</v>
      </c>
      <c r="GC31" s="55">
        <v>859676</v>
      </c>
      <c r="GD31" s="55">
        <v>859676</v>
      </c>
      <c r="GE31" s="55">
        <v>859676</v>
      </c>
      <c r="GF31" s="55">
        <v>859676</v>
      </c>
      <c r="GG31" s="55">
        <v>859676</v>
      </c>
      <c r="GH31" s="55">
        <v>859676</v>
      </c>
      <c r="GI31" s="55">
        <v>859676</v>
      </c>
      <c r="GJ31" s="55">
        <v>859676</v>
      </c>
      <c r="GK31" s="55">
        <v>859676</v>
      </c>
      <c r="GL31" s="77">
        <v>859676</v>
      </c>
      <c r="GM31" s="55">
        <v>859676</v>
      </c>
      <c r="GN31" s="55">
        <v>859676</v>
      </c>
      <c r="GO31" s="55">
        <v>859676</v>
      </c>
      <c r="GP31" s="55">
        <v>859676</v>
      </c>
      <c r="GQ31" s="55">
        <v>859676</v>
      </c>
    </row>
    <row r="32" spans="1:201" s="1" customFormat="1" ht="20.149999999999999" customHeight="1" x14ac:dyDescent="0.35">
      <c r="A32" s="31" t="s">
        <v>279</v>
      </c>
      <c r="B32" s="55">
        <v>0</v>
      </c>
      <c r="C32" s="55">
        <v>0</v>
      </c>
      <c r="D32" s="55">
        <v>0</v>
      </c>
      <c r="E32" s="55">
        <v>0</v>
      </c>
      <c r="F32" s="55">
        <v>0</v>
      </c>
      <c r="G32" s="55">
        <v>0</v>
      </c>
      <c r="H32" s="55">
        <v>0</v>
      </c>
      <c r="I32" s="55">
        <v>0</v>
      </c>
      <c r="J32" s="55">
        <v>0</v>
      </c>
      <c r="K32" s="55">
        <v>0</v>
      </c>
      <c r="L32" s="55">
        <v>0</v>
      </c>
      <c r="M32" s="56">
        <v>0</v>
      </c>
      <c r="N32" s="57">
        <v>0</v>
      </c>
      <c r="O32" s="55">
        <v>0</v>
      </c>
      <c r="P32" s="55">
        <v>0</v>
      </c>
      <c r="Q32" s="55">
        <v>0</v>
      </c>
      <c r="R32" s="55">
        <v>0</v>
      </c>
      <c r="S32" s="55">
        <v>0</v>
      </c>
      <c r="T32" s="55">
        <v>1</v>
      </c>
      <c r="U32" s="55">
        <v>1</v>
      </c>
      <c r="V32" s="55">
        <v>1</v>
      </c>
      <c r="W32" s="55">
        <v>1</v>
      </c>
      <c r="X32" s="55">
        <v>1</v>
      </c>
      <c r="Y32" s="56">
        <v>2</v>
      </c>
      <c r="Z32" s="55">
        <v>2</v>
      </c>
      <c r="AA32" s="55">
        <v>2</v>
      </c>
      <c r="AB32" s="55">
        <v>2</v>
      </c>
      <c r="AC32" s="55">
        <v>2</v>
      </c>
      <c r="AD32" s="55">
        <v>2</v>
      </c>
      <c r="AE32" s="55">
        <v>2</v>
      </c>
      <c r="AF32" s="55">
        <v>2</v>
      </c>
      <c r="AG32" s="55">
        <v>2</v>
      </c>
      <c r="AH32" s="55">
        <v>2</v>
      </c>
      <c r="AI32" s="55">
        <v>2</v>
      </c>
      <c r="AJ32" s="55">
        <v>2</v>
      </c>
      <c r="AK32" s="56">
        <v>2</v>
      </c>
      <c r="AL32" s="55">
        <v>2</v>
      </c>
      <c r="AM32" s="55">
        <v>2</v>
      </c>
      <c r="AN32" s="55">
        <v>11</v>
      </c>
      <c r="AO32" s="55">
        <v>14</v>
      </c>
      <c r="AP32" s="55">
        <v>18</v>
      </c>
      <c r="AQ32" s="55">
        <v>26</v>
      </c>
      <c r="AR32" s="55">
        <v>27</v>
      </c>
      <c r="AS32" s="55">
        <v>32</v>
      </c>
      <c r="AT32" s="55">
        <v>33</v>
      </c>
      <c r="AU32" s="55">
        <v>33</v>
      </c>
      <c r="AV32" s="55">
        <v>37</v>
      </c>
      <c r="AW32" s="56">
        <v>38</v>
      </c>
      <c r="AX32" s="55">
        <v>48</v>
      </c>
      <c r="AY32" s="55">
        <v>54</v>
      </c>
      <c r="AZ32" s="55">
        <v>141</v>
      </c>
      <c r="BA32" s="55">
        <v>142</v>
      </c>
      <c r="BB32" s="55">
        <v>147</v>
      </c>
      <c r="BC32" s="55">
        <v>153</v>
      </c>
      <c r="BD32" s="55">
        <v>163</v>
      </c>
      <c r="BE32" s="55">
        <v>166</v>
      </c>
      <c r="BF32" s="55">
        <v>177</v>
      </c>
      <c r="BG32" s="55">
        <v>185</v>
      </c>
      <c r="BH32" s="55">
        <v>192</v>
      </c>
      <c r="BI32" s="56">
        <v>204</v>
      </c>
      <c r="BJ32" s="55">
        <v>208</v>
      </c>
      <c r="BK32" s="55">
        <v>219</v>
      </c>
      <c r="BL32" s="55">
        <v>379</v>
      </c>
      <c r="BM32" s="55">
        <v>380</v>
      </c>
      <c r="BN32" s="55">
        <v>381</v>
      </c>
      <c r="BO32" s="55">
        <v>381</v>
      </c>
      <c r="BP32" s="55">
        <v>384</v>
      </c>
      <c r="BQ32" s="55">
        <v>389</v>
      </c>
      <c r="BR32" s="55">
        <v>391</v>
      </c>
      <c r="BS32" s="55">
        <v>399</v>
      </c>
      <c r="BT32" s="55">
        <v>404</v>
      </c>
      <c r="BU32" s="56">
        <v>427</v>
      </c>
      <c r="BV32" s="55">
        <v>434</v>
      </c>
      <c r="BW32" s="55">
        <v>445</v>
      </c>
      <c r="BX32" s="55">
        <v>580</v>
      </c>
      <c r="BY32" s="55">
        <v>589</v>
      </c>
      <c r="BZ32" s="55">
        <v>591</v>
      </c>
      <c r="CA32" s="55">
        <v>595</v>
      </c>
      <c r="CB32" s="55">
        <v>597</v>
      </c>
      <c r="CC32" s="55">
        <v>600</v>
      </c>
      <c r="CD32" s="55">
        <v>603</v>
      </c>
      <c r="CE32" s="55">
        <v>609</v>
      </c>
      <c r="CF32" s="55">
        <v>614</v>
      </c>
      <c r="CG32" s="121">
        <v>627</v>
      </c>
      <c r="CH32" s="77">
        <v>632</v>
      </c>
      <c r="CI32" s="55">
        <v>646</v>
      </c>
      <c r="CJ32" s="55">
        <v>741</v>
      </c>
      <c r="CK32" s="55">
        <v>743</v>
      </c>
      <c r="CL32" s="55">
        <v>744</v>
      </c>
      <c r="CM32" s="55">
        <v>744</v>
      </c>
      <c r="CN32" s="55">
        <v>745</v>
      </c>
      <c r="CO32" s="55">
        <v>745</v>
      </c>
      <c r="CP32" s="55">
        <v>745</v>
      </c>
      <c r="CQ32" s="55">
        <v>745</v>
      </c>
      <c r="CR32" s="55">
        <v>745</v>
      </c>
      <c r="CS32" s="121">
        <v>745</v>
      </c>
      <c r="CT32" s="77">
        <v>745</v>
      </c>
      <c r="CU32" s="55">
        <v>745</v>
      </c>
      <c r="CV32" s="55">
        <v>745</v>
      </c>
      <c r="CW32" s="55">
        <v>745</v>
      </c>
      <c r="CX32" s="55">
        <v>745</v>
      </c>
      <c r="CY32" s="55">
        <v>746</v>
      </c>
      <c r="CZ32" s="55">
        <v>746</v>
      </c>
      <c r="DA32" s="55">
        <v>746</v>
      </c>
      <c r="DB32" s="55">
        <v>746</v>
      </c>
      <c r="DC32" s="55">
        <v>746</v>
      </c>
      <c r="DD32" s="55">
        <v>746</v>
      </c>
      <c r="DE32" s="121">
        <v>746</v>
      </c>
      <c r="DF32" s="77">
        <v>746</v>
      </c>
      <c r="DG32" s="55">
        <v>746</v>
      </c>
      <c r="DH32" s="55">
        <v>746</v>
      </c>
      <c r="DI32" s="55">
        <v>746</v>
      </c>
      <c r="DJ32" s="55">
        <v>746</v>
      </c>
      <c r="DK32" s="55">
        <v>746</v>
      </c>
      <c r="DL32" s="55">
        <v>746</v>
      </c>
      <c r="DM32" s="55">
        <v>746</v>
      </c>
      <c r="DN32" s="55">
        <v>746</v>
      </c>
      <c r="DO32" s="55">
        <v>746</v>
      </c>
      <c r="DP32" s="55">
        <v>746</v>
      </c>
      <c r="DQ32" s="121">
        <v>746</v>
      </c>
      <c r="DR32" s="77">
        <v>746</v>
      </c>
      <c r="DS32" s="55">
        <v>746</v>
      </c>
      <c r="DT32" s="55">
        <v>746</v>
      </c>
      <c r="DU32" s="55">
        <v>746</v>
      </c>
      <c r="DV32" s="55">
        <v>746</v>
      </c>
      <c r="DW32" s="55">
        <v>746</v>
      </c>
      <c r="DX32" s="55">
        <v>746</v>
      </c>
      <c r="DY32" s="55">
        <v>746</v>
      </c>
      <c r="DZ32" s="55">
        <v>746</v>
      </c>
      <c r="EA32" s="55">
        <v>746</v>
      </c>
      <c r="EB32" s="55">
        <v>746</v>
      </c>
      <c r="EC32" s="55">
        <v>746</v>
      </c>
      <c r="ED32" s="77">
        <v>746</v>
      </c>
      <c r="EE32" s="55">
        <v>746</v>
      </c>
      <c r="EF32" s="55">
        <v>746</v>
      </c>
      <c r="EG32" s="55">
        <v>746</v>
      </c>
      <c r="EH32" s="55">
        <v>746</v>
      </c>
      <c r="EI32" s="55">
        <v>746</v>
      </c>
      <c r="EJ32" s="55">
        <v>746</v>
      </c>
      <c r="EK32" s="55">
        <v>746</v>
      </c>
      <c r="EL32" s="55">
        <v>746</v>
      </c>
      <c r="EM32" s="55">
        <v>746</v>
      </c>
      <c r="EN32" s="55">
        <v>746</v>
      </c>
      <c r="EO32" s="55">
        <v>746</v>
      </c>
      <c r="EP32" s="77">
        <v>746</v>
      </c>
      <c r="EQ32" s="55">
        <v>746</v>
      </c>
      <c r="ER32" s="55">
        <v>746</v>
      </c>
      <c r="ES32" s="55">
        <v>746</v>
      </c>
      <c r="ET32" s="55">
        <v>746</v>
      </c>
      <c r="EU32" s="55">
        <v>746</v>
      </c>
      <c r="EV32" s="55">
        <v>746</v>
      </c>
      <c r="EW32" s="55">
        <v>746</v>
      </c>
      <c r="EX32" s="55">
        <v>746</v>
      </c>
      <c r="EY32" s="55">
        <v>746</v>
      </c>
      <c r="EZ32" s="55">
        <v>746</v>
      </c>
      <c r="FA32" s="83">
        <v>746</v>
      </c>
      <c r="FB32" s="55">
        <v>746</v>
      </c>
      <c r="FC32" s="55">
        <v>746</v>
      </c>
      <c r="FD32" s="55">
        <v>746</v>
      </c>
      <c r="FE32" s="55">
        <v>746</v>
      </c>
      <c r="FF32" s="55">
        <v>746</v>
      </c>
      <c r="FG32" s="55">
        <v>746</v>
      </c>
      <c r="FH32" s="55">
        <v>746</v>
      </c>
      <c r="FI32" s="55">
        <v>746</v>
      </c>
      <c r="FJ32" s="55">
        <v>746</v>
      </c>
      <c r="FK32" s="55">
        <v>746</v>
      </c>
      <c r="FL32" s="55">
        <v>746</v>
      </c>
      <c r="FM32" s="55">
        <v>746</v>
      </c>
      <c r="FN32" s="77">
        <v>746</v>
      </c>
      <c r="FO32" s="55">
        <v>746</v>
      </c>
      <c r="FP32" s="55">
        <v>746</v>
      </c>
      <c r="FQ32" s="55">
        <v>746</v>
      </c>
      <c r="FR32" s="55">
        <v>746</v>
      </c>
      <c r="FS32" s="55">
        <v>746</v>
      </c>
      <c r="FT32" s="55">
        <v>746</v>
      </c>
      <c r="FU32" s="55">
        <v>746</v>
      </c>
      <c r="FV32" s="55">
        <v>746</v>
      </c>
      <c r="FW32" s="55">
        <v>746</v>
      </c>
      <c r="FX32" s="55">
        <v>746</v>
      </c>
      <c r="FY32" s="55">
        <v>746</v>
      </c>
      <c r="FZ32" s="77">
        <v>746</v>
      </c>
      <c r="GA32" s="55">
        <v>746</v>
      </c>
      <c r="GB32" s="55">
        <v>746</v>
      </c>
      <c r="GC32" s="55">
        <v>746</v>
      </c>
      <c r="GD32" s="55">
        <v>746</v>
      </c>
      <c r="GE32" s="55">
        <v>746</v>
      </c>
      <c r="GF32" s="55">
        <v>746</v>
      </c>
      <c r="GG32" s="55">
        <v>746</v>
      </c>
      <c r="GH32" s="55">
        <v>746</v>
      </c>
      <c r="GI32" s="55">
        <v>746</v>
      </c>
      <c r="GJ32" s="55">
        <v>746</v>
      </c>
      <c r="GK32" s="55">
        <v>746</v>
      </c>
      <c r="GL32" s="77">
        <v>746</v>
      </c>
      <c r="GM32" s="55">
        <v>746</v>
      </c>
      <c r="GN32" s="55">
        <v>746</v>
      </c>
      <c r="GO32" s="55">
        <v>746</v>
      </c>
      <c r="GP32" s="55">
        <v>746</v>
      </c>
      <c r="GQ32" s="55">
        <v>746</v>
      </c>
    </row>
    <row r="33" spans="1:199" s="1" customFormat="1" ht="20.149999999999999" customHeight="1" x14ac:dyDescent="0.35">
      <c r="A33" s="31" t="s">
        <v>280</v>
      </c>
      <c r="B33" s="55">
        <v>13</v>
      </c>
      <c r="C33" s="55">
        <v>13</v>
      </c>
      <c r="D33" s="55">
        <v>13</v>
      </c>
      <c r="E33" s="55">
        <v>13</v>
      </c>
      <c r="F33" s="55">
        <v>13</v>
      </c>
      <c r="G33" s="55">
        <v>13</v>
      </c>
      <c r="H33" s="55">
        <v>13</v>
      </c>
      <c r="I33" s="55">
        <v>13</v>
      </c>
      <c r="J33" s="55">
        <v>13</v>
      </c>
      <c r="K33" s="55">
        <v>13</v>
      </c>
      <c r="L33" s="55">
        <v>13</v>
      </c>
      <c r="M33" s="56">
        <v>13</v>
      </c>
      <c r="N33" s="57">
        <v>13</v>
      </c>
      <c r="O33" s="55">
        <v>13</v>
      </c>
      <c r="P33" s="55">
        <v>13</v>
      </c>
      <c r="Q33" s="55">
        <v>13</v>
      </c>
      <c r="R33" s="55">
        <v>13</v>
      </c>
      <c r="S33" s="55">
        <v>13</v>
      </c>
      <c r="T33" s="55">
        <v>13</v>
      </c>
      <c r="U33" s="55">
        <v>13</v>
      </c>
      <c r="V33" s="55">
        <v>13</v>
      </c>
      <c r="W33" s="55">
        <v>14</v>
      </c>
      <c r="X33" s="55">
        <v>14</v>
      </c>
      <c r="Y33" s="56">
        <v>14</v>
      </c>
      <c r="Z33" s="55">
        <v>14</v>
      </c>
      <c r="AA33" s="55">
        <v>14</v>
      </c>
      <c r="AB33" s="55">
        <v>15</v>
      </c>
      <c r="AC33" s="55">
        <v>15</v>
      </c>
      <c r="AD33" s="55">
        <v>15</v>
      </c>
      <c r="AE33" s="55">
        <v>16</v>
      </c>
      <c r="AF33" s="55">
        <v>16</v>
      </c>
      <c r="AG33" s="55">
        <v>16</v>
      </c>
      <c r="AH33" s="55">
        <v>16</v>
      </c>
      <c r="AI33" s="55">
        <v>16</v>
      </c>
      <c r="AJ33" s="55">
        <v>17</v>
      </c>
      <c r="AK33" s="56">
        <v>17</v>
      </c>
      <c r="AL33" s="55">
        <v>18</v>
      </c>
      <c r="AM33" s="55">
        <v>25</v>
      </c>
      <c r="AN33" s="55">
        <v>83</v>
      </c>
      <c r="AO33" s="55">
        <v>83</v>
      </c>
      <c r="AP33" s="55">
        <v>84</v>
      </c>
      <c r="AQ33" s="55">
        <v>84</v>
      </c>
      <c r="AR33" s="55">
        <v>85</v>
      </c>
      <c r="AS33" s="55">
        <v>86</v>
      </c>
      <c r="AT33" s="55">
        <v>86</v>
      </c>
      <c r="AU33" s="55">
        <v>87</v>
      </c>
      <c r="AV33" s="55">
        <v>87</v>
      </c>
      <c r="AW33" s="56">
        <v>88</v>
      </c>
      <c r="AX33" s="55">
        <v>88</v>
      </c>
      <c r="AY33" s="55">
        <v>90</v>
      </c>
      <c r="AZ33" s="55">
        <v>103</v>
      </c>
      <c r="BA33" s="55">
        <v>104</v>
      </c>
      <c r="BB33" s="55">
        <v>104</v>
      </c>
      <c r="BC33" s="55">
        <v>106</v>
      </c>
      <c r="BD33" s="55">
        <v>107</v>
      </c>
      <c r="BE33" s="55">
        <v>107</v>
      </c>
      <c r="BF33" s="55">
        <v>107</v>
      </c>
      <c r="BG33" s="55">
        <v>110</v>
      </c>
      <c r="BH33" s="55">
        <v>110</v>
      </c>
      <c r="BI33" s="56">
        <v>111</v>
      </c>
      <c r="BJ33" s="55">
        <v>113</v>
      </c>
      <c r="BK33" s="55">
        <v>113</v>
      </c>
      <c r="BL33" s="55">
        <v>116</v>
      </c>
      <c r="BM33" s="55">
        <v>116</v>
      </c>
      <c r="BN33" s="55">
        <v>117</v>
      </c>
      <c r="BO33" s="55">
        <v>118</v>
      </c>
      <c r="BP33" s="55">
        <v>118</v>
      </c>
      <c r="BQ33" s="55">
        <v>118</v>
      </c>
      <c r="BR33" s="55">
        <v>118</v>
      </c>
      <c r="BS33" s="55">
        <v>120</v>
      </c>
      <c r="BT33" s="55">
        <v>121</v>
      </c>
      <c r="BU33" s="56">
        <v>121</v>
      </c>
      <c r="BV33" s="55">
        <v>122</v>
      </c>
      <c r="BW33" s="55">
        <v>124</v>
      </c>
      <c r="BX33" s="55">
        <v>130</v>
      </c>
      <c r="BY33" s="55">
        <v>131</v>
      </c>
      <c r="BZ33" s="55">
        <v>131</v>
      </c>
      <c r="CA33" s="55">
        <v>132</v>
      </c>
      <c r="CB33" s="55">
        <v>132</v>
      </c>
      <c r="CC33" s="55">
        <v>132</v>
      </c>
      <c r="CD33" s="55">
        <v>132</v>
      </c>
      <c r="CE33" s="55">
        <v>132</v>
      </c>
      <c r="CF33" s="55">
        <v>132</v>
      </c>
      <c r="CG33" s="121">
        <v>132</v>
      </c>
      <c r="CH33" s="77">
        <v>132</v>
      </c>
      <c r="CI33" s="55">
        <v>132</v>
      </c>
      <c r="CJ33" s="55">
        <v>132</v>
      </c>
      <c r="CK33" s="55">
        <v>132</v>
      </c>
      <c r="CL33" s="55">
        <v>132</v>
      </c>
      <c r="CM33" s="55">
        <v>132</v>
      </c>
      <c r="CN33" s="55">
        <v>132</v>
      </c>
      <c r="CO33" s="55">
        <v>132</v>
      </c>
      <c r="CP33" s="55">
        <v>132</v>
      </c>
      <c r="CQ33" s="55">
        <v>132</v>
      </c>
      <c r="CR33" s="55">
        <v>132</v>
      </c>
      <c r="CS33" s="121">
        <v>132</v>
      </c>
      <c r="CT33" s="77">
        <v>132</v>
      </c>
      <c r="CU33" s="55">
        <v>132</v>
      </c>
      <c r="CV33" s="55">
        <v>132</v>
      </c>
      <c r="CW33" s="55">
        <v>132</v>
      </c>
      <c r="CX33" s="55">
        <v>132</v>
      </c>
      <c r="CY33" s="55">
        <v>132</v>
      </c>
      <c r="CZ33" s="55">
        <v>132</v>
      </c>
      <c r="DA33" s="55">
        <v>132</v>
      </c>
      <c r="DB33" s="55">
        <v>132</v>
      </c>
      <c r="DC33" s="55">
        <v>132</v>
      </c>
      <c r="DD33" s="55">
        <v>132</v>
      </c>
      <c r="DE33" s="121">
        <v>132</v>
      </c>
      <c r="DF33" s="77">
        <v>132</v>
      </c>
      <c r="DG33" s="55">
        <v>132</v>
      </c>
      <c r="DH33" s="55">
        <v>132</v>
      </c>
      <c r="DI33" s="55">
        <v>132</v>
      </c>
      <c r="DJ33" s="55">
        <v>132</v>
      </c>
      <c r="DK33" s="55">
        <v>132</v>
      </c>
      <c r="DL33" s="55">
        <v>132</v>
      </c>
      <c r="DM33" s="55">
        <v>132</v>
      </c>
      <c r="DN33" s="55">
        <v>132</v>
      </c>
      <c r="DO33" s="55">
        <v>132</v>
      </c>
      <c r="DP33" s="55">
        <v>132</v>
      </c>
      <c r="DQ33" s="121">
        <v>132</v>
      </c>
      <c r="DR33" s="77">
        <v>132</v>
      </c>
      <c r="DS33" s="55">
        <v>132</v>
      </c>
      <c r="DT33" s="55">
        <v>132</v>
      </c>
      <c r="DU33" s="55">
        <v>132</v>
      </c>
      <c r="DV33" s="55">
        <v>132</v>
      </c>
      <c r="DW33" s="55">
        <v>132</v>
      </c>
      <c r="DX33" s="55">
        <v>132</v>
      </c>
      <c r="DY33" s="55">
        <v>132</v>
      </c>
      <c r="DZ33" s="55">
        <v>132</v>
      </c>
      <c r="EA33" s="55">
        <v>132</v>
      </c>
      <c r="EB33" s="55">
        <v>132</v>
      </c>
      <c r="EC33" s="55">
        <v>132</v>
      </c>
      <c r="ED33" s="77">
        <v>132</v>
      </c>
      <c r="EE33" s="55">
        <v>132</v>
      </c>
      <c r="EF33" s="55">
        <v>132</v>
      </c>
      <c r="EG33" s="55">
        <v>132</v>
      </c>
      <c r="EH33" s="55">
        <v>132</v>
      </c>
      <c r="EI33" s="55">
        <v>132</v>
      </c>
      <c r="EJ33" s="55">
        <v>132</v>
      </c>
      <c r="EK33" s="55">
        <v>132</v>
      </c>
      <c r="EL33" s="55">
        <v>132</v>
      </c>
      <c r="EM33" s="55">
        <v>132</v>
      </c>
      <c r="EN33" s="55">
        <v>132</v>
      </c>
      <c r="EO33" s="55">
        <v>132</v>
      </c>
      <c r="EP33" s="77">
        <v>132</v>
      </c>
      <c r="EQ33" s="55">
        <v>132</v>
      </c>
      <c r="ER33" s="55">
        <v>132</v>
      </c>
      <c r="ES33" s="55">
        <v>132</v>
      </c>
      <c r="ET33" s="55">
        <v>132</v>
      </c>
      <c r="EU33" s="55">
        <v>132</v>
      </c>
      <c r="EV33" s="55">
        <v>132</v>
      </c>
      <c r="EW33" s="55">
        <v>132</v>
      </c>
      <c r="EX33" s="55">
        <v>132</v>
      </c>
      <c r="EY33" s="55">
        <v>132</v>
      </c>
      <c r="EZ33" s="55">
        <v>132</v>
      </c>
      <c r="FA33" s="83">
        <v>132</v>
      </c>
      <c r="FB33" s="55">
        <v>132</v>
      </c>
      <c r="FC33" s="55">
        <v>132</v>
      </c>
      <c r="FD33" s="55">
        <v>132</v>
      </c>
      <c r="FE33" s="55">
        <v>132</v>
      </c>
      <c r="FF33" s="55">
        <v>132</v>
      </c>
      <c r="FG33" s="55">
        <v>132</v>
      </c>
      <c r="FH33" s="55">
        <v>132</v>
      </c>
      <c r="FI33" s="55">
        <v>132</v>
      </c>
      <c r="FJ33" s="55">
        <v>132</v>
      </c>
      <c r="FK33" s="55">
        <v>132</v>
      </c>
      <c r="FL33" s="55">
        <v>132</v>
      </c>
      <c r="FM33" s="55">
        <v>132</v>
      </c>
      <c r="FN33" s="77">
        <v>135</v>
      </c>
      <c r="FO33" s="55">
        <v>135</v>
      </c>
      <c r="FP33" s="55">
        <v>138</v>
      </c>
      <c r="FQ33" s="55">
        <v>138</v>
      </c>
      <c r="FR33" s="55">
        <v>141</v>
      </c>
      <c r="FS33" s="55">
        <v>142</v>
      </c>
      <c r="FT33" s="55">
        <v>142</v>
      </c>
      <c r="FU33" s="55">
        <v>143</v>
      </c>
      <c r="FV33" s="55">
        <v>143</v>
      </c>
      <c r="FW33" s="55">
        <v>145</v>
      </c>
      <c r="FX33" s="55">
        <v>145</v>
      </c>
      <c r="FY33" s="55">
        <v>145</v>
      </c>
      <c r="FZ33" s="77">
        <v>145</v>
      </c>
      <c r="GA33" s="55">
        <v>145</v>
      </c>
      <c r="GB33" s="55">
        <v>145</v>
      </c>
      <c r="GC33" s="55">
        <v>145</v>
      </c>
      <c r="GD33" s="55">
        <v>145</v>
      </c>
      <c r="GE33" s="55">
        <v>145</v>
      </c>
      <c r="GF33" s="55">
        <v>145</v>
      </c>
      <c r="GG33" s="55">
        <v>145</v>
      </c>
      <c r="GH33" s="55">
        <v>145</v>
      </c>
      <c r="GI33" s="55">
        <v>145</v>
      </c>
      <c r="GJ33" s="55">
        <v>145</v>
      </c>
      <c r="GK33" s="55">
        <v>145</v>
      </c>
      <c r="GL33" s="77">
        <v>145</v>
      </c>
      <c r="GM33" s="55">
        <v>145</v>
      </c>
      <c r="GN33" s="55">
        <v>145</v>
      </c>
      <c r="GO33" s="55">
        <v>145</v>
      </c>
      <c r="GP33" s="55">
        <v>145</v>
      </c>
      <c r="GQ33" s="55">
        <v>145</v>
      </c>
    </row>
    <row r="34" spans="1:199" s="25" customFormat="1" ht="20.149999999999999" customHeight="1" x14ac:dyDescent="0.35">
      <c r="A34" s="31" t="s">
        <v>281</v>
      </c>
      <c r="B34" s="55">
        <v>0</v>
      </c>
      <c r="C34" s="55">
        <v>0</v>
      </c>
      <c r="D34" s="55">
        <v>0</v>
      </c>
      <c r="E34" s="55">
        <v>0</v>
      </c>
      <c r="F34" s="55">
        <v>0</v>
      </c>
      <c r="G34" s="55">
        <v>0</v>
      </c>
      <c r="H34" s="55">
        <v>0</v>
      </c>
      <c r="I34" s="55">
        <v>0</v>
      </c>
      <c r="J34" s="55">
        <v>0</v>
      </c>
      <c r="K34" s="55">
        <v>0</v>
      </c>
      <c r="L34" s="55">
        <v>0</v>
      </c>
      <c r="M34" s="56">
        <v>0</v>
      </c>
      <c r="N34" s="57">
        <v>0</v>
      </c>
      <c r="O34" s="55">
        <v>0</v>
      </c>
      <c r="P34" s="55">
        <v>0</v>
      </c>
      <c r="Q34" s="55">
        <v>0</v>
      </c>
      <c r="R34" s="55">
        <v>0</v>
      </c>
      <c r="S34" s="55">
        <v>0</v>
      </c>
      <c r="T34" s="55">
        <v>0</v>
      </c>
      <c r="U34" s="55">
        <v>0</v>
      </c>
      <c r="V34" s="55">
        <v>0</v>
      </c>
      <c r="W34" s="55">
        <v>0</v>
      </c>
      <c r="X34" s="55">
        <v>0</v>
      </c>
      <c r="Y34" s="56">
        <v>0</v>
      </c>
      <c r="Z34" s="55">
        <v>0</v>
      </c>
      <c r="AA34" s="55">
        <v>0</v>
      </c>
      <c r="AB34" s="55">
        <v>0</v>
      </c>
      <c r="AC34" s="55">
        <v>0</v>
      </c>
      <c r="AD34" s="55">
        <v>0</v>
      </c>
      <c r="AE34" s="55">
        <v>0</v>
      </c>
      <c r="AF34" s="55">
        <v>0</v>
      </c>
      <c r="AG34" s="55">
        <v>0</v>
      </c>
      <c r="AH34" s="55">
        <v>0</v>
      </c>
      <c r="AI34" s="55">
        <v>0</v>
      </c>
      <c r="AJ34" s="55">
        <v>0</v>
      </c>
      <c r="AK34" s="56">
        <v>0</v>
      </c>
      <c r="AL34" s="55">
        <v>0</v>
      </c>
      <c r="AM34" s="55">
        <v>0</v>
      </c>
      <c r="AN34" s="55">
        <v>0</v>
      </c>
      <c r="AO34" s="55">
        <v>0</v>
      </c>
      <c r="AP34" s="55">
        <v>0</v>
      </c>
      <c r="AQ34" s="55">
        <v>0</v>
      </c>
      <c r="AR34" s="55">
        <v>0</v>
      </c>
      <c r="AS34" s="55">
        <v>0</v>
      </c>
      <c r="AT34" s="55">
        <v>0</v>
      </c>
      <c r="AU34" s="55">
        <v>0</v>
      </c>
      <c r="AV34" s="55">
        <v>0</v>
      </c>
      <c r="AW34" s="56">
        <v>0</v>
      </c>
      <c r="AX34" s="55">
        <v>0</v>
      </c>
      <c r="AY34" s="55">
        <v>0</v>
      </c>
      <c r="AZ34" s="55">
        <v>0</v>
      </c>
      <c r="BA34" s="55">
        <v>0</v>
      </c>
      <c r="BB34" s="55">
        <v>0</v>
      </c>
      <c r="BC34" s="55">
        <v>0</v>
      </c>
      <c r="BD34" s="55">
        <v>0</v>
      </c>
      <c r="BE34" s="55">
        <v>0</v>
      </c>
      <c r="BF34" s="55">
        <v>0</v>
      </c>
      <c r="BG34" s="55">
        <v>0</v>
      </c>
      <c r="BH34" s="55">
        <v>0</v>
      </c>
      <c r="BI34" s="56">
        <v>0</v>
      </c>
      <c r="BJ34" s="55">
        <v>0</v>
      </c>
      <c r="BK34" s="55">
        <v>0</v>
      </c>
      <c r="BL34" s="55">
        <v>0</v>
      </c>
      <c r="BM34" s="55">
        <v>0</v>
      </c>
      <c r="BN34" s="55">
        <v>0</v>
      </c>
      <c r="BO34" s="55">
        <v>0</v>
      </c>
      <c r="BP34" s="55">
        <v>0</v>
      </c>
      <c r="BQ34" s="55">
        <v>0</v>
      </c>
      <c r="BR34" s="55">
        <v>0</v>
      </c>
      <c r="BS34" s="55">
        <v>0</v>
      </c>
      <c r="BT34" s="55">
        <v>0</v>
      </c>
      <c r="BU34" s="56">
        <v>0</v>
      </c>
      <c r="BV34" s="55">
        <v>0</v>
      </c>
      <c r="BW34" s="55">
        <v>0</v>
      </c>
      <c r="BX34" s="55">
        <v>0</v>
      </c>
      <c r="BY34" s="55">
        <v>0</v>
      </c>
      <c r="BZ34" s="55">
        <v>0</v>
      </c>
      <c r="CA34" s="55">
        <v>1</v>
      </c>
      <c r="CB34" s="55">
        <v>1</v>
      </c>
      <c r="CC34" s="55">
        <v>1</v>
      </c>
      <c r="CD34" s="55">
        <v>1</v>
      </c>
      <c r="CE34" s="55">
        <v>1</v>
      </c>
      <c r="CF34" s="55">
        <v>1</v>
      </c>
      <c r="CG34" s="121">
        <v>1</v>
      </c>
      <c r="CH34" s="77">
        <v>1</v>
      </c>
      <c r="CI34" s="55">
        <v>1</v>
      </c>
      <c r="CJ34" s="55">
        <v>1</v>
      </c>
      <c r="CK34" s="55">
        <v>1</v>
      </c>
      <c r="CL34" s="55">
        <v>1</v>
      </c>
      <c r="CM34" s="55">
        <v>1</v>
      </c>
      <c r="CN34" s="55">
        <v>2</v>
      </c>
      <c r="CO34" s="55">
        <v>2</v>
      </c>
      <c r="CP34" s="55">
        <v>2</v>
      </c>
      <c r="CQ34" s="55">
        <v>2</v>
      </c>
      <c r="CR34" s="55">
        <v>2</v>
      </c>
      <c r="CS34" s="121">
        <v>2</v>
      </c>
      <c r="CT34" s="77">
        <v>2</v>
      </c>
      <c r="CU34" s="55">
        <v>2</v>
      </c>
      <c r="CV34" s="55">
        <v>2</v>
      </c>
      <c r="CW34" s="55">
        <v>2</v>
      </c>
      <c r="CX34" s="55">
        <v>2</v>
      </c>
      <c r="CY34" s="55">
        <v>2</v>
      </c>
      <c r="CZ34" s="55">
        <v>2</v>
      </c>
      <c r="DA34" s="55">
        <v>2</v>
      </c>
      <c r="DB34" s="55">
        <v>2</v>
      </c>
      <c r="DC34" s="55">
        <v>2</v>
      </c>
      <c r="DD34" s="55">
        <v>2</v>
      </c>
      <c r="DE34" s="121">
        <v>2</v>
      </c>
      <c r="DF34" s="77">
        <v>2</v>
      </c>
      <c r="DG34" s="55">
        <v>2</v>
      </c>
      <c r="DH34" s="55">
        <v>2</v>
      </c>
      <c r="DI34" s="55">
        <v>2</v>
      </c>
      <c r="DJ34" s="55">
        <v>2</v>
      </c>
      <c r="DK34" s="55">
        <v>2</v>
      </c>
      <c r="DL34" s="55">
        <v>2</v>
      </c>
      <c r="DM34" s="55">
        <v>2</v>
      </c>
      <c r="DN34" s="55">
        <v>2</v>
      </c>
      <c r="DO34" s="55">
        <v>2</v>
      </c>
      <c r="DP34" s="55">
        <v>2</v>
      </c>
      <c r="DQ34" s="121">
        <v>2</v>
      </c>
      <c r="DR34" s="77">
        <v>2</v>
      </c>
      <c r="DS34" s="55">
        <v>2</v>
      </c>
      <c r="DT34" s="55">
        <v>2</v>
      </c>
      <c r="DU34" s="55">
        <v>2</v>
      </c>
      <c r="DV34" s="55">
        <v>2</v>
      </c>
      <c r="DW34" s="55">
        <v>2</v>
      </c>
      <c r="DX34" s="55">
        <v>2</v>
      </c>
      <c r="DY34" s="55">
        <v>2</v>
      </c>
      <c r="DZ34" s="55">
        <v>2</v>
      </c>
      <c r="EA34" s="55">
        <v>2</v>
      </c>
      <c r="EB34" s="55">
        <v>2</v>
      </c>
      <c r="EC34" s="55">
        <v>2</v>
      </c>
      <c r="ED34" s="77">
        <v>2</v>
      </c>
      <c r="EE34" s="55">
        <v>2</v>
      </c>
      <c r="EF34" s="55">
        <v>2</v>
      </c>
      <c r="EG34" s="55">
        <v>2</v>
      </c>
      <c r="EH34" s="55">
        <v>2</v>
      </c>
      <c r="EI34" s="55">
        <v>2</v>
      </c>
      <c r="EJ34" s="55">
        <v>2</v>
      </c>
      <c r="EK34" s="55">
        <v>2</v>
      </c>
      <c r="EL34" s="55">
        <v>2</v>
      </c>
      <c r="EM34" s="55">
        <v>2</v>
      </c>
      <c r="EN34" s="55">
        <v>2</v>
      </c>
      <c r="EO34" s="55">
        <v>2</v>
      </c>
      <c r="EP34" s="77">
        <v>2</v>
      </c>
      <c r="EQ34" s="55">
        <v>2</v>
      </c>
      <c r="ER34" s="55">
        <v>2</v>
      </c>
      <c r="ES34" s="55">
        <v>2</v>
      </c>
      <c r="ET34" s="55">
        <v>2</v>
      </c>
      <c r="EU34" s="55">
        <v>2</v>
      </c>
      <c r="EV34" s="55">
        <v>2</v>
      </c>
      <c r="EW34" s="55">
        <v>2</v>
      </c>
      <c r="EX34" s="55">
        <v>2</v>
      </c>
      <c r="EY34" s="55">
        <v>2</v>
      </c>
      <c r="EZ34" s="55">
        <v>2</v>
      </c>
      <c r="FA34" s="83">
        <v>2</v>
      </c>
      <c r="FB34" s="55">
        <v>2</v>
      </c>
      <c r="FC34" s="55">
        <v>2</v>
      </c>
      <c r="FD34" s="55">
        <v>2</v>
      </c>
      <c r="FE34" s="55">
        <v>2</v>
      </c>
      <c r="FF34" s="55">
        <v>2</v>
      </c>
      <c r="FG34" s="55">
        <v>2</v>
      </c>
      <c r="FH34" s="55">
        <v>2</v>
      </c>
      <c r="FI34" s="55">
        <v>2</v>
      </c>
      <c r="FJ34" s="55">
        <v>2</v>
      </c>
      <c r="FK34" s="55">
        <v>2</v>
      </c>
      <c r="FL34" s="55">
        <v>2</v>
      </c>
      <c r="FM34" s="55">
        <v>2</v>
      </c>
      <c r="FN34" s="77">
        <v>2</v>
      </c>
      <c r="FO34" s="55">
        <v>2</v>
      </c>
      <c r="FP34" s="55">
        <v>2</v>
      </c>
      <c r="FQ34" s="55">
        <v>2</v>
      </c>
      <c r="FR34" s="55">
        <v>2</v>
      </c>
      <c r="FS34" s="55">
        <v>2</v>
      </c>
      <c r="FT34" s="55">
        <v>2</v>
      </c>
      <c r="FU34" s="55">
        <v>2</v>
      </c>
      <c r="FV34" s="55">
        <v>2</v>
      </c>
      <c r="FW34" s="55">
        <v>2</v>
      </c>
      <c r="FX34" s="55">
        <v>2</v>
      </c>
      <c r="FY34" s="55">
        <v>2</v>
      </c>
      <c r="FZ34" s="77">
        <v>5</v>
      </c>
      <c r="GA34" s="55">
        <v>5</v>
      </c>
      <c r="GB34" s="55">
        <v>6</v>
      </c>
      <c r="GC34" s="55">
        <v>7</v>
      </c>
      <c r="GD34" s="55">
        <v>9</v>
      </c>
      <c r="GE34" s="55">
        <v>10</v>
      </c>
      <c r="GF34" s="55">
        <v>15</v>
      </c>
      <c r="GG34" s="55">
        <v>17</v>
      </c>
      <c r="GH34" s="55">
        <v>17</v>
      </c>
      <c r="GI34" s="55">
        <v>18</v>
      </c>
      <c r="GJ34" s="55">
        <v>19</v>
      </c>
      <c r="GK34" s="55">
        <v>21</v>
      </c>
      <c r="GL34" s="77">
        <v>23</v>
      </c>
      <c r="GM34" s="55">
        <v>23</v>
      </c>
      <c r="GN34" s="55">
        <v>25</v>
      </c>
      <c r="GO34" s="55">
        <v>30</v>
      </c>
      <c r="GP34" s="55">
        <v>30</v>
      </c>
      <c r="GQ34" s="55">
        <v>35</v>
      </c>
    </row>
    <row r="35" spans="1:199" s="30" customFormat="1" ht="20.149999999999999" customHeight="1" x14ac:dyDescent="0.35">
      <c r="A35" s="31" t="s">
        <v>282</v>
      </c>
      <c r="B35" s="58">
        <v>314</v>
      </c>
      <c r="C35" s="58">
        <v>484</v>
      </c>
      <c r="D35" s="58">
        <v>724</v>
      </c>
      <c r="E35" s="58">
        <v>863</v>
      </c>
      <c r="F35" s="58">
        <v>1048</v>
      </c>
      <c r="G35" s="58">
        <v>1263</v>
      </c>
      <c r="H35" s="58">
        <v>1570</v>
      </c>
      <c r="I35" s="58">
        <v>1787</v>
      </c>
      <c r="J35" s="58">
        <v>2054</v>
      </c>
      <c r="K35" s="58">
        <v>2421</v>
      </c>
      <c r="L35" s="58">
        <v>2829</v>
      </c>
      <c r="M35" s="59">
        <v>3200</v>
      </c>
      <c r="N35" s="60">
        <v>3686</v>
      </c>
      <c r="O35" s="58">
        <v>4192</v>
      </c>
      <c r="P35" s="58">
        <v>5010</v>
      </c>
      <c r="Q35" s="58">
        <v>5469</v>
      </c>
      <c r="R35" s="58">
        <v>5879</v>
      </c>
      <c r="S35" s="58">
        <v>6350</v>
      </c>
      <c r="T35" s="58">
        <v>6843</v>
      </c>
      <c r="U35" s="58">
        <v>7537</v>
      </c>
      <c r="V35" s="58">
        <v>8373</v>
      </c>
      <c r="W35" s="58">
        <v>9386</v>
      </c>
      <c r="X35" s="58">
        <v>11573</v>
      </c>
      <c r="Y35" s="59">
        <v>14228</v>
      </c>
      <c r="Z35" s="58">
        <v>14818</v>
      </c>
      <c r="AA35" s="58">
        <v>16780</v>
      </c>
      <c r="AB35" s="58">
        <v>18566</v>
      </c>
      <c r="AC35" s="58">
        <v>19257</v>
      </c>
      <c r="AD35" s="58">
        <v>20075</v>
      </c>
      <c r="AE35" s="58">
        <v>20980</v>
      </c>
      <c r="AF35" s="58">
        <v>22589</v>
      </c>
      <c r="AG35" s="58">
        <v>23130</v>
      </c>
      <c r="AH35" s="58">
        <v>23767</v>
      </c>
      <c r="AI35" s="58">
        <v>24530</v>
      </c>
      <c r="AJ35" s="58">
        <v>25239</v>
      </c>
      <c r="AK35" s="59">
        <v>25860</v>
      </c>
      <c r="AL35" s="58">
        <v>26514</v>
      </c>
      <c r="AM35" s="58">
        <v>27104</v>
      </c>
      <c r="AN35" s="58">
        <v>27962</v>
      </c>
      <c r="AO35" s="58">
        <v>28738</v>
      </c>
      <c r="AP35" s="58">
        <v>29350</v>
      </c>
      <c r="AQ35" s="58">
        <v>30128</v>
      </c>
      <c r="AR35" s="58">
        <v>30812</v>
      </c>
      <c r="AS35" s="58">
        <v>31418</v>
      </c>
      <c r="AT35" s="58">
        <v>32132</v>
      </c>
      <c r="AU35" s="58">
        <v>32974</v>
      </c>
      <c r="AV35" s="58">
        <v>33987</v>
      </c>
      <c r="AW35" s="59">
        <v>34731</v>
      </c>
      <c r="AX35" s="58">
        <v>35389</v>
      </c>
      <c r="AY35" s="58">
        <v>36142</v>
      </c>
      <c r="AZ35" s="58">
        <v>37240</v>
      </c>
      <c r="BA35" s="58">
        <v>38054</v>
      </c>
      <c r="BB35" s="58">
        <v>38919</v>
      </c>
      <c r="BC35" s="58">
        <v>39997</v>
      </c>
      <c r="BD35" s="58">
        <v>41054</v>
      </c>
      <c r="BE35" s="58">
        <v>41984</v>
      </c>
      <c r="BF35" s="58">
        <v>43275</v>
      </c>
      <c r="BG35" s="58">
        <v>44661</v>
      </c>
      <c r="BH35" s="58">
        <v>45774</v>
      </c>
      <c r="BI35" s="59">
        <v>46881</v>
      </c>
      <c r="BJ35" s="58">
        <v>48029</v>
      </c>
      <c r="BK35" s="58">
        <v>49355</v>
      </c>
      <c r="BL35" s="58">
        <v>51100</v>
      </c>
      <c r="BM35" s="58">
        <v>52375</v>
      </c>
      <c r="BN35" s="58">
        <v>53766</v>
      </c>
      <c r="BO35" s="58">
        <v>55457</v>
      </c>
      <c r="BP35" s="58">
        <v>57031</v>
      </c>
      <c r="BQ35" s="58">
        <v>58431</v>
      </c>
      <c r="BR35" s="58">
        <v>60331</v>
      </c>
      <c r="BS35" s="58">
        <v>62114</v>
      </c>
      <c r="BT35" s="58">
        <v>64201</v>
      </c>
      <c r="BU35" s="59">
        <v>66215</v>
      </c>
      <c r="BV35" s="58">
        <v>68315</v>
      </c>
      <c r="BW35" s="58">
        <v>69374</v>
      </c>
      <c r="BX35" s="58">
        <v>70577</v>
      </c>
      <c r="BY35" s="58">
        <v>71746</v>
      </c>
      <c r="BZ35" s="58">
        <v>72867</v>
      </c>
      <c r="CA35" s="58">
        <v>74196</v>
      </c>
      <c r="CB35" s="58">
        <v>75335</v>
      </c>
      <c r="CC35" s="58">
        <v>76320</v>
      </c>
      <c r="CD35" s="58">
        <v>77745</v>
      </c>
      <c r="CE35" s="58">
        <v>78837</v>
      </c>
      <c r="CF35" s="58">
        <v>80274</v>
      </c>
      <c r="CG35" s="58">
        <v>81175</v>
      </c>
      <c r="CH35" s="77">
        <v>82278</v>
      </c>
      <c r="CI35" s="55">
        <v>83349</v>
      </c>
      <c r="CJ35" s="55">
        <v>84643</v>
      </c>
      <c r="CK35" s="55">
        <v>85513</v>
      </c>
      <c r="CL35" s="55">
        <v>86814</v>
      </c>
      <c r="CM35" s="55">
        <v>88095</v>
      </c>
      <c r="CN35" s="55">
        <v>89216</v>
      </c>
      <c r="CO35" s="55">
        <v>90385</v>
      </c>
      <c r="CP35" s="55">
        <v>91724</v>
      </c>
      <c r="CQ35" s="55">
        <v>93054</v>
      </c>
      <c r="CR35" s="55">
        <v>94673</v>
      </c>
      <c r="CS35" s="121">
        <v>95595</v>
      </c>
      <c r="CT35" s="77">
        <v>96801</v>
      </c>
      <c r="CU35" s="55">
        <v>97998</v>
      </c>
      <c r="CV35" s="55">
        <v>99374</v>
      </c>
      <c r="CW35" s="55">
        <v>100633</v>
      </c>
      <c r="CX35" s="55">
        <v>102040</v>
      </c>
      <c r="CY35" s="55">
        <v>103393</v>
      </c>
      <c r="CZ35" s="55">
        <v>104734</v>
      </c>
      <c r="DA35" s="55">
        <v>106240</v>
      </c>
      <c r="DB35" s="55">
        <v>107622</v>
      </c>
      <c r="DC35" s="55">
        <v>109327</v>
      </c>
      <c r="DD35" s="58">
        <v>111151</v>
      </c>
      <c r="DE35" s="58">
        <v>112485</v>
      </c>
      <c r="DF35" s="77">
        <v>113843</v>
      </c>
      <c r="DG35" s="55">
        <v>115485</v>
      </c>
      <c r="DH35" s="58">
        <v>120440</v>
      </c>
      <c r="DI35" s="55">
        <v>122518</v>
      </c>
      <c r="DJ35" s="55">
        <v>125151</v>
      </c>
      <c r="DK35" s="55">
        <v>128003</v>
      </c>
      <c r="DL35" s="58">
        <v>130909</v>
      </c>
      <c r="DM35" s="55">
        <v>133971</v>
      </c>
      <c r="DN35" s="55">
        <v>137325</v>
      </c>
      <c r="DO35" s="55">
        <v>140878</v>
      </c>
      <c r="DP35" s="55">
        <v>144506</v>
      </c>
      <c r="DQ35" s="58">
        <v>146991</v>
      </c>
      <c r="DR35" s="77">
        <v>150131</v>
      </c>
      <c r="DS35" s="55">
        <v>153150</v>
      </c>
      <c r="DT35" s="55">
        <v>156311</v>
      </c>
      <c r="DU35" s="55">
        <v>156982</v>
      </c>
      <c r="DV35" s="55">
        <v>158065</v>
      </c>
      <c r="DW35" s="55">
        <v>160446</v>
      </c>
      <c r="DX35" s="55">
        <v>163733</v>
      </c>
      <c r="DY35" s="55">
        <v>166951</v>
      </c>
      <c r="DZ35" s="55">
        <v>171054</v>
      </c>
      <c r="EA35" s="55">
        <v>175031</v>
      </c>
      <c r="EB35" s="55">
        <v>179366</v>
      </c>
      <c r="EC35" s="55">
        <v>182515</v>
      </c>
      <c r="ED35" s="77">
        <v>186155</v>
      </c>
      <c r="EE35" s="55">
        <v>189726</v>
      </c>
      <c r="EF35" s="55">
        <v>194687</v>
      </c>
      <c r="EG35" s="55">
        <v>199660</v>
      </c>
      <c r="EH35" s="55">
        <v>204681</v>
      </c>
      <c r="EI35" s="55">
        <v>209877</v>
      </c>
      <c r="EJ35" s="55">
        <v>214757</v>
      </c>
      <c r="EK35" s="55">
        <v>219800</v>
      </c>
      <c r="EL35" s="55">
        <v>225673</v>
      </c>
      <c r="EM35" s="55">
        <v>231232</v>
      </c>
      <c r="EN35" s="55">
        <v>238267</v>
      </c>
      <c r="EO35" s="55">
        <v>243410</v>
      </c>
      <c r="EP35" s="77">
        <v>249466</v>
      </c>
      <c r="EQ35" s="55">
        <v>256965</v>
      </c>
      <c r="ER35" s="55">
        <v>267034</v>
      </c>
      <c r="ES35" s="55">
        <v>276851</v>
      </c>
      <c r="ET35" s="55">
        <v>287954</v>
      </c>
      <c r="EU35" s="55">
        <v>299400</v>
      </c>
      <c r="EV35" s="55">
        <v>310601</v>
      </c>
      <c r="EW35" s="55">
        <v>322984</v>
      </c>
      <c r="EX35" s="55">
        <v>337486</v>
      </c>
      <c r="EY35" s="55">
        <v>351750</v>
      </c>
      <c r="EZ35" s="55">
        <v>368033</v>
      </c>
      <c r="FA35" s="83">
        <v>380383</v>
      </c>
      <c r="FB35" s="55">
        <v>396894</v>
      </c>
      <c r="FC35" s="55">
        <v>414606</v>
      </c>
      <c r="FD35" s="55">
        <v>434786</v>
      </c>
      <c r="FE35" s="55">
        <v>450891</v>
      </c>
      <c r="FF35" s="55">
        <v>469062</v>
      </c>
      <c r="FG35" s="55">
        <v>487678</v>
      </c>
      <c r="FH35" s="55">
        <v>503567</v>
      </c>
      <c r="FI35" s="55">
        <v>519650</v>
      </c>
      <c r="FJ35" s="55">
        <v>535449</v>
      </c>
      <c r="FK35" s="55">
        <v>551047</v>
      </c>
      <c r="FL35" s="55">
        <v>567134</v>
      </c>
      <c r="FM35" s="55">
        <v>577366</v>
      </c>
      <c r="FN35" s="77">
        <v>590636</v>
      </c>
      <c r="FO35" s="55">
        <v>604599</v>
      </c>
      <c r="FP35" s="55">
        <v>619714</v>
      </c>
      <c r="FQ35" s="55">
        <v>635147</v>
      </c>
      <c r="FR35" s="55">
        <v>651341</v>
      </c>
      <c r="FS35" s="55">
        <v>667060</v>
      </c>
      <c r="FT35" s="55">
        <v>683486</v>
      </c>
      <c r="FU35" s="55">
        <v>699032</v>
      </c>
      <c r="FV35" s="55">
        <v>716149</v>
      </c>
      <c r="FW35" s="55">
        <v>736133</v>
      </c>
      <c r="FX35" s="55">
        <v>757202</v>
      </c>
      <c r="FY35" s="55">
        <v>771350</v>
      </c>
      <c r="FZ35" s="77">
        <v>788962</v>
      </c>
      <c r="GA35" s="55">
        <v>809404</v>
      </c>
      <c r="GB35" s="55">
        <v>834069</v>
      </c>
      <c r="GC35" s="55">
        <v>854534</v>
      </c>
      <c r="GD35" s="55">
        <v>877747</v>
      </c>
      <c r="GE35" s="55">
        <v>901438</v>
      </c>
      <c r="GF35" s="55">
        <v>924439</v>
      </c>
      <c r="GG35" s="55">
        <v>944919</v>
      </c>
      <c r="GH35" s="55">
        <v>968959</v>
      </c>
      <c r="GI35" s="55">
        <v>995252</v>
      </c>
      <c r="GJ35" s="55">
        <v>1019232</v>
      </c>
      <c r="GK35" s="55">
        <v>1037731</v>
      </c>
      <c r="GL35" s="77">
        <v>1057426</v>
      </c>
      <c r="GM35" s="55">
        <v>1080495</v>
      </c>
      <c r="GN35" s="55">
        <v>1108918</v>
      </c>
      <c r="GO35" s="55">
        <v>1132324</v>
      </c>
      <c r="GP35" s="55">
        <v>1151324</v>
      </c>
      <c r="GQ35" s="55">
        <v>1178230</v>
      </c>
    </row>
    <row r="36" spans="1:199" s="1" customFormat="1" ht="20.149999999999999" customHeight="1" thickBot="1" x14ac:dyDescent="0.4">
      <c r="A36" s="32" t="s">
        <v>267</v>
      </c>
      <c r="B36" s="61">
        <f>SUM(B30:B35)</f>
        <v>4842</v>
      </c>
      <c r="C36" s="62">
        <f t="shared" ref="C36" si="48">SUM(C30:C35)</f>
        <v>5433</v>
      </c>
      <c r="D36" s="62">
        <f t="shared" ref="D36" si="49">SUM(D30:D35)</f>
        <v>6460</v>
      </c>
      <c r="E36" s="62">
        <f t="shared" ref="E36" si="50">SUM(E30:E35)</f>
        <v>7507</v>
      </c>
      <c r="F36" s="62">
        <f t="shared" ref="F36" si="51">SUM(F30:F35)</f>
        <v>9034</v>
      </c>
      <c r="G36" s="62">
        <f t="shared" ref="G36" si="52">SUM(G30:G35)</f>
        <v>10951</v>
      </c>
      <c r="H36" s="62">
        <f t="shared" ref="H36" si="53">SUM(H30:H35)</f>
        <v>13274</v>
      </c>
      <c r="I36" s="62">
        <f t="shared" ref="I36" si="54">SUM(I30:I35)</f>
        <v>15565</v>
      </c>
      <c r="J36" s="62">
        <f t="shared" ref="J36" si="55">SUM(J30:J35)</f>
        <v>18431</v>
      </c>
      <c r="K36" s="62">
        <f t="shared" ref="K36" si="56">SUM(K30:K35)</f>
        <v>21898</v>
      </c>
      <c r="L36" s="62">
        <f t="shared" ref="L36" si="57">SUM(L30:L35)</f>
        <v>25864</v>
      </c>
      <c r="M36" s="62">
        <f t="shared" ref="M36" si="58">SUM(M30:M35)</f>
        <v>28912</v>
      </c>
      <c r="N36" s="61">
        <f t="shared" ref="N36" si="59">SUM(N30:N35)</f>
        <v>33073</v>
      </c>
      <c r="O36" s="62">
        <f t="shared" ref="O36" si="60">SUM(O30:O35)</f>
        <v>37759</v>
      </c>
      <c r="P36" s="62">
        <f t="shared" ref="P36" si="61">SUM(P30:P35)</f>
        <v>44858</v>
      </c>
      <c r="Q36" s="62">
        <f t="shared" ref="Q36" si="62">SUM(Q30:Q35)</f>
        <v>51274</v>
      </c>
      <c r="R36" s="62">
        <f t="shared" ref="R36" si="63">SUM(R30:R35)</f>
        <v>58638</v>
      </c>
      <c r="S36" s="62">
        <f t="shared" ref="S36" si="64">SUM(S30:S35)</f>
        <v>68203</v>
      </c>
      <c r="T36" s="62">
        <f t="shared" ref="T36" si="65">SUM(T30:T35)</f>
        <v>79526</v>
      </c>
      <c r="U36" s="62">
        <f t="shared" ref="U36" si="66">SUM(U30:U35)</f>
        <v>93770</v>
      </c>
      <c r="V36" s="62">
        <f t="shared" ref="V36" si="67">SUM(V30:V35)</f>
        <v>111274</v>
      </c>
      <c r="W36" s="62">
        <f t="shared" ref="W36" si="68">SUM(W30:W35)</f>
        <v>131750</v>
      </c>
      <c r="X36" s="62">
        <f t="shared" ref="X36" si="69">SUM(X30:X35)</f>
        <v>188963</v>
      </c>
      <c r="Y36" s="63">
        <f t="shared" ref="Y36" si="70">SUM(Y30:Y35)</f>
        <v>235382</v>
      </c>
      <c r="Z36" s="62">
        <f t="shared" ref="Z36" si="71">SUM(Z30:Z35)</f>
        <v>243825</v>
      </c>
      <c r="AA36" s="62">
        <f t="shared" ref="AA36" si="72">SUM(AA30:AA35)</f>
        <v>287909</v>
      </c>
      <c r="AB36" s="62">
        <f t="shared" ref="AB36" si="73">SUM(AB30:AB35)</f>
        <v>314955</v>
      </c>
      <c r="AC36" s="62">
        <f t="shared" ref="AC36" si="74">SUM(AC30:AC35)</f>
        <v>320461</v>
      </c>
      <c r="AD36" s="62">
        <f t="shared" ref="AD36" si="75">SUM(AD30:AD35)</f>
        <v>330953</v>
      </c>
      <c r="AE36" s="62">
        <f t="shared" ref="AE36" si="76">SUM(AE30:AE35)</f>
        <v>344226</v>
      </c>
      <c r="AF36" s="62">
        <f t="shared" ref="AF36" si="77">SUM(AF30:AF35)</f>
        <v>370965</v>
      </c>
      <c r="AG36" s="62">
        <f t="shared" ref="AG36" si="78">SUM(AG30:AG35)</f>
        <v>374882</v>
      </c>
      <c r="AH36" s="62">
        <f t="shared" ref="AH36" si="79">SUM(AH30:AH35)</f>
        <v>380124</v>
      </c>
      <c r="AI36" s="62">
        <f t="shared" ref="AI36" si="80">SUM(AI30:AI35)</f>
        <v>390875</v>
      </c>
      <c r="AJ36" s="62">
        <f t="shared" ref="AJ36" si="81">SUM(AJ30:AJ35)</f>
        <v>396683</v>
      </c>
      <c r="AK36" s="63">
        <f t="shared" ref="AK36" si="82">SUM(AK30:AK35)</f>
        <v>402759</v>
      </c>
      <c r="AL36" s="62">
        <f t="shared" ref="AL36" si="83">SUM(AL30:AL35)</f>
        <v>409223</v>
      </c>
      <c r="AM36" s="62">
        <f t="shared" ref="AM36" si="84">SUM(AM30:AM35)</f>
        <v>416254</v>
      </c>
      <c r="AN36" s="62">
        <f t="shared" ref="AN36" si="85">SUM(AN30:AN35)</f>
        <v>424431</v>
      </c>
      <c r="AO36" s="62">
        <f t="shared" ref="AO36" si="86">SUM(AO30:AO35)</f>
        <v>432893</v>
      </c>
      <c r="AP36" s="62">
        <f t="shared" ref="AP36" si="87">SUM(AP30:AP35)</f>
        <v>441471</v>
      </c>
      <c r="AQ36" s="62">
        <f t="shared" ref="AQ36" si="88">SUM(AQ30:AQ35)</f>
        <v>454201</v>
      </c>
      <c r="AR36" s="62">
        <f t="shared" ref="AR36" si="89">SUM(AR30:AR35)</f>
        <v>460971</v>
      </c>
      <c r="AS36" s="62">
        <f t="shared" ref="AS36" si="90">SUM(AS30:AS35)</f>
        <v>468851</v>
      </c>
      <c r="AT36" s="62">
        <f t="shared" ref="AT36" si="91">SUM(AT30:AT35)</f>
        <v>477235</v>
      </c>
      <c r="AU36" s="62">
        <f t="shared" ref="AU36" si="92">SUM(AU30:AU35)</f>
        <v>486241</v>
      </c>
      <c r="AV36" s="62">
        <f t="shared" ref="AV36" si="93">SUM(AV30:AV35)</f>
        <v>496512</v>
      </c>
      <c r="AW36" s="63">
        <f t="shared" ref="AW36" si="94">SUM(AW30:AW35)</f>
        <v>505123</v>
      </c>
      <c r="AX36" s="62">
        <f t="shared" ref="AX36" si="95">SUM(AX30:AX35)</f>
        <v>513405</v>
      </c>
      <c r="AY36" s="62">
        <f t="shared" ref="AY36" si="96">SUM(AY30:AY35)</f>
        <v>522456</v>
      </c>
      <c r="AZ36" s="62">
        <f t="shared" ref="AZ36" si="97">SUM(AZ30:AZ35)</f>
        <v>538349</v>
      </c>
      <c r="BA36" s="62">
        <f t="shared" ref="BA36" si="98">SUM(BA30:BA35)</f>
        <v>546593</v>
      </c>
      <c r="BB36" s="62">
        <f t="shared" ref="BB36" si="99">SUM(BB30:BB35)</f>
        <v>555651</v>
      </c>
      <c r="BC36" s="62">
        <f t="shared" ref="BC36" si="100">SUM(BC30:BC35)</f>
        <v>565804</v>
      </c>
      <c r="BD36" s="62">
        <f t="shared" ref="BD36" si="101">SUM(BD30:BD35)</f>
        <v>577094</v>
      </c>
      <c r="BE36" s="62">
        <f t="shared" ref="BE36" si="102">SUM(BE30:BE35)</f>
        <v>587910</v>
      </c>
      <c r="BF36" s="62">
        <f t="shared" ref="BF36" si="103">SUM(BF30:BF35)</f>
        <v>600829</v>
      </c>
      <c r="BG36" s="62">
        <f t="shared" ref="BG36" si="104">SUM(BG30:BG35)</f>
        <v>614287</v>
      </c>
      <c r="BH36" s="62">
        <f t="shared" ref="BH36" si="105">SUM(BH30:BH35)</f>
        <v>627016</v>
      </c>
      <c r="BI36" s="63">
        <f t="shared" ref="BI36" si="106">SUM(BI30:BI35)</f>
        <v>640427</v>
      </c>
      <c r="BJ36" s="62">
        <f t="shared" ref="BJ36" si="107">SUM(BJ30:BJ35)</f>
        <v>648985</v>
      </c>
      <c r="BK36" s="62">
        <f t="shared" ref="BK36" si="108">SUM(BK30:BK35)</f>
        <v>659476</v>
      </c>
      <c r="BL36" s="62">
        <f t="shared" ref="BL36" si="109">SUM(BL30:BL35)</f>
        <v>676360</v>
      </c>
      <c r="BM36" s="62">
        <f t="shared" ref="BM36" si="110">SUM(BM30:BM35)</f>
        <v>687324</v>
      </c>
      <c r="BN36" s="62">
        <f t="shared" ref="BN36" si="111">SUM(BN30:BN35)</f>
        <v>698930</v>
      </c>
      <c r="BO36" s="62">
        <f t="shared" ref="BO36" si="112">SUM(BO30:BO35)</f>
        <v>715704</v>
      </c>
      <c r="BP36" s="62">
        <f t="shared" ref="BP36" si="113">SUM(BP30:BP35)</f>
        <v>727398</v>
      </c>
      <c r="BQ36" s="62">
        <f t="shared" ref="BQ36" si="114">SUM(BQ30:BQ35)</f>
        <v>739051</v>
      </c>
      <c r="BR36" s="62">
        <f t="shared" ref="BR36" si="115">SUM(BR30:BR35)</f>
        <v>758458</v>
      </c>
      <c r="BS36" s="62">
        <f t="shared" ref="BS36" si="116">SUM(BS30:BS35)</f>
        <v>775247</v>
      </c>
      <c r="BT36" s="62">
        <f t="shared" ref="BT36" si="117">SUM(BT30:BT35)</f>
        <v>797030</v>
      </c>
      <c r="BU36" s="63">
        <f t="shared" ref="BU36" si="118">SUM(BU30:BU35)</f>
        <v>823072</v>
      </c>
      <c r="BV36" s="62">
        <f t="shared" ref="BV36" si="119">SUM(BV30:BV35)</f>
        <v>838149</v>
      </c>
      <c r="BW36" s="62">
        <f t="shared" ref="BW36" si="120">SUM(BW30:BW35)</f>
        <v>841465</v>
      </c>
      <c r="BX36" s="62">
        <f t="shared" ref="BX36" si="121">SUM(BX30:BX35)</f>
        <v>845897</v>
      </c>
      <c r="BY36" s="62">
        <f t="shared" ref="BY36" si="122">SUM(BY30:BY35)</f>
        <v>849276</v>
      </c>
      <c r="BZ36" s="62">
        <f t="shared" ref="BZ36" si="123">SUM(BZ30:BZ35)</f>
        <v>852747</v>
      </c>
      <c r="CA36" s="62">
        <f t="shared" ref="CA36" si="124">SUM(CA30:CA35)</f>
        <v>856874</v>
      </c>
      <c r="CB36" s="62">
        <f t="shared" ref="CB36" si="125">SUM(CB30:CB35)</f>
        <v>860125</v>
      </c>
      <c r="CC36" s="62">
        <f t="shared" ref="CC36" si="126">SUM(CC30:CC35)</f>
        <v>863185</v>
      </c>
      <c r="CD36" s="62">
        <f t="shared" ref="CD36" si="127">SUM(CD30:CD35)</f>
        <v>866997</v>
      </c>
      <c r="CE36" s="62">
        <f t="shared" ref="CE36" si="128">SUM(CE30:CE35)</f>
        <v>869837</v>
      </c>
      <c r="CF36" s="62">
        <f t="shared" ref="CF36" si="129">SUM(CF30:CF35)</f>
        <v>873286</v>
      </c>
      <c r="CG36" s="62">
        <f t="shared" ref="CG36" si="130">SUM(CG30:CG35)</f>
        <v>875886</v>
      </c>
      <c r="CH36" s="122">
        <f t="shared" ref="CH36" si="131">SUM(CH30:CH35)</f>
        <v>878366</v>
      </c>
      <c r="CI36" s="62">
        <f t="shared" ref="CI36" si="132">SUM(CI30:CI35)</f>
        <v>881039</v>
      </c>
      <c r="CJ36" s="62">
        <f t="shared" ref="CJ36" si="133">SUM(CJ30:CJ35)</f>
        <v>884667</v>
      </c>
      <c r="CK36" s="62">
        <f t="shared" ref="CK36" si="134">SUM(CK30:CK35)</f>
        <v>887082</v>
      </c>
      <c r="CL36" s="62">
        <f t="shared" ref="CL36" si="135">SUM(CL30:CL35)</f>
        <v>890321</v>
      </c>
      <c r="CM36" s="62">
        <f t="shared" ref="CM36" si="136">SUM(CM30:CM35)</f>
        <v>893551</v>
      </c>
      <c r="CN36" s="62">
        <f t="shared" ref="CN36" si="137">SUM(CN30:CN35)</f>
        <v>896408</v>
      </c>
      <c r="CO36" s="62">
        <f t="shared" ref="CO36" si="138">SUM(CO30:CO35)</f>
        <v>899610</v>
      </c>
      <c r="CP36" s="62">
        <f t="shared" ref="CP36" si="139">SUM(CP30:CP35)</f>
        <v>902972</v>
      </c>
      <c r="CQ36" s="62">
        <f t="shared" ref="CQ36" si="140">SUM(CQ30:CQ35)</f>
        <v>906127</v>
      </c>
      <c r="CR36" s="62">
        <f t="shared" ref="CR36" si="141">SUM(CR30:CR35)</f>
        <v>909880</v>
      </c>
      <c r="CS36" s="62">
        <f t="shared" ref="CS36" si="142">SUM(CS30:CS35)</f>
        <v>912343</v>
      </c>
      <c r="CT36" s="122">
        <f t="shared" ref="CT36" si="143">SUM(CT30:CT35)</f>
        <v>915147</v>
      </c>
      <c r="CU36" s="62">
        <f t="shared" ref="CU36" si="144">SUM(CU30:CU35)</f>
        <v>917870</v>
      </c>
      <c r="CV36" s="62">
        <f t="shared" ref="CV36" si="145">SUM(CV30:CV35)</f>
        <v>921204</v>
      </c>
      <c r="CW36" s="62">
        <f t="shared" ref="CW36" si="146">SUM(CW30:CW35)</f>
        <v>924208</v>
      </c>
      <c r="CX36" s="62">
        <f t="shared" ref="CX36" si="147">SUM(CX30:CX35)</f>
        <v>927574</v>
      </c>
      <c r="CY36" s="62">
        <f t="shared" ref="CY36" si="148">SUM(CY30:CY35)</f>
        <v>931048</v>
      </c>
      <c r="CZ36" s="62">
        <f t="shared" ref="CZ36" si="149">SUM(CZ30:CZ35)</f>
        <v>934319</v>
      </c>
      <c r="DA36" s="62">
        <f t="shared" ref="DA36" si="150">SUM(DA30:DA35)</f>
        <v>938042</v>
      </c>
      <c r="DB36" s="62">
        <f t="shared" ref="DB36" si="151">SUM(DB30:DB35)</f>
        <v>941901</v>
      </c>
      <c r="DC36" s="62">
        <f t="shared" ref="DC36" si="152">SUM(DC30:DC35)</f>
        <v>946285</v>
      </c>
      <c r="DD36" s="62">
        <f t="shared" ref="DD36" si="153">SUM(DD30:DD35)</f>
        <v>951129</v>
      </c>
      <c r="DE36" s="62">
        <f t="shared" ref="DE36" si="154">SUM(DE30:DE35)</f>
        <v>955163</v>
      </c>
      <c r="DF36" s="122">
        <f t="shared" ref="DF36" si="155">SUM(DF30:DF35)</f>
        <v>960179</v>
      </c>
      <c r="DG36" s="62">
        <f t="shared" ref="DG36" si="156">SUM(DG30:DG35)</f>
        <v>966216</v>
      </c>
      <c r="DH36" s="62">
        <f t="shared" ref="DH36" si="157">SUM(DH30:DH35)</f>
        <v>981258</v>
      </c>
      <c r="DI36" s="62">
        <f t="shared" ref="DI36" si="158">SUM(DI30:DI35)</f>
        <v>983354</v>
      </c>
      <c r="DJ36" s="62">
        <f t="shared" ref="DJ36" si="159">SUM(DJ30:DJ35)</f>
        <v>985999</v>
      </c>
      <c r="DK36" s="62">
        <f t="shared" ref="DK36" si="160">SUM(DK30:DK35)</f>
        <v>988865</v>
      </c>
      <c r="DL36" s="62">
        <f t="shared" ref="DL36" si="161">SUM(DL30:DL35)</f>
        <v>991786</v>
      </c>
      <c r="DM36" s="62">
        <f t="shared" ref="DM36" si="162">SUM(DM30:DM35)</f>
        <v>994875</v>
      </c>
      <c r="DN36" s="62">
        <f t="shared" ref="DN36" si="163">SUM(DN30:DN35)</f>
        <v>998259</v>
      </c>
      <c r="DO36" s="62">
        <f t="shared" ref="DO36" si="164">SUM(DO30:DO35)</f>
        <v>1001824</v>
      </c>
      <c r="DP36" s="62">
        <f t="shared" ref="DP36" si="165">SUM(DP30:DP35)</f>
        <v>1005467</v>
      </c>
      <c r="DQ36" s="62">
        <f t="shared" ref="DQ36" si="166">SUM(DQ30:DQ35)</f>
        <v>1007965</v>
      </c>
      <c r="DR36" s="122">
        <f t="shared" ref="DR36" si="167">SUM(DR30:DR35)</f>
        <v>1011129</v>
      </c>
      <c r="DS36" s="62">
        <f t="shared" ref="DS36" si="168">SUM(DS30:DS35)</f>
        <v>1014180</v>
      </c>
      <c r="DT36" s="62">
        <f t="shared" ref="DT36" si="169">SUM(DT30:DT35)</f>
        <v>1017425</v>
      </c>
      <c r="DU36" s="62">
        <f t="shared" ref="DU36" si="170">SUM(DU30:DU35)</f>
        <v>1018096</v>
      </c>
      <c r="DV36" s="62">
        <f t="shared" ref="DV36" si="171">SUM(DV30:DV35)</f>
        <v>1019179</v>
      </c>
      <c r="DW36" s="62">
        <f t="shared" ref="DW36" si="172">SUM(DW30:DW35)</f>
        <v>1021561</v>
      </c>
      <c r="DX36" s="62">
        <f t="shared" ref="DX36" si="173">SUM(DX30:DX35)</f>
        <v>1024849</v>
      </c>
      <c r="DY36" s="62">
        <f t="shared" ref="DY36" si="174">SUM(DY30:DY35)</f>
        <v>1028073</v>
      </c>
      <c r="DZ36" s="62">
        <f t="shared" ref="DZ36" si="175">SUM(DZ30:DZ35)</f>
        <v>1032182</v>
      </c>
      <c r="EA36" s="62">
        <f t="shared" ref="EA36" si="176">SUM(EA30:EA35)</f>
        <v>1036160</v>
      </c>
      <c r="EB36" s="62">
        <f t="shared" ref="EB36" si="177">SUM(EB30:EB35)</f>
        <v>1040495</v>
      </c>
      <c r="EC36" s="62">
        <f t="shared" ref="EC36" si="178">SUM(EC30:EC35)</f>
        <v>1043646</v>
      </c>
      <c r="ED36" s="122">
        <f t="shared" ref="ED36" si="179">SUM(ED30:ED35)</f>
        <v>1047287</v>
      </c>
      <c r="EE36" s="62">
        <f t="shared" ref="EE36" si="180">SUM(EE30:EE35)</f>
        <v>1050858</v>
      </c>
      <c r="EF36" s="62">
        <f t="shared" ref="EF36" si="181">SUM(EF30:EF35)</f>
        <v>1055819</v>
      </c>
      <c r="EG36" s="62">
        <f t="shared" ref="EG36" si="182">SUM(EG30:EG35)</f>
        <v>1060792</v>
      </c>
      <c r="EH36" s="62">
        <f t="shared" ref="EH36" si="183">SUM(EH30:EH35)</f>
        <v>1065813</v>
      </c>
      <c r="EI36" s="62">
        <f t="shared" ref="EI36" si="184">SUM(EI30:EI35)</f>
        <v>1071009</v>
      </c>
      <c r="EJ36" s="62">
        <f t="shared" ref="EJ36" si="185">SUM(EJ30:EJ35)</f>
        <v>1075889</v>
      </c>
      <c r="EK36" s="62">
        <f t="shared" ref="EK36" si="186">SUM(EK30:EK35)</f>
        <v>1080932</v>
      </c>
      <c r="EL36" s="62">
        <f t="shared" ref="EL36" si="187">SUM(EL30:EL35)</f>
        <v>1086805</v>
      </c>
      <c r="EM36" s="62">
        <f t="shared" ref="EM36" si="188">SUM(EM30:EM35)</f>
        <v>1092364</v>
      </c>
      <c r="EN36" s="62">
        <f t="shared" ref="EN36" si="189">SUM(EN30:EN35)</f>
        <v>1099399</v>
      </c>
      <c r="EO36" s="62">
        <f t="shared" ref="EO36" si="190">SUM(EO30:EO35)</f>
        <v>1104542</v>
      </c>
      <c r="EP36" s="122">
        <f t="shared" ref="EP36" si="191">SUM(EP30:EP35)</f>
        <v>1110598</v>
      </c>
      <c r="EQ36" s="62">
        <f t="shared" ref="EQ36" si="192">SUM(EQ30:EQ35)</f>
        <v>1118097</v>
      </c>
      <c r="ER36" s="62">
        <f t="shared" ref="ER36" si="193">SUM(ER30:ER35)</f>
        <v>1128166</v>
      </c>
      <c r="ES36" s="62">
        <f t="shared" ref="ES36" si="194">SUM(ES30:ES35)</f>
        <v>1137983</v>
      </c>
      <c r="ET36" s="62">
        <f t="shared" ref="ET36" si="195">SUM(ET30:ET35)</f>
        <v>1149086</v>
      </c>
      <c r="EU36" s="62">
        <f t="shared" ref="EU36" si="196">SUM(EU30:EU35)</f>
        <v>1160532</v>
      </c>
      <c r="EV36" s="62">
        <f t="shared" ref="EV36" si="197">SUM(EV30:EV35)</f>
        <v>1171733</v>
      </c>
      <c r="EW36" s="62">
        <f t="shared" ref="EW36" si="198">SUM(EW30:EW35)</f>
        <v>1184116</v>
      </c>
      <c r="EX36" s="62">
        <f t="shared" ref="EX36" si="199">SUM(EX30:EX35)</f>
        <v>1198618</v>
      </c>
      <c r="EY36" s="62">
        <f t="shared" ref="EY36" si="200">SUM(EY30:EY35)</f>
        <v>1212882</v>
      </c>
      <c r="EZ36" s="62">
        <f t="shared" ref="EZ36" si="201">SUM(EZ30:EZ35)</f>
        <v>1229165</v>
      </c>
      <c r="FA36" s="127">
        <f t="shared" ref="FA36" si="202">SUM(FA30:FA35)</f>
        <v>1241515</v>
      </c>
      <c r="FB36" s="62">
        <f t="shared" ref="FB36" si="203">SUM(FB30:FB35)</f>
        <v>1258026</v>
      </c>
      <c r="FC36" s="62">
        <f t="shared" ref="FC36" si="204">SUM(FC30:FC35)</f>
        <v>1275738</v>
      </c>
      <c r="FD36" s="62">
        <f t="shared" ref="FD36:FF36" si="205">SUM(FD30:FD35)</f>
        <v>1295918</v>
      </c>
      <c r="FE36" s="62">
        <f t="shared" si="205"/>
        <v>1312023</v>
      </c>
      <c r="FF36" s="62">
        <f t="shared" si="205"/>
        <v>1330194</v>
      </c>
      <c r="FG36" s="62">
        <f t="shared" ref="FG36:FJ36" si="206">SUM(FG30:FG35)</f>
        <v>1348810</v>
      </c>
      <c r="FH36" s="62">
        <f t="shared" si="206"/>
        <v>1364699</v>
      </c>
      <c r="FI36" s="62">
        <f t="shared" si="206"/>
        <v>1380782</v>
      </c>
      <c r="FJ36" s="62">
        <f t="shared" si="206"/>
        <v>1396581</v>
      </c>
      <c r="FK36" s="62">
        <f t="shared" ref="FK36:FV36" si="207">SUM(FK30:FK35)</f>
        <v>1412179</v>
      </c>
      <c r="FL36" s="62">
        <f t="shared" si="207"/>
        <v>1428266</v>
      </c>
      <c r="FM36" s="62">
        <f t="shared" si="207"/>
        <v>1438498</v>
      </c>
      <c r="FN36" s="122">
        <f t="shared" si="207"/>
        <v>1451771</v>
      </c>
      <c r="FO36" s="62">
        <f t="shared" si="207"/>
        <v>1465734</v>
      </c>
      <c r="FP36" s="62">
        <f t="shared" si="207"/>
        <v>1480852</v>
      </c>
      <c r="FQ36" s="62">
        <f t="shared" si="207"/>
        <v>1496285</v>
      </c>
      <c r="FR36" s="62">
        <f t="shared" si="207"/>
        <v>1512482</v>
      </c>
      <c r="FS36" s="62">
        <f t="shared" si="207"/>
        <v>1528202</v>
      </c>
      <c r="FT36" s="62">
        <f t="shared" si="207"/>
        <v>1544628</v>
      </c>
      <c r="FU36" s="62">
        <f t="shared" si="207"/>
        <v>1560175</v>
      </c>
      <c r="FV36" s="62">
        <f t="shared" si="207"/>
        <v>1577292</v>
      </c>
      <c r="FW36" s="62">
        <f t="shared" ref="FW36:FY36" si="208">SUM(FW30:FW35)</f>
        <v>1597278</v>
      </c>
      <c r="FX36" s="62">
        <f t="shared" si="208"/>
        <v>1618347</v>
      </c>
      <c r="FY36" s="62">
        <f t="shared" si="208"/>
        <v>1632495</v>
      </c>
      <c r="FZ36" s="122">
        <f t="shared" ref="FZ36:GB36" si="209">SUM(FZ30:FZ35)</f>
        <v>1650110</v>
      </c>
      <c r="GA36" s="62">
        <f t="shared" si="209"/>
        <v>1670552</v>
      </c>
      <c r="GB36" s="62">
        <f t="shared" si="209"/>
        <v>1695218</v>
      </c>
      <c r="GC36" s="62">
        <f t="shared" ref="GC36:GG36" si="210">SUM(GC30:GC35)</f>
        <v>1715684</v>
      </c>
      <c r="GD36" s="62">
        <f t="shared" si="210"/>
        <v>1738899</v>
      </c>
      <c r="GE36" s="62">
        <f t="shared" si="210"/>
        <v>1762591</v>
      </c>
      <c r="GF36" s="62">
        <f t="shared" si="210"/>
        <v>1785597</v>
      </c>
      <c r="GG36" s="62">
        <f t="shared" si="210"/>
        <v>1806079</v>
      </c>
      <c r="GH36" s="62">
        <f t="shared" ref="GH36:GI36" si="211">SUM(GH30:GH35)</f>
        <v>1830119</v>
      </c>
      <c r="GI36" s="62">
        <f t="shared" si="211"/>
        <v>1856413</v>
      </c>
      <c r="GJ36" s="62">
        <f t="shared" ref="GJ36:GK36" si="212">SUM(GJ30:GJ35)</f>
        <v>1880394</v>
      </c>
      <c r="GK36" s="62">
        <f t="shared" si="212"/>
        <v>1898895</v>
      </c>
      <c r="GL36" s="122">
        <f t="shared" ref="GL36:GM36" si="213">SUM(GL30:GL35)</f>
        <v>1918592</v>
      </c>
      <c r="GM36" s="62">
        <f t="shared" si="213"/>
        <v>1941661</v>
      </c>
      <c r="GN36" s="62">
        <f t="shared" ref="GN36:GO36" si="214">SUM(GN30:GN35)</f>
        <v>1970086</v>
      </c>
      <c r="GO36" s="62">
        <f t="shared" si="214"/>
        <v>1993497</v>
      </c>
      <c r="GP36" s="62">
        <f t="shared" ref="GP36:GQ36" si="215">SUM(GP30:GP35)</f>
        <v>2012497</v>
      </c>
      <c r="GQ36" s="62">
        <f t="shared" si="215"/>
        <v>2039408</v>
      </c>
    </row>
    <row r="37" spans="1:199" s="1" customFormat="1" ht="20.149999999999999" customHeight="1" thickTop="1" x14ac:dyDescent="0.35">
      <c r="A37" s="26" t="s">
        <v>268</v>
      </c>
      <c r="B37" s="55"/>
      <c r="C37" s="55"/>
      <c r="D37" s="55"/>
      <c r="E37" s="55"/>
      <c r="F37" s="55"/>
      <c r="G37" s="55"/>
      <c r="H37" s="55"/>
      <c r="I37" s="55"/>
      <c r="J37" s="55"/>
      <c r="K37" s="55"/>
      <c r="L37" s="55"/>
      <c r="M37" s="56"/>
      <c r="N37" s="57"/>
      <c r="O37" s="55"/>
      <c r="P37" s="55"/>
      <c r="Q37" s="55"/>
      <c r="R37" s="55"/>
      <c r="S37" s="55"/>
      <c r="T37" s="55"/>
      <c r="U37" s="55"/>
      <c r="V37" s="55"/>
      <c r="W37" s="55"/>
      <c r="X37" s="55"/>
      <c r="Y37" s="56"/>
      <c r="Z37" s="55"/>
      <c r="AA37" s="55"/>
      <c r="AB37" s="55"/>
      <c r="AC37" s="55"/>
      <c r="AD37" s="55"/>
      <c r="AE37" s="55"/>
      <c r="AF37" s="55"/>
      <c r="AG37" s="55"/>
      <c r="AH37" s="55"/>
      <c r="AI37" s="55"/>
      <c r="AJ37" s="55"/>
      <c r="AK37" s="56"/>
      <c r="AL37" s="55"/>
      <c r="AM37" s="55"/>
      <c r="AN37" s="55"/>
      <c r="AO37" s="55"/>
      <c r="AP37" s="55"/>
      <c r="AQ37" s="55"/>
      <c r="AR37" s="55"/>
      <c r="AS37" s="55"/>
      <c r="AT37" s="55"/>
      <c r="AU37" s="55"/>
      <c r="AV37" s="55"/>
      <c r="AW37" s="56"/>
      <c r="AX37" s="55"/>
      <c r="AY37" s="55"/>
      <c r="AZ37" s="55"/>
      <c r="BA37" s="55"/>
      <c r="BB37" s="55"/>
      <c r="BC37" s="55"/>
      <c r="BD37" s="55"/>
      <c r="BE37" s="55"/>
      <c r="BF37" s="55"/>
      <c r="BG37" s="55"/>
      <c r="BH37" s="55"/>
      <c r="BI37" s="56"/>
      <c r="BJ37" s="55"/>
      <c r="BK37" s="55"/>
      <c r="BL37" s="55"/>
      <c r="BM37" s="55"/>
      <c r="BN37" s="55"/>
      <c r="BO37" s="55"/>
      <c r="BP37" s="55"/>
      <c r="BQ37" s="55"/>
      <c r="BR37" s="55"/>
      <c r="BS37" s="55"/>
      <c r="BT37" s="55"/>
      <c r="BU37" s="56"/>
      <c r="BV37" s="55"/>
      <c r="BW37" s="55"/>
      <c r="BX37" s="55"/>
      <c r="BY37" s="55"/>
      <c r="BZ37" s="55"/>
      <c r="CA37" s="55"/>
      <c r="CB37" s="55"/>
      <c r="CC37" s="55"/>
      <c r="CD37" s="55"/>
      <c r="CE37" s="55"/>
      <c r="CF37" s="55"/>
      <c r="CG37" s="121"/>
      <c r="CH37" s="77"/>
      <c r="CI37" s="55"/>
      <c r="CJ37" s="55"/>
      <c r="CK37" s="55"/>
      <c r="CL37" s="55"/>
      <c r="CM37" s="55"/>
      <c r="CN37" s="55"/>
      <c r="CO37" s="55"/>
      <c r="CP37" s="55"/>
      <c r="CQ37" s="55"/>
      <c r="CR37" s="55"/>
      <c r="CS37" s="121"/>
      <c r="CT37" s="77"/>
      <c r="CU37" s="55"/>
      <c r="CV37" s="55"/>
      <c r="CW37" s="55"/>
      <c r="CX37" s="55"/>
      <c r="CY37" s="55"/>
      <c r="CZ37" s="55"/>
      <c r="DA37" s="55"/>
      <c r="DB37" s="55"/>
      <c r="DC37" s="55"/>
      <c r="DD37" s="55"/>
      <c r="DE37" s="121"/>
      <c r="DF37" s="77"/>
      <c r="DG37" s="55"/>
      <c r="DH37" s="55"/>
      <c r="DI37" s="55"/>
      <c r="DJ37" s="55"/>
      <c r="DK37" s="55"/>
      <c r="DL37" s="55"/>
      <c r="DM37" s="55"/>
      <c r="DN37" s="55"/>
      <c r="DO37" s="55"/>
      <c r="DP37" s="55"/>
      <c r="DQ37" s="121"/>
      <c r="DR37" s="77"/>
      <c r="DS37" s="55"/>
      <c r="DT37" s="123"/>
      <c r="DU37" s="123"/>
      <c r="DV37" s="123"/>
      <c r="DW37" s="123"/>
      <c r="DX37" s="123"/>
      <c r="DY37" s="123"/>
      <c r="DZ37" s="123"/>
      <c r="EA37" s="123"/>
      <c r="EB37" s="123"/>
      <c r="EC37" s="123"/>
      <c r="ED37" s="77"/>
      <c r="EE37" s="55"/>
      <c r="EF37" s="123"/>
      <c r="EG37" s="123"/>
      <c r="EH37" s="123"/>
      <c r="EI37" s="123"/>
      <c r="EJ37" s="123"/>
      <c r="EK37" s="123"/>
      <c r="EL37" s="123"/>
      <c r="EM37" s="123"/>
      <c r="EN37" s="123"/>
      <c r="EO37" s="123"/>
      <c r="EP37" s="77"/>
      <c r="EQ37" s="55"/>
      <c r="ER37" s="123"/>
      <c r="ES37" s="123"/>
      <c r="ET37" s="123"/>
      <c r="EU37" s="123"/>
      <c r="EV37" s="123"/>
      <c r="EW37" s="123"/>
      <c r="EX37" s="123"/>
      <c r="EY37" s="123"/>
      <c r="EZ37" s="123"/>
      <c r="FA37" s="133"/>
      <c r="FB37" s="123"/>
      <c r="FC37" s="123"/>
      <c r="FD37" s="123"/>
      <c r="FE37" s="123"/>
      <c r="FF37" s="123"/>
      <c r="FG37" s="123"/>
      <c r="FH37" s="123"/>
      <c r="FI37" s="123"/>
      <c r="FJ37" s="123"/>
      <c r="FK37" s="126"/>
      <c r="FL37" s="126"/>
      <c r="FM37" s="126"/>
      <c r="FN37" s="167"/>
      <c r="FO37" s="123"/>
      <c r="FP37" s="123"/>
      <c r="FQ37" s="123"/>
      <c r="FR37" s="123"/>
      <c r="FS37" s="123"/>
      <c r="FT37" s="123"/>
      <c r="FU37" s="123"/>
      <c r="FV37" s="123"/>
      <c r="FW37" s="126"/>
      <c r="FX37" s="126"/>
      <c r="FY37" s="126"/>
      <c r="FZ37" s="167"/>
      <c r="GA37" s="123"/>
      <c r="GB37" s="123"/>
      <c r="GC37" s="123"/>
      <c r="GD37" s="123"/>
      <c r="GE37" s="123"/>
      <c r="GF37" s="123"/>
      <c r="GG37" s="126"/>
      <c r="GH37" s="126"/>
      <c r="GI37" s="126"/>
      <c r="GJ37" s="126"/>
      <c r="GK37" s="126"/>
      <c r="GL37" s="167"/>
      <c r="GM37" s="123"/>
      <c r="GN37" s="123"/>
      <c r="GO37" s="123"/>
      <c r="GP37" s="123"/>
      <c r="GQ37" s="123"/>
    </row>
    <row r="38" spans="1:199" s="1" customFormat="1" ht="20.149999999999999" customHeight="1" x14ac:dyDescent="0.35">
      <c r="A38" s="31" t="s">
        <v>279</v>
      </c>
      <c r="B38" s="55">
        <v>0</v>
      </c>
      <c r="C38" s="55">
        <v>0</v>
      </c>
      <c r="D38" s="55">
        <v>0</v>
      </c>
      <c r="E38" s="55">
        <v>0</v>
      </c>
      <c r="F38" s="55">
        <v>0</v>
      </c>
      <c r="G38" s="55">
        <v>0</v>
      </c>
      <c r="H38" s="55">
        <v>0</v>
      </c>
      <c r="I38" s="55">
        <v>0</v>
      </c>
      <c r="J38" s="55">
        <v>0</v>
      </c>
      <c r="K38" s="55">
        <v>0</v>
      </c>
      <c r="L38" s="55">
        <v>0</v>
      </c>
      <c r="M38" s="56">
        <v>0</v>
      </c>
      <c r="N38" s="57">
        <v>0</v>
      </c>
      <c r="O38" s="55">
        <v>0</v>
      </c>
      <c r="P38" s="55">
        <v>0</v>
      </c>
      <c r="Q38" s="55">
        <v>0</v>
      </c>
      <c r="R38" s="55">
        <v>0</v>
      </c>
      <c r="S38" s="55">
        <v>0</v>
      </c>
      <c r="T38" s="55">
        <v>0</v>
      </c>
      <c r="U38" s="55">
        <v>0</v>
      </c>
      <c r="V38" s="55">
        <v>0</v>
      </c>
      <c r="W38" s="55">
        <v>0</v>
      </c>
      <c r="X38" s="55">
        <v>0</v>
      </c>
      <c r="Y38" s="56">
        <v>0</v>
      </c>
      <c r="Z38" s="55">
        <v>0</v>
      </c>
      <c r="AA38" s="55">
        <v>0</v>
      </c>
      <c r="AB38" s="55">
        <v>0</v>
      </c>
      <c r="AC38" s="55">
        <v>0</v>
      </c>
      <c r="AD38" s="55">
        <v>0</v>
      </c>
      <c r="AE38" s="55">
        <v>0</v>
      </c>
      <c r="AF38" s="55">
        <v>0</v>
      </c>
      <c r="AG38" s="55">
        <v>0</v>
      </c>
      <c r="AH38" s="55">
        <v>0</v>
      </c>
      <c r="AI38" s="55">
        <v>0</v>
      </c>
      <c r="AJ38" s="55">
        <v>0</v>
      </c>
      <c r="AK38" s="56">
        <v>0</v>
      </c>
      <c r="AL38" s="55">
        <v>0</v>
      </c>
      <c r="AM38" s="55">
        <v>0</v>
      </c>
      <c r="AN38" s="55">
        <v>0</v>
      </c>
      <c r="AO38" s="55">
        <v>0</v>
      </c>
      <c r="AP38" s="55">
        <v>0</v>
      </c>
      <c r="AQ38" s="55">
        <v>0</v>
      </c>
      <c r="AR38" s="55">
        <v>0</v>
      </c>
      <c r="AS38" s="55">
        <v>0</v>
      </c>
      <c r="AT38" s="55">
        <v>0</v>
      </c>
      <c r="AU38" s="55">
        <v>0</v>
      </c>
      <c r="AV38" s="55">
        <v>0</v>
      </c>
      <c r="AW38" s="56">
        <v>0</v>
      </c>
      <c r="AX38" s="55">
        <v>0</v>
      </c>
      <c r="AY38" s="55">
        <v>0</v>
      </c>
      <c r="AZ38" s="55">
        <v>0</v>
      </c>
      <c r="BA38" s="55">
        <v>0</v>
      </c>
      <c r="BB38" s="55">
        <v>0</v>
      </c>
      <c r="BC38" s="55">
        <v>0</v>
      </c>
      <c r="BD38" s="55">
        <v>0</v>
      </c>
      <c r="BE38" s="55">
        <v>0</v>
      </c>
      <c r="BF38" s="55">
        <v>0</v>
      </c>
      <c r="BG38" s="55">
        <v>0</v>
      </c>
      <c r="BH38" s="55">
        <v>0</v>
      </c>
      <c r="BI38" s="56">
        <v>0</v>
      </c>
      <c r="BJ38" s="55">
        <v>0</v>
      </c>
      <c r="BK38" s="55">
        <v>0</v>
      </c>
      <c r="BL38" s="55">
        <v>0</v>
      </c>
      <c r="BM38" s="55">
        <v>0</v>
      </c>
      <c r="BN38" s="55">
        <v>0</v>
      </c>
      <c r="BO38" s="55">
        <v>0</v>
      </c>
      <c r="BP38" s="55">
        <v>0</v>
      </c>
      <c r="BQ38" s="55">
        <v>0</v>
      </c>
      <c r="BR38" s="55">
        <v>0</v>
      </c>
      <c r="BS38" s="55">
        <v>0</v>
      </c>
      <c r="BT38" s="55">
        <v>0</v>
      </c>
      <c r="BU38" s="56">
        <v>0</v>
      </c>
      <c r="BV38" s="55">
        <v>0</v>
      </c>
      <c r="BW38" s="55">
        <v>0</v>
      </c>
      <c r="BX38" s="55">
        <v>0</v>
      </c>
      <c r="BY38" s="55">
        <v>1</v>
      </c>
      <c r="BZ38" s="55">
        <v>2</v>
      </c>
      <c r="CA38" s="55">
        <v>2</v>
      </c>
      <c r="CB38" s="55">
        <v>2</v>
      </c>
      <c r="CC38" s="55">
        <v>2</v>
      </c>
      <c r="CD38" s="55">
        <v>2</v>
      </c>
      <c r="CE38" s="55">
        <v>2</v>
      </c>
      <c r="CF38" s="55">
        <v>2</v>
      </c>
      <c r="CG38" s="121">
        <v>2</v>
      </c>
      <c r="CH38" s="77">
        <v>2</v>
      </c>
      <c r="CI38" s="55">
        <v>5</v>
      </c>
      <c r="CJ38" s="55">
        <v>11</v>
      </c>
      <c r="CK38" s="55">
        <v>11</v>
      </c>
      <c r="CL38" s="55">
        <v>11</v>
      </c>
      <c r="CM38" s="55">
        <v>11</v>
      </c>
      <c r="CN38" s="55">
        <v>11</v>
      </c>
      <c r="CO38" s="55">
        <v>11</v>
      </c>
      <c r="CP38" s="55">
        <v>11</v>
      </c>
      <c r="CQ38" s="55">
        <v>11</v>
      </c>
      <c r="CR38" s="55">
        <v>11</v>
      </c>
      <c r="CS38" s="121">
        <v>12</v>
      </c>
      <c r="CT38" s="77">
        <v>13</v>
      </c>
      <c r="CU38" s="55">
        <v>14</v>
      </c>
      <c r="CV38" s="55">
        <v>17</v>
      </c>
      <c r="CW38" s="55">
        <v>18</v>
      </c>
      <c r="CX38" s="55">
        <v>18</v>
      </c>
      <c r="CY38" s="55">
        <v>18</v>
      </c>
      <c r="CZ38" s="55">
        <v>18</v>
      </c>
      <c r="DA38" s="55">
        <v>18</v>
      </c>
      <c r="DB38" s="55">
        <v>18</v>
      </c>
      <c r="DC38" s="55">
        <v>18</v>
      </c>
      <c r="DD38" s="55">
        <v>18</v>
      </c>
      <c r="DE38" s="121">
        <v>18</v>
      </c>
      <c r="DF38" s="77">
        <v>18</v>
      </c>
      <c r="DG38" s="55">
        <v>18</v>
      </c>
      <c r="DH38" s="55">
        <v>18</v>
      </c>
      <c r="DI38" s="55">
        <v>18</v>
      </c>
      <c r="DJ38" s="55">
        <v>18</v>
      </c>
      <c r="DK38" s="55">
        <v>18</v>
      </c>
      <c r="DL38" s="55">
        <v>18</v>
      </c>
      <c r="DM38" s="55">
        <v>18</v>
      </c>
      <c r="DN38" s="55">
        <v>18</v>
      </c>
      <c r="DO38" s="55">
        <v>18</v>
      </c>
      <c r="DP38" s="55">
        <v>18</v>
      </c>
      <c r="DQ38" s="121">
        <v>18</v>
      </c>
      <c r="DR38" s="77">
        <v>18</v>
      </c>
      <c r="DS38" s="55">
        <v>18</v>
      </c>
      <c r="DT38" s="55">
        <v>18</v>
      </c>
      <c r="DU38" s="55">
        <v>18</v>
      </c>
      <c r="DV38" s="55">
        <v>18</v>
      </c>
      <c r="DW38" s="55">
        <v>18</v>
      </c>
      <c r="DX38" s="55">
        <v>18</v>
      </c>
      <c r="DY38" s="55">
        <v>18</v>
      </c>
      <c r="DZ38" s="55">
        <v>18</v>
      </c>
      <c r="EA38" s="55">
        <v>18</v>
      </c>
      <c r="EB38" s="55">
        <v>18</v>
      </c>
      <c r="EC38" s="55">
        <v>18</v>
      </c>
      <c r="ED38" s="77">
        <v>18</v>
      </c>
      <c r="EE38" s="55">
        <v>18</v>
      </c>
      <c r="EF38" s="55">
        <v>18</v>
      </c>
      <c r="EG38" s="55">
        <v>18</v>
      </c>
      <c r="EH38" s="55">
        <v>18</v>
      </c>
      <c r="EI38" s="55">
        <v>18</v>
      </c>
      <c r="EJ38" s="55">
        <v>18</v>
      </c>
      <c r="EK38" s="55">
        <v>18</v>
      </c>
      <c r="EL38" s="55">
        <v>18</v>
      </c>
      <c r="EM38" s="55">
        <v>18</v>
      </c>
      <c r="EN38" s="55">
        <v>18</v>
      </c>
      <c r="EO38" s="55">
        <v>18</v>
      </c>
      <c r="EP38" s="77">
        <v>18</v>
      </c>
      <c r="EQ38" s="55">
        <v>18</v>
      </c>
      <c r="ER38" s="55">
        <v>18</v>
      </c>
      <c r="ES38" s="55">
        <v>18</v>
      </c>
      <c r="ET38" s="55">
        <v>18</v>
      </c>
      <c r="EU38" s="55">
        <v>18</v>
      </c>
      <c r="EV38" s="55">
        <v>18</v>
      </c>
      <c r="EW38" s="55">
        <v>18</v>
      </c>
      <c r="EX38" s="55">
        <v>18</v>
      </c>
      <c r="EY38" s="55">
        <v>18</v>
      </c>
      <c r="EZ38" s="55">
        <v>18</v>
      </c>
      <c r="FA38" s="83">
        <v>18</v>
      </c>
      <c r="FB38" s="55">
        <v>18</v>
      </c>
      <c r="FC38" s="55">
        <v>18</v>
      </c>
      <c r="FD38" s="55">
        <v>18</v>
      </c>
      <c r="FE38" s="55">
        <v>18</v>
      </c>
      <c r="FF38" s="55">
        <v>18</v>
      </c>
      <c r="FG38" s="55">
        <v>18</v>
      </c>
      <c r="FH38" s="55">
        <v>18</v>
      </c>
      <c r="FI38" s="55">
        <v>18</v>
      </c>
      <c r="FJ38" s="55">
        <v>18</v>
      </c>
      <c r="FK38" s="55">
        <v>18</v>
      </c>
      <c r="FL38" s="55">
        <v>18</v>
      </c>
      <c r="FM38" s="55">
        <v>18</v>
      </c>
      <c r="FN38" s="77">
        <v>18</v>
      </c>
      <c r="FO38" s="55">
        <v>18</v>
      </c>
      <c r="FP38" s="55">
        <v>18</v>
      </c>
      <c r="FQ38" s="55">
        <v>18</v>
      </c>
      <c r="FR38" s="55">
        <v>18</v>
      </c>
      <c r="FS38" s="55">
        <v>18</v>
      </c>
      <c r="FT38" s="55">
        <v>18</v>
      </c>
      <c r="FU38" s="55">
        <v>18</v>
      </c>
      <c r="FV38" s="55">
        <v>18</v>
      </c>
      <c r="FW38" s="55">
        <v>18</v>
      </c>
      <c r="FX38" s="55">
        <v>18</v>
      </c>
      <c r="FY38" s="55">
        <v>18</v>
      </c>
      <c r="FZ38" s="77">
        <v>18</v>
      </c>
      <c r="GA38" s="55">
        <v>18</v>
      </c>
      <c r="GB38" s="55">
        <v>18</v>
      </c>
      <c r="GC38" s="55">
        <v>18</v>
      </c>
      <c r="GD38" s="55">
        <v>18</v>
      </c>
      <c r="GE38" s="55">
        <v>18</v>
      </c>
      <c r="GF38" s="55">
        <v>18</v>
      </c>
      <c r="GG38" s="55">
        <v>18</v>
      </c>
      <c r="GH38" s="55">
        <v>18</v>
      </c>
      <c r="GI38" s="55">
        <v>18</v>
      </c>
      <c r="GJ38" s="55">
        <v>18</v>
      </c>
      <c r="GK38" s="55">
        <v>18</v>
      </c>
      <c r="GL38" s="77">
        <v>18</v>
      </c>
      <c r="GM38" s="55">
        <v>18</v>
      </c>
      <c r="GN38" s="55">
        <v>18</v>
      </c>
      <c r="GO38" s="55">
        <v>18</v>
      </c>
      <c r="GP38" s="55">
        <v>18</v>
      </c>
      <c r="GQ38" s="55">
        <v>18</v>
      </c>
    </row>
    <row r="39" spans="1:199" s="25" customFormat="1" ht="20.149999999999999" customHeight="1" x14ac:dyDescent="0.35">
      <c r="A39" s="31" t="s">
        <v>280</v>
      </c>
      <c r="B39" s="55">
        <v>250</v>
      </c>
      <c r="C39" s="55">
        <v>250</v>
      </c>
      <c r="D39" s="55">
        <v>258</v>
      </c>
      <c r="E39" s="55">
        <v>271</v>
      </c>
      <c r="F39" s="55">
        <v>273</v>
      </c>
      <c r="G39" s="55">
        <v>289</v>
      </c>
      <c r="H39" s="55">
        <v>292</v>
      </c>
      <c r="I39" s="55">
        <v>294</v>
      </c>
      <c r="J39" s="55">
        <v>295</v>
      </c>
      <c r="K39" s="55">
        <v>300</v>
      </c>
      <c r="L39" s="55">
        <v>319</v>
      </c>
      <c r="M39" s="56">
        <v>325</v>
      </c>
      <c r="N39" s="57">
        <v>325</v>
      </c>
      <c r="O39" s="55">
        <v>327</v>
      </c>
      <c r="P39" s="55">
        <v>338</v>
      </c>
      <c r="Q39" s="55">
        <v>341</v>
      </c>
      <c r="R39" s="55">
        <v>354</v>
      </c>
      <c r="S39" s="55">
        <v>362</v>
      </c>
      <c r="T39" s="55">
        <v>366</v>
      </c>
      <c r="U39" s="55">
        <v>375</v>
      </c>
      <c r="V39" s="55">
        <v>401</v>
      </c>
      <c r="W39" s="55">
        <v>425</v>
      </c>
      <c r="X39" s="55">
        <v>461</v>
      </c>
      <c r="Y39" s="56">
        <v>499</v>
      </c>
      <c r="Z39" s="55">
        <v>580</v>
      </c>
      <c r="AA39" s="55">
        <v>602</v>
      </c>
      <c r="AB39" s="55">
        <v>658</v>
      </c>
      <c r="AC39" s="55">
        <v>680</v>
      </c>
      <c r="AD39" s="55">
        <v>704</v>
      </c>
      <c r="AE39" s="55">
        <v>716</v>
      </c>
      <c r="AF39" s="55">
        <v>759</v>
      </c>
      <c r="AG39" s="55">
        <v>874</v>
      </c>
      <c r="AH39" s="55">
        <v>1023</v>
      </c>
      <c r="AI39" s="55">
        <v>1173</v>
      </c>
      <c r="AJ39" s="55">
        <v>1333</v>
      </c>
      <c r="AK39" s="56">
        <v>1458</v>
      </c>
      <c r="AL39" s="55">
        <v>1664</v>
      </c>
      <c r="AM39" s="55">
        <v>1842</v>
      </c>
      <c r="AN39" s="55">
        <v>2019</v>
      </c>
      <c r="AO39" s="55">
        <v>2175</v>
      </c>
      <c r="AP39" s="55">
        <v>2398</v>
      </c>
      <c r="AQ39" s="55">
        <v>2582</v>
      </c>
      <c r="AR39" s="55">
        <v>2876</v>
      </c>
      <c r="AS39" s="55">
        <v>3342</v>
      </c>
      <c r="AT39" s="55">
        <v>3843</v>
      </c>
      <c r="AU39" s="55">
        <v>4293</v>
      </c>
      <c r="AV39" s="55">
        <v>4795</v>
      </c>
      <c r="AW39" s="56">
        <v>5243</v>
      </c>
      <c r="AX39" s="55">
        <v>5714</v>
      </c>
      <c r="AY39" s="55">
        <v>7016</v>
      </c>
      <c r="AZ39" s="55">
        <v>7398</v>
      </c>
      <c r="BA39" s="55">
        <v>7786</v>
      </c>
      <c r="BB39" s="55">
        <v>8284</v>
      </c>
      <c r="BC39" s="55">
        <v>8810</v>
      </c>
      <c r="BD39" s="55">
        <v>9297</v>
      </c>
      <c r="BE39" s="55">
        <v>9816</v>
      </c>
      <c r="BF39" s="55">
        <v>10389</v>
      </c>
      <c r="BG39" s="55">
        <v>10939</v>
      </c>
      <c r="BH39" s="55">
        <v>11500</v>
      </c>
      <c r="BI39" s="56">
        <v>11923</v>
      </c>
      <c r="BJ39" s="55">
        <v>12330</v>
      </c>
      <c r="BK39" s="55">
        <v>12815</v>
      </c>
      <c r="BL39" s="55">
        <v>13343</v>
      </c>
      <c r="BM39" s="55">
        <v>13783</v>
      </c>
      <c r="BN39" s="55">
        <v>14265</v>
      </c>
      <c r="BO39" s="55">
        <v>14770</v>
      </c>
      <c r="BP39" s="55">
        <v>15264</v>
      </c>
      <c r="BQ39" s="55">
        <v>16077</v>
      </c>
      <c r="BR39" s="55">
        <v>17698</v>
      </c>
      <c r="BS39" s="55">
        <v>18029</v>
      </c>
      <c r="BT39" s="55">
        <v>18397</v>
      </c>
      <c r="BU39" s="56">
        <v>18750</v>
      </c>
      <c r="BV39" s="55">
        <v>19146</v>
      </c>
      <c r="BW39" s="55">
        <v>19527</v>
      </c>
      <c r="BX39" s="55">
        <v>19964</v>
      </c>
      <c r="BY39" s="55">
        <v>20331</v>
      </c>
      <c r="BZ39" s="55">
        <v>20582</v>
      </c>
      <c r="CA39" s="55">
        <v>20892</v>
      </c>
      <c r="CB39" s="55">
        <v>21173</v>
      </c>
      <c r="CC39" s="55">
        <v>21561</v>
      </c>
      <c r="CD39" s="55">
        <v>22714</v>
      </c>
      <c r="CE39" s="55">
        <v>22757</v>
      </c>
      <c r="CF39" s="55">
        <v>22827</v>
      </c>
      <c r="CG39" s="121">
        <v>22877</v>
      </c>
      <c r="CH39" s="77">
        <v>22879</v>
      </c>
      <c r="CI39" s="55">
        <v>22882</v>
      </c>
      <c r="CJ39" s="55">
        <v>22891</v>
      </c>
      <c r="CK39" s="55">
        <v>22891</v>
      </c>
      <c r="CL39" s="55">
        <v>22891</v>
      </c>
      <c r="CM39" s="55">
        <v>22891</v>
      </c>
      <c r="CN39" s="55">
        <v>22891</v>
      </c>
      <c r="CO39" s="55">
        <v>22891</v>
      </c>
      <c r="CP39" s="55">
        <v>22891</v>
      </c>
      <c r="CQ39" s="55">
        <v>22891</v>
      </c>
      <c r="CR39" s="55">
        <v>22891</v>
      </c>
      <c r="CS39" s="121">
        <v>22891</v>
      </c>
      <c r="CT39" s="77">
        <v>22891</v>
      </c>
      <c r="CU39" s="55">
        <v>22891</v>
      </c>
      <c r="CV39" s="55">
        <v>22894</v>
      </c>
      <c r="CW39" s="55">
        <v>22894</v>
      </c>
      <c r="CX39" s="55">
        <v>22894</v>
      </c>
      <c r="CY39" s="55">
        <v>22894</v>
      </c>
      <c r="CZ39" s="55">
        <v>22894</v>
      </c>
      <c r="DA39" s="55">
        <v>22894</v>
      </c>
      <c r="DB39" s="55">
        <v>22894</v>
      </c>
      <c r="DC39" s="55">
        <v>22894</v>
      </c>
      <c r="DD39" s="55">
        <v>22894</v>
      </c>
      <c r="DE39" s="121">
        <v>22894</v>
      </c>
      <c r="DF39" s="77">
        <v>22894</v>
      </c>
      <c r="DG39" s="55">
        <v>22894</v>
      </c>
      <c r="DH39" s="55">
        <v>22894</v>
      </c>
      <c r="DI39" s="55">
        <v>22894</v>
      </c>
      <c r="DJ39" s="55">
        <v>22894</v>
      </c>
      <c r="DK39" s="55">
        <v>22894</v>
      </c>
      <c r="DL39" s="55">
        <v>22894</v>
      </c>
      <c r="DM39" s="55">
        <v>22894</v>
      </c>
      <c r="DN39" s="55">
        <v>22894</v>
      </c>
      <c r="DO39" s="55">
        <v>22894</v>
      </c>
      <c r="DP39" s="55">
        <v>22894</v>
      </c>
      <c r="DQ39" s="121">
        <v>22894</v>
      </c>
      <c r="DR39" s="77">
        <v>22894</v>
      </c>
      <c r="DS39" s="55">
        <v>22894</v>
      </c>
      <c r="DT39" s="55">
        <v>22894</v>
      </c>
      <c r="DU39" s="55">
        <v>22894</v>
      </c>
      <c r="DV39" s="55">
        <v>22894</v>
      </c>
      <c r="DW39" s="55">
        <v>22894</v>
      </c>
      <c r="DX39" s="55">
        <v>22894</v>
      </c>
      <c r="DY39" s="55">
        <v>22894</v>
      </c>
      <c r="DZ39" s="55">
        <v>22894</v>
      </c>
      <c r="EA39" s="55">
        <v>22894</v>
      </c>
      <c r="EB39" s="55">
        <v>22894</v>
      </c>
      <c r="EC39" s="55">
        <v>22894</v>
      </c>
      <c r="ED39" s="77">
        <v>22894</v>
      </c>
      <c r="EE39" s="55">
        <v>22894</v>
      </c>
      <c r="EF39" s="55">
        <v>22894</v>
      </c>
      <c r="EG39" s="55">
        <v>22894</v>
      </c>
      <c r="EH39" s="55">
        <v>22894</v>
      </c>
      <c r="EI39" s="55">
        <v>22894</v>
      </c>
      <c r="EJ39" s="55">
        <v>22894</v>
      </c>
      <c r="EK39" s="55">
        <v>22894</v>
      </c>
      <c r="EL39" s="55">
        <v>22894</v>
      </c>
      <c r="EM39" s="55">
        <v>22894</v>
      </c>
      <c r="EN39" s="55">
        <v>22894</v>
      </c>
      <c r="EO39" s="55">
        <v>22894</v>
      </c>
      <c r="EP39" s="77">
        <v>22894</v>
      </c>
      <c r="EQ39" s="55">
        <v>22894</v>
      </c>
      <c r="ER39" s="55">
        <v>22894</v>
      </c>
      <c r="ES39" s="55">
        <v>22894</v>
      </c>
      <c r="ET39" s="55">
        <v>22894</v>
      </c>
      <c r="EU39" s="55">
        <v>22894</v>
      </c>
      <c r="EV39" s="55">
        <v>22894</v>
      </c>
      <c r="EW39" s="55">
        <v>22894</v>
      </c>
      <c r="EX39" s="55">
        <v>22894</v>
      </c>
      <c r="EY39" s="55">
        <v>22894</v>
      </c>
      <c r="EZ39" s="55">
        <v>22894</v>
      </c>
      <c r="FA39" s="83">
        <v>22894</v>
      </c>
      <c r="FB39" s="55">
        <v>22894</v>
      </c>
      <c r="FC39" s="55">
        <v>22894</v>
      </c>
      <c r="FD39" s="55">
        <v>22894</v>
      </c>
      <c r="FE39" s="55">
        <v>22894</v>
      </c>
      <c r="FF39" s="55">
        <v>22894</v>
      </c>
      <c r="FG39" s="55">
        <v>22894</v>
      </c>
      <c r="FH39" s="55">
        <v>22894</v>
      </c>
      <c r="FI39" s="55">
        <v>22894</v>
      </c>
      <c r="FJ39" s="55">
        <v>22894</v>
      </c>
      <c r="FK39" s="55">
        <v>22894</v>
      </c>
      <c r="FL39" s="55">
        <v>22894</v>
      </c>
      <c r="FM39" s="55">
        <v>22894</v>
      </c>
      <c r="FN39" s="77">
        <v>22894</v>
      </c>
      <c r="FO39" s="55">
        <v>22894</v>
      </c>
      <c r="FP39" s="55">
        <v>22894</v>
      </c>
      <c r="FQ39" s="55">
        <v>22894</v>
      </c>
      <c r="FR39" s="55">
        <v>22894</v>
      </c>
      <c r="FS39" s="55">
        <v>22894</v>
      </c>
      <c r="FT39" s="55">
        <v>22894</v>
      </c>
      <c r="FU39" s="55">
        <v>22894</v>
      </c>
      <c r="FV39" s="55">
        <v>22894</v>
      </c>
      <c r="FW39" s="55">
        <v>22894</v>
      </c>
      <c r="FX39" s="55">
        <v>22894</v>
      </c>
      <c r="FY39" s="55">
        <v>22894</v>
      </c>
      <c r="FZ39" s="77">
        <v>22894</v>
      </c>
      <c r="GA39" s="55">
        <v>22894</v>
      </c>
      <c r="GB39" s="55">
        <v>22894</v>
      </c>
      <c r="GC39" s="55">
        <v>22894</v>
      </c>
      <c r="GD39" s="55">
        <v>22894</v>
      </c>
      <c r="GE39" s="55">
        <v>22894</v>
      </c>
      <c r="GF39" s="55">
        <v>22894</v>
      </c>
      <c r="GG39" s="55">
        <v>22894</v>
      </c>
      <c r="GH39" s="55">
        <v>22894</v>
      </c>
      <c r="GI39" s="55">
        <v>22894</v>
      </c>
      <c r="GJ39" s="55">
        <v>22894</v>
      </c>
      <c r="GK39" s="55">
        <v>22894</v>
      </c>
      <c r="GL39" s="77">
        <v>22894</v>
      </c>
      <c r="GM39" s="55">
        <v>22894</v>
      </c>
      <c r="GN39" s="55">
        <v>22894</v>
      </c>
      <c r="GO39" s="55">
        <v>22894</v>
      </c>
      <c r="GP39" s="55">
        <v>22894</v>
      </c>
      <c r="GQ39" s="55">
        <v>22894</v>
      </c>
    </row>
    <row r="40" spans="1:199" s="30" customFormat="1" ht="20.149999999999999" customHeight="1" x14ac:dyDescent="0.35">
      <c r="A40" s="31" t="s">
        <v>283</v>
      </c>
      <c r="B40" s="58">
        <v>0</v>
      </c>
      <c r="C40" s="58">
        <v>0</v>
      </c>
      <c r="D40" s="58">
        <v>0</v>
      </c>
      <c r="E40" s="58">
        <v>0</v>
      </c>
      <c r="F40" s="58">
        <v>0</v>
      </c>
      <c r="G40" s="58">
        <v>0</v>
      </c>
      <c r="H40" s="58">
        <v>0</v>
      </c>
      <c r="I40" s="58">
        <v>0</v>
      </c>
      <c r="J40" s="58">
        <v>0</v>
      </c>
      <c r="K40" s="58">
        <v>0</v>
      </c>
      <c r="L40" s="58">
        <v>0</v>
      </c>
      <c r="M40" s="59">
        <v>0</v>
      </c>
      <c r="N40" s="60">
        <v>0</v>
      </c>
      <c r="O40" s="58">
        <v>0</v>
      </c>
      <c r="P40" s="58">
        <v>0</v>
      </c>
      <c r="Q40" s="58">
        <v>0</v>
      </c>
      <c r="R40" s="58">
        <v>0</v>
      </c>
      <c r="S40" s="58">
        <v>0</v>
      </c>
      <c r="T40" s="58">
        <v>0</v>
      </c>
      <c r="U40" s="58">
        <v>0</v>
      </c>
      <c r="V40" s="58">
        <v>0</v>
      </c>
      <c r="W40" s="58">
        <v>0</v>
      </c>
      <c r="X40" s="58">
        <v>0</v>
      </c>
      <c r="Y40" s="59">
        <v>0</v>
      </c>
      <c r="Z40" s="58">
        <v>0</v>
      </c>
      <c r="AA40" s="58">
        <v>0</v>
      </c>
      <c r="AB40" s="58">
        <v>0</v>
      </c>
      <c r="AC40" s="58">
        <v>0</v>
      </c>
      <c r="AD40" s="58">
        <v>0</v>
      </c>
      <c r="AE40" s="58">
        <v>0</v>
      </c>
      <c r="AF40" s="58">
        <v>0</v>
      </c>
      <c r="AG40" s="58">
        <v>0</v>
      </c>
      <c r="AH40" s="58">
        <v>0</v>
      </c>
      <c r="AI40" s="58">
        <v>1</v>
      </c>
      <c r="AJ40" s="58">
        <v>1</v>
      </c>
      <c r="AK40" s="59">
        <v>1</v>
      </c>
      <c r="AL40" s="58">
        <v>1</v>
      </c>
      <c r="AM40" s="58">
        <v>1</v>
      </c>
      <c r="AN40" s="58">
        <v>1</v>
      </c>
      <c r="AO40" s="58">
        <v>1</v>
      </c>
      <c r="AP40" s="58">
        <v>1</v>
      </c>
      <c r="AQ40" s="58">
        <v>1</v>
      </c>
      <c r="AR40" s="58">
        <v>1</v>
      </c>
      <c r="AS40" s="58">
        <v>1</v>
      </c>
      <c r="AT40" s="58">
        <v>1</v>
      </c>
      <c r="AU40" s="58">
        <v>1</v>
      </c>
      <c r="AV40" s="58">
        <v>1</v>
      </c>
      <c r="AW40" s="59">
        <v>1</v>
      </c>
      <c r="AX40" s="58">
        <v>1</v>
      </c>
      <c r="AY40" s="58">
        <v>1</v>
      </c>
      <c r="AZ40" s="58">
        <v>1</v>
      </c>
      <c r="BA40" s="58">
        <v>1</v>
      </c>
      <c r="BB40" s="58">
        <v>1</v>
      </c>
      <c r="BC40" s="58">
        <v>1</v>
      </c>
      <c r="BD40" s="58">
        <v>1</v>
      </c>
      <c r="BE40" s="58">
        <v>2</v>
      </c>
      <c r="BF40" s="58">
        <v>2</v>
      </c>
      <c r="BG40" s="58">
        <v>2</v>
      </c>
      <c r="BH40" s="58">
        <v>2</v>
      </c>
      <c r="BI40" s="59">
        <v>2</v>
      </c>
      <c r="BJ40" s="58">
        <v>2</v>
      </c>
      <c r="BK40" s="58">
        <v>2</v>
      </c>
      <c r="BL40" s="58">
        <v>2</v>
      </c>
      <c r="BM40" s="58">
        <v>2</v>
      </c>
      <c r="BN40" s="58">
        <v>2</v>
      </c>
      <c r="BO40" s="58">
        <v>2</v>
      </c>
      <c r="BP40" s="58">
        <v>2</v>
      </c>
      <c r="BQ40" s="58">
        <v>2</v>
      </c>
      <c r="BR40" s="58">
        <v>2</v>
      </c>
      <c r="BS40" s="58">
        <v>2</v>
      </c>
      <c r="BT40" s="58">
        <v>2</v>
      </c>
      <c r="BU40" s="59">
        <v>2</v>
      </c>
      <c r="BV40" s="58">
        <v>2</v>
      </c>
      <c r="BW40" s="58">
        <v>2</v>
      </c>
      <c r="BX40" s="58">
        <v>2</v>
      </c>
      <c r="BY40" s="58">
        <v>2</v>
      </c>
      <c r="BZ40" s="58">
        <v>2</v>
      </c>
      <c r="CA40" s="58">
        <v>2</v>
      </c>
      <c r="CB40" s="58">
        <v>2</v>
      </c>
      <c r="CC40" s="58">
        <v>2</v>
      </c>
      <c r="CD40" s="58">
        <v>2</v>
      </c>
      <c r="CE40" s="58">
        <v>2</v>
      </c>
      <c r="CF40" s="58">
        <v>2</v>
      </c>
      <c r="CG40" s="58">
        <v>2</v>
      </c>
      <c r="CH40" s="77">
        <v>56</v>
      </c>
      <c r="CI40" s="55">
        <v>228</v>
      </c>
      <c r="CJ40" s="55">
        <v>634</v>
      </c>
      <c r="CK40" s="55">
        <v>649</v>
      </c>
      <c r="CL40" s="55">
        <v>673</v>
      </c>
      <c r="CM40" s="55">
        <v>734</v>
      </c>
      <c r="CN40" s="55">
        <v>745</v>
      </c>
      <c r="CO40" s="55">
        <v>771</v>
      </c>
      <c r="CP40" s="55">
        <v>801</v>
      </c>
      <c r="CQ40" s="55">
        <v>834</v>
      </c>
      <c r="CR40" s="55">
        <v>890</v>
      </c>
      <c r="CS40" s="121">
        <v>906</v>
      </c>
      <c r="CT40" s="77">
        <v>923</v>
      </c>
      <c r="CU40" s="55">
        <v>964</v>
      </c>
      <c r="CV40" s="55">
        <v>1011</v>
      </c>
      <c r="CW40" s="55">
        <v>1044</v>
      </c>
      <c r="CX40" s="55">
        <v>1061</v>
      </c>
      <c r="CY40" s="55">
        <v>1085</v>
      </c>
      <c r="CZ40" s="55">
        <v>1103</v>
      </c>
      <c r="DA40" s="55">
        <v>1146</v>
      </c>
      <c r="DB40" s="55">
        <v>1155</v>
      </c>
      <c r="DC40" s="55">
        <v>1237</v>
      </c>
      <c r="DD40" s="58">
        <v>1285</v>
      </c>
      <c r="DE40" s="58">
        <v>1296</v>
      </c>
      <c r="DF40" s="77">
        <v>1363</v>
      </c>
      <c r="DG40" s="55">
        <v>1416</v>
      </c>
      <c r="DH40" s="58">
        <v>1429</v>
      </c>
      <c r="DI40" s="55">
        <v>1455</v>
      </c>
      <c r="DJ40" s="55">
        <v>1477</v>
      </c>
      <c r="DK40" s="55">
        <v>1523</v>
      </c>
      <c r="DL40" s="55">
        <v>1555</v>
      </c>
      <c r="DM40" s="55">
        <v>1583</v>
      </c>
      <c r="DN40" s="55">
        <v>1625</v>
      </c>
      <c r="DO40" s="55">
        <v>1641</v>
      </c>
      <c r="DP40" s="55">
        <v>1662</v>
      </c>
      <c r="DQ40" s="58">
        <v>1668</v>
      </c>
      <c r="DR40" s="77">
        <v>1684</v>
      </c>
      <c r="DS40" s="55">
        <v>1703</v>
      </c>
      <c r="DT40" s="55">
        <v>1727</v>
      </c>
      <c r="DU40" s="55">
        <v>1729</v>
      </c>
      <c r="DV40" s="55">
        <v>1730</v>
      </c>
      <c r="DW40" s="55">
        <v>1768</v>
      </c>
      <c r="DX40" s="55">
        <v>1784</v>
      </c>
      <c r="DY40" s="55">
        <v>1836</v>
      </c>
      <c r="DZ40" s="55">
        <v>1867</v>
      </c>
      <c r="EA40" s="55">
        <v>1893</v>
      </c>
      <c r="EB40" s="55">
        <v>1911</v>
      </c>
      <c r="EC40" s="55">
        <v>1916</v>
      </c>
      <c r="ED40" s="77">
        <v>1960</v>
      </c>
      <c r="EE40" s="55">
        <v>1974</v>
      </c>
      <c r="EF40" s="55">
        <v>2008</v>
      </c>
      <c r="EG40" s="55">
        <v>2039</v>
      </c>
      <c r="EH40" s="55">
        <v>2092</v>
      </c>
      <c r="EI40" s="55">
        <v>2159</v>
      </c>
      <c r="EJ40" s="55">
        <v>2190</v>
      </c>
      <c r="EK40" s="55">
        <v>2256</v>
      </c>
      <c r="EL40" s="55">
        <v>2360</v>
      </c>
      <c r="EM40" s="55">
        <v>2424</v>
      </c>
      <c r="EN40" s="55">
        <v>2533</v>
      </c>
      <c r="EO40" s="55">
        <v>2577</v>
      </c>
      <c r="EP40" s="77">
        <v>2689</v>
      </c>
      <c r="EQ40" s="55">
        <v>2775</v>
      </c>
      <c r="ER40" s="55">
        <v>2873</v>
      </c>
      <c r="ES40" s="55">
        <v>2958</v>
      </c>
      <c r="ET40" s="55">
        <v>3141</v>
      </c>
      <c r="EU40" s="55">
        <v>3286</v>
      </c>
      <c r="EV40" s="55">
        <v>3422</v>
      </c>
      <c r="EW40" s="55">
        <v>3585</v>
      </c>
      <c r="EX40" s="55">
        <v>3787</v>
      </c>
      <c r="EY40" s="55">
        <v>3980</v>
      </c>
      <c r="EZ40" s="55">
        <v>4231</v>
      </c>
      <c r="FA40" s="83">
        <v>4385</v>
      </c>
      <c r="FB40" s="55">
        <v>4595</v>
      </c>
      <c r="FC40" s="55">
        <v>4776</v>
      </c>
      <c r="FD40" s="55">
        <v>4947</v>
      </c>
      <c r="FE40" s="55">
        <v>5069</v>
      </c>
      <c r="FF40" s="55">
        <v>5236</v>
      </c>
      <c r="FG40" s="55">
        <v>5407</v>
      </c>
      <c r="FH40" s="55">
        <v>5569</v>
      </c>
      <c r="FI40" s="55">
        <v>5763</v>
      </c>
      <c r="FJ40" s="55">
        <v>5945</v>
      </c>
      <c r="FK40" s="55">
        <v>6155</v>
      </c>
      <c r="FL40" s="55">
        <v>6315</v>
      </c>
      <c r="FM40" s="55">
        <v>6420</v>
      </c>
      <c r="FN40" s="77">
        <v>6530</v>
      </c>
      <c r="FO40" s="55">
        <v>6715</v>
      </c>
      <c r="FP40" s="55">
        <v>6801</v>
      </c>
      <c r="FQ40" s="55">
        <v>7007</v>
      </c>
      <c r="FR40" s="55">
        <v>7173</v>
      </c>
      <c r="FS40" s="55">
        <v>7400</v>
      </c>
      <c r="FT40" s="55">
        <v>7579</v>
      </c>
      <c r="FU40" s="55">
        <v>7786</v>
      </c>
      <c r="FV40" s="55">
        <v>7965</v>
      </c>
      <c r="FW40" s="55">
        <v>8199</v>
      </c>
      <c r="FX40" s="55">
        <v>8445</v>
      </c>
      <c r="FY40" s="55">
        <v>8535</v>
      </c>
      <c r="FZ40" s="77">
        <v>8678</v>
      </c>
      <c r="GA40" s="55">
        <v>8853</v>
      </c>
      <c r="GB40" s="55">
        <v>9074</v>
      </c>
      <c r="GC40" s="55">
        <v>9272</v>
      </c>
      <c r="GD40" s="55">
        <v>9632</v>
      </c>
      <c r="GE40" s="55">
        <v>9955</v>
      </c>
      <c r="GF40" s="55">
        <v>10175</v>
      </c>
      <c r="GG40" s="55">
        <v>10429</v>
      </c>
      <c r="GH40" s="55">
        <v>10644</v>
      </c>
      <c r="GI40" s="55">
        <v>10946</v>
      </c>
      <c r="GJ40" s="55">
        <v>11277</v>
      </c>
      <c r="GK40" s="55">
        <v>11461</v>
      </c>
      <c r="GL40" s="77">
        <v>11714</v>
      </c>
      <c r="GM40" s="55">
        <v>11975</v>
      </c>
      <c r="GN40" s="55">
        <v>12332</v>
      </c>
      <c r="GO40" s="55">
        <v>12704</v>
      </c>
      <c r="GP40" s="55">
        <v>13004</v>
      </c>
      <c r="GQ40" s="55">
        <v>13484</v>
      </c>
    </row>
    <row r="41" spans="1:199" s="1" customFormat="1" ht="20.149999999999999" customHeight="1" thickBot="1" x14ac:dyDescent="0.4">
      <c r="A41" s="32" t="s">
        <v>267</v>
      </c>
      <c r="B41" s="62">
        <f>SUM(B38:B40)</f>
        <v>250</v>
      </c>
      <c r="C41" s="62">
        <f t="shared" ref="C41" si="216">SUM(C38:C40)</f>
        <v>250</v>
      </c>
      <c r="D41" s="62">
        <f t="shared" ref="D41" si="217">SUM(D38:D40)</f>
        <v>258</v>
      </c>
      <c r="E41" s="62">
        <f t="shared" ref="E41" si="218">SUM(E38:E40)</f>
        <v>271</v>
      </c>
      <c r="F41" s="62">
        <f t="shared" ref="F41" si="219">SUM(F38:F40)</f>
        <v>273</v>
      </c>
      <c r="G41" s="62">
        <f t="shared" ref="G41" si="220">SUM(G38:G40)</f>
        <v>289</v>
      </c>
      <c r="H41" s="62">
        <f t="shared" ref="H41" si="221">SUM(H38:H40)</f>
        <v>292</v>
      </c>
      <c r="I41" s="62">
        <f t="shared" ref="I41" si="222">SUM(I38:I40)</f>
        <v>294</v>
      </c>
      <c r="J41" s="62">
        <f t="shared" ref="J41" si="223">SUM(J38:J40)</f>
        <v>295</v>
      </c>
      <c r="K41" s="62">
        <f t="shared" ref="K41" si="224">SUM(K38:K40)</f>
        <v>300</v>
      </c>
      <c r="L41" s="62">
        <f t="shared" ref="L41" si="225">SUM(L38:L40)</f>
        <v>319</v>
      </c>
      <c r="M41" s="62">
        <f t="shared" ref="M41" si="226">SUM(M38:M40)</f>
        <v>325</v>
      </c>
      <c r="N41" s="62">
        <f t="shared" ref="N41" si="227">SUM(N38:N40)</f>
        <v>325</v>
      </c>
      <c r="O41" s="62">
        <f t="shared" ref="O41" si="228">SUM(O38:O40)</f>
        <v>327</v>
      </c>
      <c r="P41" s="62">
        <f t="shared" ref="P41" si="229">SUM(P38:P40)</f>
        <v>338</v>
      </c>
      <c r="Q41" s="62">
        <f t="shared" ref="Q41" si="230">SUM(Q38:Q40)</f>
        <v>341</v>
      </c>
      <c r="R41" s="62">
        <f t="shared" ref="R41" si="231">SUM(R38:R40)</f>
        <v>354</v>
      </c>
      <c r="S41" s="62">
        <f t="shared" ref="S41" si="232">SUM(S38:S40)</f>
        <v>362</v>
      </c>
      <c r="T41" s="62">
        <f t="shared" ref="T41" si="233">SUM(T38:T40)</f>
        <v>366</v>
      </c>
      <c r="U41" s="62">
        <f t="shared" ref="U41" si="234">SUM(U38:U40)</f>
        <v>375</v>
      </c>
      <c r="V41" s="62">
        <f t="shared" ref="V41" si="235">SUM(V38:V40)</f>
        <v>401</v>
      </c>
      <c r="W41" s="62">
        <f t="shared" ref="W41" si="236">SUM(W38:W40)</f>
        <v>425</v>
      </c>
      <c r="X41" s="62">
        <f t="shared" ref="X41" si="237">SUM(X38:X40)</f>
        <v>461</v>
      </c>
      <c r="Y41" s="63">
        <f t="shared" ref="Y41" si="238">SUM(Y38:Y40)</f>
        <v>499</v>
      </c>
      <c r="Z41" s="62">
        <f t="shared" ref="Z41" si="239">SUM(Z38:Z40)</f>
        <v>580</v>
      </c>
      <c r="AA41" s="62">
        <f t="shared" ref="AA41" si="240">SUM(AA38:AA40)</f>
        <v>602</v>
      </c>
      <c r="AB41" s="62">
        <f t="shared" ref="AB41" si="241">SUM(AB38:AB40)</f>
        <v>658</v>
      </c>
      <c r="AC41" s="62">
        <f t="shared" ref="AC41" si="242">SUM(AC38:AC40)</f>
        <v>680</v>
      </c>
      <c r="AD41" s="62">
        <f t="shared" ref="AD41" si="243">SUM(AD38:AD40)</f>
        <v>704</v>
      </c>
      <c r="AE41" s="62">
        <f t="shared" ref="AE41" si="244">SUM(AE38:AE40)</f>
        <v>716</v>
      </c>
      <c r="AF41" s="62">
        <f t="shared" ref="AF41" si="245">SUM(AF38:AF40)</f>
        <v>759</v>
      </c>
      <c r="AG41" s="62">
        <f t="shared" ref="AG41" si="246">SUM(AG38:AG40)</f>
        <v>874</v>
      </c>
      <c r="AH41" s="62">
        <f t="shared" ref="AH41" si="247">SUM(AH38:AH40)</f>
        <v>1023</v>
      </c>
      <c r="AI41" s="62">
        <f t="shared" ref="AI41" si="248">SUM(AI38:AI40)</f>
        <v>1174</v>
      </c>
      <c r="AJ41" s="62">
        <f t="shared" ref="AJ41" si="249">SUM(AJ38:AJ40)</f>
        <v>1334</v>
      </c>
      <c r="AK41" s="63">
        <f t="shared" ref="AK41" si="250">SUM(AK38:AK40)</f>
        <v>1459</v>
      </c>
      <c r="AL41" s="62">
        <f t="shared" ref="AL41" si="251">SUM(AL38:AL40)</f>
        <v>1665</v>
      </c>
      <c r="AM41" s="62">
        <f t="shared" ref="AM41" si="252">SUM(AM38:AM40)</f>
        <v>1843</v>
      </c>
      <c r="AN41" s="62">
        <f t="shared" ref="AN41" si="253">SUM(AN38:AN40)</f>
        <v>2020</v>
      </c>
      <c r="AO41" s="62">
        <f t="shared" ref="AO41" si="254">SUM(AO38:AO40)</f>
        <v>2176</v>
      </c>
      <c r="AP41" s="62">
        <f t="shared" ref="AP41" si="255">SUM(AP38:AP40)</f>
        <v>2399</v>
      </c>
      <c r="AQ41" s="62">
        <f t="shared" ref="AQ41" si="256">SUM(AQ38:AQ40)</f>
        <v>2583</v>
      </c>
      <c r="AR41" s="62">
        <f t="shared" ref="AR41" si="257">SUM(AR38:AR40)</f>
        <v>2877</v>
      </c>
      <c r="AS41" s="62">
        <f t="shared" ref="AS41" si="258">SUM(AS38:AS40)</f>
        <v>3343</v>
      </c>
      <c r="AT41" s="62">
        <f t="shared" ref="AT41" si="259">SUM(AT38:AT40)</f>
        <v>3844</v>
      </c>
      <c r="AU41" s="62">
        <f t="shared" ref="AU41" si="260">SUM(AU38:AU40)</f>
        <v>4294</v>
      </c>
      <c r="AV41" s="62">
        <f t="shared" ref="AV41" si="261">SUM(AV38:AV40)</f>
        <v>4796</v>
      </c>
      <c r="AW41" s="63">
        <f t="shared" ref="AW41" si="262">SUM(AW38:AW40)</f>
        <v>5244</v>
      </c>
      <c r="AX41" s="62">
        <f t="shared" ref="AX41" si="263">SUM(AX38:AX40)</f>
        <v>5715</v>
      </c>
      <c r="AY41" s="62">
        <f t="shared" ref="AY41" si="264">SUM(AY38:AY40)</f>
        <v>7017</v>
      </c>
      <c r="AZ41" s="62">
        <f t="shared" ref="AZ41" si="265">SUM(AZ38:AZ40)</f>
        <v>7399</v>
      </c>
      <c r="BA41" s="62">
        <f t="shared" ref="BA41" si="266">SUM(BA38:BA40)</f>
        <v>7787</v>
      </c>
      <c r="BB41" s="62">
        <f t="shared" ref="BB41" si="267">SUM(BB38:BB40)</f>
        <v>8285</v>
      </c>
      <c r="BC41" s="62">
        <f t="shared" ref="BC41" si="268">SUM(BC38:BC40)</f>
        <v>8811</v>
      </c>
      <c r="BD41" s="62">
        <f t="shared" ref="BD41" si="269">SUM(BD38:BD40)</f>
        <v>9298</v>
      </c>
      <c r="BE41" s="62">
        <f t="shared" ref="BE41" si="270">SUM(BE38:BE40)</f>
        <v>9818</v>
      </c>
      <c r="BF41" s="62">
        <f t="shared" ref="BF41" si="271">SUM(BF38:BF40)</f>
        <v>10391</v>
      </c>
      <c r="BG41" s="62">
        <f t="shared" ref="BG41" si="272">SUM(BG38:BG40)</f>
        <v>10941</v>
      </c>
      <c r="BH41" s="62">
        <f t="shared" ref="BH41" si="273">SUM(BH38:BH40)</f>
        <v>11502</v>
      </c>
      <c r="BI41" s="63">
        <f t="shared" ref="BI41" si="274">SUM(BI38:BI40)</f>
        <v>11925</v>
      </c>
      <c r="BJ41" s="62">
        <f t="shared" ref="BJ41" si="275">SUM(BJ38:BJ40)</f>
        <v>12332</v>
      </c>
      <c r="BK41" s="62">
        <f t="shared" ref="BK41" si="276">SUM(BK38:BK40)</f>
        <v>12817</v>
      </c>
      <c r="BL41" s="62">
        <f t="shared" ref="BL41" si="277">SUM(BL38:BL40)</f>
        <v>13345</v>
      </c>
      <c r="BM41" s="62">
        <f t="shared" ref="BM41" si="278">SUM(BM38:BM40)</f>
        <v>13785</v>
      </c>
      <c r="BN41" s="62">
        <f t="shared" ref="BN41" si="279">SUM(BN38:BN40)</f>
        <v>14267</v>
      </c>
      <c r="BO41" s="62">
        <f t="shared" ref="BO41" si="280">SUM(BO38:BO40)</f>
        <v>14772</v>
      </c>
      <c r="BP41" s="62">
        <f t="shared" ref="BP41" si="281">SUM(BP38:BP40)</f>
        <v>15266</v>
      </c>
      <c r="BQ41" s="62">
        <f t="shared" ref="BQ41" si="282">SUM(BQ38:BQ40)</f>
        <v>16079</v>
      </c>
      <c r="BR41" s="62">
        <f t="shared" ref="BR41" si="283">SUM(BR38:BR40)</f>
        <v>17700</v>
      </c>
      <c r="BS41" s="62">
        <f t="shared" ref="BS41" si="284">SUM(BS38:BS40)</f>
        <v>18031</v>
      </c>
      <c r="BT41" s="62">
        <f t="shared" ref="BT41" si="285">SUM(BT38:BT40)</f>
        <v>18399</v>
      </c>
      <c r="BU41" s="63">
        <f t="shared" ref="BU41" si="286">SUM(BU38:BU40)</f>
        <v>18752</v>
      </c>
      <c r="BV41" s="62">
        <f t="shared" ref="BV41" si="287">SUM(BV38:BV40)</f>
        <v>19148</v>
      </c>
      <c r="BW41" s="62">
        <f t="shared" ref="BW41" si="288">SUM(BW38:BW40)</f>
        <v>19529</v>
      </c>
      <c r="BX41" s="62">
        <f t="shared" ref="BX41" si="289">SUM(BX38:BX40)</f>
        <v>19966</v>
      </c>
      <c r="BY41" s="62">
        <f t="shared" ref="BY41" si="290">SUM(BY38:BY40)</f>
        <v>20334</v>
      </c>
      <c r="BZ41" s="62">
        <f t="shared" ref="BZ41" si="291">SUM(BZ38:BZ40)</f>
        <v>20586</v>
      </c>
      <c r="CA41" s="62">
        <f t="shared" ref="CA41" si="292">SUM(CA38:CA40)</f>
        <v>20896</v>
      </c>
      <c r="CB41" s="62">
        <f t="shared" ref="CB41" si="293">SUM(CB38:CB40)</f>
        <v>21177</v>
      </c>
      <c r="CC41" s="62">
        <f t="shared" ref="CC41" si="294">SUM(CC38:CC40)</f>
        <v>21565</v>
      </c>
      <c r="CD41" s="62">
        <f t="shared" ref="CD41" si="295">SUM(CD38:CD40)</f>
        <v>22718</v>
      </c>
      <c r="CE41" s="62">
        <f t="shared" ref="CE41" si="296">SUM(CE38:CE40)</f>
        <v>22761</v>
      </c>
      <c r="CF41" s="62">
        <f t="shared" ref="CF41" si="297">SUM(CF38:CF40)</f>
        <v>22831</v>
      </c>
      <c r="CG41" s="62">
        <f t="shared" ref="CG41" si="298">SUM(CG38:CG40)</f>
        <v>22881</v>
      </c>
      <c r="CH41" s="122">
        <f t="shared" ref="CH41" si="299">SUM(CH38:CH40)</f>
        <v>22937</v>
      </c>
      <c r="CI41" s="62">
        <f t="shared" ref="CI41" si="300">SUM(CI38:CI40)</f>
        <v>23115</v>
      </c>
      <c r="CJ41" s="62">
        <f t="shared" ref="CJ41" si="301">SUM(CJ38:CJ40)</f>
        <v>23536</v>
      </c>
      <c r="CK41" s="62">
        <f t="shared" ref="CK41" si="302">SUM(CK38:CK40)</f>
        <v>23551</v>
      </c>
      <c r="CL41" s="62">
        <f t="shared" ref="CL41" si="303">SUM(CL38:CL40)</f>
        <v>23575</v>
      </c>
      <c r="CM41" s="62">
        <f t="shared" ref="CM41" si="304">SUM(CM38:CM40)</f>
        <v>23636</v>
      </c>
      <c r="CN41" s="62">
        <f t="shared" ref="CN41" si="305">SUM(CN38:CN40)</f>
        <v>23647</v>
      </c>
      <c r="CO41" s="62">
        <f t="shared" ref="CO41" si="306">SUM(CO38:CO40)</f>
        <v>23673</v>
      </c>
      <c r="CP41" s="62">
        <f t="shared" ref="CP41" si="307">SUM(CP38:CP40)</f>
        <v>23703</v>
      </c>
      <c r="CQ41" s="62">
        <f t="shared" ref="CQ41" si="308">SUM(CQ38:CQ40)</f>
        <v>23736</v>
      </c>
      <c r="CR41" s="62">
        <f t="shared" ref="CR41" si="309">SUM(CR38:CR40)</f>
        <v>23792</v>
      </c>
      <c r="CS41" s="62">
        <f t="shared" ref="CS41" si="310">SUM(CS38:CS40)</f>
        <v>23809</v>
      </c>
      <c r="CT41" s="122">
        <f t="shared" ref="CT41" si="311">SUM(CT38:CT40)</f>
        <v>23827</v>
      </c>
      <c r="CU41" s="62">
        <f t="shared" ref="CU41" si="312">SUM(CU38:CU40)</f>
        <v>23869</v>
      </c>
      <c r="CV41" s="62">
        <f t="shared" ref="CV41" si="313">SUM(CV38:CV40)</f>
        <v>23922</v>
      </c>
      <c r="CW41" s="62">
        <f t="shared" ref="CW41" si="314">SUM(CW38:CW40)</f>
        <v>23956</v>
      </c>
      <c r="CX41" s="62">
        <f t="shared" ref="CX41" si="315">SUM(CX38:CX40)</f>
        <v>23973</v>
      </c>
      <c r="CY41" s="62">
        <f t="shared" ref="CY41" si="316">SUM(CY38:CY40)</f>
        <v>23997</v>
      </c>
      <c r="CZ41" s="62">
        <f t="shared" ref="CZ41" si="317">SUM(CZ38:CZ40)</f>
        <v>24015</v>
      </c>
      <c r="DA41" s="62">
        <f t="shared" ref="DA41" si="318">SUM(DA38:DA40)</f>
        <v>24058</v>
      </c>
      <c r="DB41" s="62">
        <f t="shared" ref="DB41" si="319">SUM(DB38:DB40)</f>
        <v>24067</v>
      </c>
      <c r="DC41" s="62">
        <f t="shared" ref="DC41" si="320">SUM(DC38:DC40)</f>
        <v>24149</v>
      </c>
      <c r="DD41" s="62">
        <f t="shared" ref="DD41" si="321">SUM(DD38:DD40)</f>
        <v>24197</v>
      </c>
      <c r="DE41" s="62">
        <f t="shared" ref="DE41" si="322">SUM(DE38:DE40)</f>
        <v>24208</v>
      </c>
      <c r="DF41" s="122">
        <f t="shared" ref="DF41" si="323">SUM(DF38:DF40)</f>
        <v>24275</v>
      </c>
      <c r="DG41" s="62">
        <f t="shared" ref="DG41" si="324">SUM(DG38:DG40)</f>
        <v>24328</v>
      </c>
      <c r="DH41" s="62">
        <f t="shared" ref="DH41" si="325">SUM(DH38:DH40)</f>
        <v>24341</v>
      </c>
      <c r="DI41" s="62">
        <f t="shared" ref="DI41" si="326">SUM(DI38:DI40)</f>
        <v>24367</v>
      </c>
      <c r="DJ41" s="62">
        <f t="shared" ref="DJ41" si="327">SUM(DJ38:DJ40)</f>
        <v>24389</v>
      </c>
      <c r="DK41" s="62">
        <f t="shared" ref="DK41" si="328">SUM(DK38:DK40)</f>
        <v>24435</v>
      </c>
      <c r="DL41" s="62">
        <f t="shared" ref="DL41" si="329">SUM(DL38:DL40)</f>
        <v>24467</v>
      </c>
      <c r="DM41" s="62">
        <f t="shared" ref="DM41" si="330">SUM(DM38:DM40)</f>
        <v>24495</v>
      </c>
      <c r="DN41" s="62">
        <f t="shared" ref="DN41" si="331">SUM(DN38:DN40)</f>
        <v>24537</v>
      </c>
      <c r="DO41" s="62">
        <f t="shared" ref="DO41" si="332">SUM(DO38:DO40)</f>
        <v>24553</v>
      </c>
      <c r="DP41" s="62">
        <f t="shared" ref="DP41" si="333">SUM(DP38:DP40)</f>
        <v>24574</v>
      </c>
      <c r="DQ41" s="62">
        <f t="shared" ref="DQ41" si="334">SUM(DQ38:DQ40)</f>
        <v>24580</v>
      </c>
      <c r="DR41" s="122">
        <f t="shared" ref="DR41" si="335">SUM(DR38:DR40)</f>
        <v>24596</v>
      </c>
      <c r="DS41" s="62">
        <f t="shared" ref="DS41" si="336">SUM(DS38:DS40)</f>
        <v>24615</v>
      </c>
      <c r="DT41" s="62">
        <f t="shared" ref="DT41" si="337">SUM(DT38:DT40)</f>
        <v>24639</v>
      </c>
      <c r="DU41" s="62">
        <f t="shared" ref="DU41" si="338">SUM(DU38:DU40)</f>
        <v>24641</v>
      </c>
      <c r="DV41" s="62">
        <f t="shared" ref="DV41" si="339">SUM(DV38:DV40)</f>
        <v>24642</v>
      </c>
      <c r="DW41" s="62">
        <f t="shared" ref="DW41" si="340">SUM(DW38:DW40)</f>
        <v>24680</v>
      </c>
      <c r="DX41" s="62">
        <f t="shared" ref="DX41" si="341">SUM(DX38:DX40)</f>
        <v>24696</v>
      </c>
      <c r="DY41" s="62">
        <f t="shared" ref="DY41" si="342">SUM(DY38:DY40)</f>
        <v>24748</v>
      </c>
      <c r="DZ41" s="62">
        <f t="shared" ref="DZ41" si="343">SUM(DZ38:DZ40)</f>
        <v>24779</v>
      </c>
      <c r="EA41" s="62">
        <f t="shared" ref="EA41" si="344">SUM(EA38:EA40)</f>
        <v>24805</v>
      </c>
      <c r="EB41" s="62">
        <f t="shared" ref="EB41" si="345">SUM(EB38:EB40)</f>
        <v>24823</v>
      </c>
      <c r="EC41" s="62">
        <f t="shared" ref="EC41" si="346">SUM(EC38:EC40)</f>
        <v>24828</v>
      </c>
      <c r="ED41" s="122">
        <f t="shared" ref="ED41" si="347">SUM(ED38:ED40)</f>
        <v>24872</v>
      </c>
      <c r="EE41" s="62">
        <f t="shared" ref="EE41" si="348">SUM(EE38:EE40)</f>
        <v>24886</v>
      </c>
      <c r="EF41" s="62">
        <f t="shared" ref="EF41" si="349">SUM(EF38:EF40)</f>
        <v>24920</v>
      </c>
      <c r="EG41" s="62">
        <f t="shared" ref="EG41" si="350">SUM(EG38:EG40)</f>
        <v>24951</v>
      </c>
      <c r="EH41" s="62">
        <f t="shared" ref="EH41" si="351">SUM(EH38:EH40)</f>
        <v>25004</v>
      </c>
      <c r="EI41" s="62">
        <f t="shared" ref="EI41" si="352">SUM(EI38:EI40)</f>
        <v>25071</v>
      </c>
      <c r="EJ41" s="62">
        <f t="shared" ref="EJ41" si="353">SUM(EJ38:EJ40)</f>
        <v>25102</v>
      </c>
      <c r="EK41" s="62">
        <f t="shared" ref="EK41" si="354">SUM(EK38:EK40)</f>
        <v>25168</v>
      </c>
      <c r="EL41" s="62">
        <f t="shared" ref="EL41" si="355">SUM(EL38:EL40)</f>
        <v>25272</v>
      </c>
      <c r="EM41" s="62">
        <f t="shared" ref="EM41" si="356">SUM(EM38:EM40)</f>
        <v>25336</v>
      </c>
      <c r="EN41" s="62">
        <f t="shared" ref="EN41" si="357">SUM(EN38:EN40)</f>
        <v>25445</v>
      </c>
      <c r="EO41" s="62">
        <f t="shared" ref="EO41" si="358">SUM(EO38:EO40)</f>
        <v>25489</v>
      </c>
      <c r="EP41" s="122">
        <f t="shared" ref="EP41" si="359">SUM(EP38:EP40)</f>
        <v>25601</v>
      </c>
      <c r="EQ41" s="62">
        <f t="shared" ref="EQ41" si="360">SUM(EQ38:EQ40)</f>
        <v>25687</v>
      </c>
      <c r="ER41" s="62">
        <f t="shared" ref="ER41" si="361">SUM(ER38:ER40)</f>
        <v>25785</v>
      </c>
      <c r="ES41" s="62">
        <f t="shared" ref="ES41" si="362">SUM(ES38:ES40)</f>
        <v>25870</v>
      </c>
      <c r="ET41" s="62">
        <f t="shared" ref="ET41" si="363">SUM(ET38:ET40)</f>
        <v>26053</v>
      </c>
      <c r="EU41" s="62">
        <f t="shared" ref="EU41" si="364">SUM(EU38:EU40)</f>
        <v>26198</v>
      </c>
      <c r="EV41" s="62">
        <f t="shared" ref="EV41" si="365">SUM(EV38:EV40)</f>
        <v>26334</v>
      </c>
      <c r="EW41" s="62">
        <f t="shared" ref="EW41" si="366">SUM(EW38:EW40)</f>
        <v>26497</v>
      </c>
      <c r="EX41" s="62">
        <f t="shared" ref="EX41" si="367">SUM(EX38:EX40)</f>
        <v>26699</v>
      </c>
      <c r="EY41" s="62">
        <f t="shared" ref="EY41" si="368">SUM(EY38:EY40)</f>
        <v>26892</v>
      </c>
      <c r="EZ41" s="62">
        <f t="shared" ref="EZ41" si="369">SUM(EZ38:EZ40)</f>
        <v>27143</v>
      </c>
      <c r="FA41" s="127">
        <f t="shared" ref="FA41" si="370">SUM(FA38:FA40)</f>
        <v>27297</v>
      </c>
      <c r="FB41" s="62">
        <f t="shared" ref="FB41" si="371">SUM(FB38:FB40)</f>
        <v>27507</v>
      </c>
      <c r="FC41" s="62">
        <f t="shared" ref="FC41" si="372">SUM(FC38:FC40)</f>
        <v>27688</v>
      </c>
      <c r="FD41" s="62">
        <f t="shared" ref="FD41:FF41" si="373">SUM(FD38:FD40)</f>
        <v>27859</v>
      </c>
      <c r="FE41" s="62">
        <f t="shared" si="373"/>
        <v>27981</v>
      </c>
      <c r="FF41" s="62">
        <f t="shared" si="373"/>
        <v>28148</v>
      </c>
      <c r="FG41" s="62">
        <f t="shared" ref="FG41:FJ41" si="374">SUM(FG38:FG40)</f>
        <v>28319</v>
      </c>
      <c r="FH41" s="62">
        <f t="shared" si="374"/>
        <v>28481</v>
      </c>
      <c r="FI41" s="62">
        <f t="shared" si="374"/>
        <v>28675</v>
      </c>
      <c r="FJ41" s="62">
        <f t="shared" si="374"/>
        <v>28857</v>
      </c>
      <c r="FK41" s="62">
        <f t="shared" ref="FK41:FV41" si="375">SUM(FK38:FK40)</f>
        <v>29067</v>
      </c>
      <c r="FL41" s="62">
        <f t="shared" si="375"/>
        <v>29227</v>
      </c>
      <c r="FM41" s="62">
        <f t="shared" si="375"/>
        <v>29332</v>
      </c>
      <c r="FN41" s="122">
        <f t="shared" si="375"/>
        <v>29442</v>
      </c>
      <c r="FO41" s="62">
        <f t="shared" si="375"/>
        <v>29627</v>
      </c>
      <c r="FP41" s="62">
        <f t="shared" si="375"/>
        <v>29713</v>
      </c>
      <c r="FQ41" s="62">
        <f t="shared" si="375"/>
        <v>29919</v>
      </c>
      <c r="FR41" s="62">
        <f t="shared" si="375"/>
        <v>30085</v>
      </c>
      <c r="FS41" s="62">
        <f t="shared" si="375"/>
        <v>30312</v>
      </c>
      <c r="FT41" s="62">
        <f t="shared" si="375"/>
        <v>30491</v>
      </c>
      <c r="FU41" s="62">
        <f t="shared" si="375"/>
        <v>30698</v>
      </c>
      <c r="FV41" s="62">
        <f t="shared" si="375"/>
        <v>30877</v>
      </c>
      <c r="FW41" s="62">
        <f t="shared" ref="FW41:FY41" si="376">SUM(FW38:FW40)</f>
        <v>31111</v>
      </c>
      <c r="FX41" s="62">
        <f t="shared" si="376"/>
        <v>31357</v>
      </c>
      <c r="FY41" s="62">
        <f t="shared" si="376"/>
        <v>31447</v>
      </c>
      <c r="FZ41" s="122">
        <f t="shared" ref="FZ41:GB41" si="377">SUM(FZ38:FZ40)</f>
        <v>31590</v>
      </c>
      <c r="GA41" s="62">
        <f t="shared" si="377"/>
        <v>31765</v>
      </c>
      <c r="GB41" s="62">
        <f t="shared" si="377"/>
        <v>31986</v>
      </c>
      <c r="GC41" s="62">
        <f t="shared" ref="GC41:GG41" si="378">SUM(GC38:GC40)</f>
        <v>32184</v>
      </c>
      <c r="GD41" s="62">
        <f t="shared" si="378"/>
        <v>32544</v>
      </c>
      <c r="GE41" s="62">
        <f t="shared" si="378"/>
        <v>32867</v>
      </c>
      <c r="GF41" s="62">
        <f t="shared" si="378"/>
        <v>33087</v>
      </c>
      <c r="GG41" s="62">
        <f t="shared" si="378"/>
        <v>33341</v>
      </c>
      <c r="GH41" s="62">
        <f t="shared" ref="GH41:GI41" si="379">SUM(GH38:GH40)</f>
        <v>33556</v>
      </c>
      <c r="GI41" s="62">
        <f t="shared" si="379"/>
        <v>33858</v>
      </c>
      <c r="GJ41" s="62">
        <f t="shared" ref="GJ41:GK41" si="380">SUM(GJ38:GJ40)</f>
        <v>34189</v>
      </c>
      <c r="GK41" s="62">
        <f t="shared" si="380"/>
        <v>34373</v>
      </c>
      <c r="GL41" s="122">
        <f t="shared" ref="GL41:GM41" si="381">SUM(GL38:GL40)</f>
        <v>34626</v>
      </c>
      <c r="GM41" s="62">
        <f t="shared" si="381"/>
        <v>34887</v>
      </c>
      <c r="GN41" s="62">
        <f t="shared" ref="GN41:GO41" si="382">SUM(GN38:GN40)</f>
        <v>35244</v>
      </c>
      <c r="GO41" s="62">
        <f t="shared" si="382"/>
        <v>35616</v>
      </c>
      <c r="GP41" s="62">
        <f t="shared" ref="GP41:GQ41" si="383">SUM(GP38:GP40)</f>
        <v>35916</v>
      </c>
      <c r="GQ41" s="62">
        <f t="shared" si="383"/>
        <v>36396</v>
      </c>
    </row>
    <row r="42" spans="1:199" s="1" customFormat="1" ht="20.149999999999999" customHeight="1" thickTop="1" x14ac:dyDescent="0.35">
      <c r="A42" s="26" t="s">
        <v>269</v>
      </c>
      <c r="B42" s="55"/>
      <c r="C42" s="55"/>
      <c r="D42" s="55"/>
      <c r="E42" s="55"/>
      <c r="F42" s="55"/>
      <c r="G42" s="55"/>
      <c r="H42" s="55"/>
      <c r="I42" s="55"/>
      <c r="J42" s="55"/>
      <c r="K42" s="55"/>
      <c r="L42" s="55"/>
      <c r="M42" s="56"/>
      <c r="N42" s="57"/>
      <c r="O42" s="55"/>
      <c r="P42" s="55"/>
      <c r="Q42" s="55"/>
      <c r="R42" s="55"/>
      <c r="S42" s="55"/>
      <c r="T42" s="55"/>
      <c r="U42" s="55"/>
      <c r="V42" s="55"/>
      <c r="W42" s="55"/>
      <c r="X42" s="55"/>
      <c r="Y42" s="56"/>
      <c r="Z42" s="55"/>
      <c r="AA42" s="55"/>
      <c r="AB42" s="55"/>
      <c r="AC42" s="55"/>
      <c r="AD42" s="55"/>
      <c r="AE42" s="55"/>
      <c r="AF42" s="55"/>
      <c r="AG42" s="55"/>
      <c r="AH42" s="55"/>
      <c r="AI42" s="55"/>
      <c r="AJ42" s="55"/>
      <c r="AK42" s="56"/>
      <c r="AL42" s="55"/>
      <c r="AM42" s="55"/>
      <c r="AN42" s="55"/>
      <c r="AO42" s="55"/>
      <c r="AP42" s="55"/>
      <c r="AQ42" s="55"/>
      <c r="AR42" s="55"/>
      <c r="AS42" s="55"/>
      <c r="AT42" s="55"/>
      <c r="AU42" s="55"/>
      <c r="AV42" s="55"/>
      <c r="AW42" s="56"/>
      <c r="AX42" s="55"/>
      <c r="AY42" s="55"/>
      <c r="AZ42" s="55"/>
      <c r="BA42" s="55"/>
      <c r="BB42" s="55"/>
      <c r="BC42" s="55"/>
      <c r="BD42" s="55"/>
      <c r="BE42" s="55"/>
      <c r="BF42" s="55"/>
      <c r="BG42" s="55"/>
      <c r="BH42" s="55"/>
      <c r="BI42" s="56"/>
      <c r="BJ42" s="55"/>
      <c r="BK42" s="55"/>
      <c r="BL42" s="55"/>
      <c r="BM42" s="55"/>
      <c r="BN42" s="55"/>
      <c r="BO42" s="55"/>
      <c r="BP42" s="55"/>
      <c r="BQ42" s="55"/>
      <c r="BR42" s="55"/>
      <c r="BS42" s="55"/>
      <c r="BT42" s="55"/>
      <c r="BU42" s="56"/>
      <c r="BV42" s="55"/>
      <c r="BW42" s="55"/>
      <c r="BX42" s="55"/>
      <c r="BY42" s="55"/>
      <c r="BZ42" s="55"/>
      <c r="CA42" s="55"/>
      <c r="CB42" s="55"/>
      <c r="CC42" s="55"/>
      <c r="CD42" s="55"/>
      <c r="CE42" s="55"/>
      <c r="CF42" s="55"/>
      <c r="CG42" s="121"/>
      <c r="CH42" s="77"/>
      <c r="CI42" s="55"/>
      <c r="CJ42" s="55"/>
      <c r="CK42" s="55"/>
      <c r="CL42" s="55"/>
      <c r="CM42" s="55"/>
      <c r="CN42" s="55"/>
      <c r="CO42" s="55"/>
      <c r="CP42" s="55"/>
      <c r="CQ42" s="55"/>
      <c r="CR42" s="55"/>
      <c r="CS42" s="121"/>
      <c r="CT42" s="77"/>
      <c r="CU42" s="55"/>
      <c r="CV42" s="55"/>
      <c r="CW42" s="55"/>
      <c r="CX42" s="55"/>
      <c r="CY42" s="55"/>
      <c r="CZ42" s="55"/>
      <c r="DA42" s="55"/>
      <c r="DB42" s="55"/>
      <c r="DC42" s="55"/>
      <c r="DD42" s="55"/>
      <c r="DE42" s="121"/>
      <c r="DF42" s="77"/>
      <c r="DG42" s="55"/>
      <c r="DH42" s="55"/>
      <c r="DI42" s="55"/>
      <c r="DJ42" s="55"/>
      <c r="DK42" s="55"/>
      <c r="DL42" s="55"/>
      <c r="DM42" s="55"/>
      <c r="DN42" s="55"/>
      <c r="DO42" s="55"/>
      <c r="DP42" s="55"/>
      <c r="DQ42" s="121"/>
      <c r="DR42" s="77"/>
      <c r="DS42" s="55"/>
      <c r="DT42" s="123"/>
      <c r="DU42" s="123"/>
      <c r="DV42" s="123"/>
      <c r="DW42" s="123"/>
      <c r="DX42" s="123"/>
      <c r="DY42" s="123"/>
      <c r="DZ42" s="123"/>
      <c r="EA42" s="123"/>
      <c r="EB42" s="123"/>
      <c r="EC42" s="123"/>
      <c r="ED42" s="77"/>
      <c r="EE42" s="55"/>
      <c r="EF42" s="123"/>
      <c r="EG42" s="123"/>
      <c r="EH42" s="123"/>
      <c r="EI42" s="123"/>
      <c r="EJ42" s="123"/>
      <c r="EK42" s="123"/>
      <c r="EL42" s="123"/>
      <c r="EM42" s="123"/>
      <c r="EN42" s="123"/>
      <c r="EO42" s="123"/>
      <c r="EP42" s="77"/>
      <c r="EQ42" s="55"/>
      <c r="ER42" s="123"/>
      <c r="ES42" s="123"/>
      <c r="ET42" s="123"/>
      <c r="EU42" s="123"/>
      <c r="EV42" s="123"/>
      <c r="EW42" s="123"/>
      <c r="EX42" s="123"/>
      <c r="EY42" s="123"/>
      <c r="EZ42" s="123"/>
      <c r="FA42" s="133"/>
      <c r="FB42" s="123"/>
      <c r="FC42" s="123"/>
      <c r="FD42" s="123"/>
      <c r="FE42" s="123"/>
      <c r="FF42" s="123"/>
      <c r="FG42" s="123"/>
      <c r="FH42" s="123"/>
      <c r="FI42" s="123"/>
      <c r="FJ42" s="123"/>
      <c r="FK42" s="123"/>
      <c r="FL42" s="123"/>
      <c r="FM42" s="123"/>
      <c r="FN42" s="172"/>
      <c r="FO42" s="123"/>
      <c r="FP42" s="123"/>
      <c r="FQ42" s="123"/>
      <c r="FR42" s="123"/>
      <c r="FS42" s="123"/>
      <c r="FT42" s="123"/>
      <c r="FU42" s="123"/>
      <c r="FV42" s="123"/>
      <c r="FW42" s="126"/>
      <c r="FX42" s="126"/>
      <c r="FY42" s="126"/>
      <c r="FZ42" s="167"/>
      <c r="GA42" s="123"/>
      <c r="GB42" s="123"/>
      <c r="GC42" s="123"/>
      <c r="GD42" s="123"/>
      <c r="GE42" s="123"/>
      <c r="GF42" s="123"/>
      <c r="GG42" s="126"/>
      <c r="GH42" s="126"/>
      <c r="GI42" s="126"/>
      <c r="GJ42" s="126"/>
      <c r="GK42" s="126"/>
      <c r="GL42" s="167"/>
      <c r="GM42" s="123"/>
      <c r="GN42" s="123"/>
      <c r="GO42" s="123"/>
      <c r="GP42" s="123"/>
      <c r="GQ42" s="123"/>
    </row>
    <row r="43" spans="1:199" s="1" customFormat="1" ht="20.149999999999999" customHeight="1" x14ac:dyDescent="0.35">
      <c r="A43" s="31" t="s">
        <v>277</v>
      </c>
      <c r="B43" s="55">
        <v>1</v>
      </c>
      <c r="C43" s="55">
        <v>1</v>
      </c>
      <c r="D43" s="55">
        <v>1</v>
      </c>
      <c r="E43" s="55">
        <v>2</v>
      </c>
      <c r="F43" s="55">
        <v>4</v>
      </c>
      <c r="G43" s="55">
        <v>6</v>
      </c>
      <c r="H43" s="55">
        <v>7</v>
      </c>
      <c r="I43" s="55">
        <v>9</v>
      </c>
      <c r="J43" s="55">
        <v>12</v>
      </c>
      <c r="K43" s="55">
        <v>13</v>
      </c>
      <c r="L43" s="55">
        <v>16</v>
      </c>
      <c r="M43" s="56">
        <v>20</v>
      </c>
      <c r="N43" s="57">
        <v>21</v>
      </c>
      <c r="O43" s="55">
        <v>23</v>
      </c>
      <c r="P43" s="55">
        <v>29</v>
      </c>
      <c r="Q43" s="55">
        <v>35</v>
      </c>
      <c r="R43" s="55">
        <v>40</v>
      </c>
      <c r="S43" s="55">
        <v>51</v>
      </c>
      <c r="T43" s="55">
        <v>100</v>
      </c>
      <c r="U43" s="55">
        <v>109</v>
      </c>
      <c r="V43" s="55">
        <v>121</v>
      </c>
      <c r="W43" s="55">
        <v>135</v>
      </c>
      <c r="X43" s="55">
        <v>174</v>
      </c>
      <c r="Y43" s="56">
        <v>232</v>
      </c>
      <c r="Z43" s="55">
        <v>232</v>
      </c>
      <c r="AA43" s="55">
        <v>253</v>
      </c>
      <c r="AB43" s="55">
        <v>267</v>
      </c>
      <c r="AC43" s="55">
        <v>267</v>
      </c>
      <c r="AD43" s="55">
        <v>271</v>
      </c>
      <c r="AE43" s="55">
        <v>273</v>
      </c>
      <c r="AF43" s="55">
        <v>300</v>
      </c>
      <c r="AG43" s="55">
        <v>300</v>
      </c>
      <c r="AH43" s="55">
        <v>300</v>
      </c>
      <c r="AI43" s="55">
        <v>301</v>
      </c>
      <c r="AJ43" s="55">
        <v>304</v>
      </c>
      <c r="AK43" s="56">
        <v>304</v>
      </c>
      <c r="AL43" s="55">
        <v>304</v>
      </c>
      <c r="AM43" s="55">
        <v>304</v>
      </c>
      <c r="AN43" s="55">
        <v>305</v>
      </c>
      <c r="AO43" s="55">
        <v>313</v>
      </c>
      <c r="AP43" s="55">
        <v>315</v>
      </c>
      <c r="AQ43" s="55">
        <v>316</v>
      </c>
      <c r="AR43" s="55">
        <v>320</v>
      </c>
      <c r="AS43" s="55">
        <v>323</v>
      </c>
      <c r="AT43" s="55">
        <v>328</v>
      </c>
      <c r="AU43" s="55">
        <v>332</v>
      </c>
      <c r="AV43" s="55">
        <v>333</v>
      </c>
      <c r="AW43" s="56">
        <v>335</v>
      </c>
      <c r="AX43" s="55">
        <v>335</v>
      </c>
      <c r="AY43" s="55">
        <v>337</v>
      </c>
      <c r="AZ43" s="55">
        <v>342</v>
      </c>
      <c r="BA43" s="55">
        <v>343</v>
      </c>
      <c r="BB43" s="55">
        <v>348</v>
      </c>
      <c r="BC43" s="55">
        <v>354</v>
      </c>
      <c r="BD43" s="55">
        <v>357</v>
      </c>
      <c r="BE43" s="55">
        <v>361</v>
      </c>
      <c r="BF43" s="55">
        <v>364</v>
      </c>
      <c r="BG43" s="55">
        <v>369</v>
      </c>
      <c r="BH43" s="55">
        <v>372</v>
      </c>
      <c r="BI43" s="56">
        <v>379</v>
      </c>
      <c r="BJ43" s="55">
        <v>379</v>
      </c>
      <c r="BK43" s="55">
        <v>382</v>
      </c>
      <c r="BL43" s="55">
        <v>393</v>
      </c>
      <c r="BM43" s="55">
        <v>395</v>
      </c>
      <c r="BN43" s="55">
        <v>399</v>
      </c>
      <c r="BO43" s="55">
        <v>409</v>
      </c>
      <c r="BP43" s="55">
        <v>412</v>
      </c>
      <c r="BQ43" s="55">
        <v>415</v>
      </c>
      <c r="BR43" s="55">
        <v>425</v>
      </c>
      <c r="BS43" s="55">
        <v>435</v>
      </c>
      <c r="BT43" s="55">
        <v>448</v>
      </c>
      <c r="BU43" s="56">
        <v>525</v>
      </c>
      <c r="BV43" s="55">
        <v>527</v>
      </c>
      <c r="BW43" s="55">
        <v>529</v>
      </c>
      <c r="BX43" s="55">
        <v>532</v>
      </c>
      <c r="BY43" s="55">
        <v>532</v>
      </c>
      <c r="BZ43" s="55">
        <v>535</v>
      </c>
      <c r="CA43" s="55">
        <v>564</v>
      </c>
      <c r="CB43" s="55">
        <v>564</v>
      </c>
      <c r="CC43" s="55">
        <v>567</v>
      </c>
      <c r="CD43" s="55">
        <v>569</v>
      </c>
      <c r="CE43" s="55">
        <v>569</v>
      </c>
      <c r="CF43" s="55">
        <v>570</v>
      </c>
      <c r="CG43" s="121">
        <v>570</v>
      </c>
      <c r="CH43" s="77">
        <v>571</v>
      </c>
      <c r="CI43" s="55">
        <v>571</v>
      </c>
      <c r="CJ43" s="55">
        <v>573</v>
      </c>
      <c r="CK43" s="55">
        <v>573</v>
      </c>
      <c r="CL43" s="55">
        <v>574</v>
      </c>
      <c r="CM43" s="55">
        <v>574</v>
      </c>
      <c r="CN43" s="55">
        <v>575</v>
      </c>
      <c r="CO43" s="55">
        <v>575</v>
      </c>
      <c r="CP43" s="55">
        <v>575</v>
      </c>
      <c r="CQ43" s="55">
        <v>575</v>
      </c>
      <c r="CR43" s="55">
        <v>575</v>
      </c>
      <c r="CS43" s="121">
        <v>575</v>
      </c>
      <c r="CT43" s="77">
        <v>576</v>
      </c>
      <c r="CU43" s="55">
        <v>576</v>
      </c>
      <c r="CV43" s="55">
        <v>576</v>
      </c>
      <c r="CW43" s="55">
        <v>576</v>
      </c>
      <c r="CX43" s="55">
        <v>576</v>
      </c>
      <c r="CY43" s="55">
        <v>576</v>
      </c>
      <c r="CZ43" s="55">
        <v>576</v>
      </c>
      <c r="DA43" s="55">
        <v>576</v>
      </c>
      <c r="DB43" s="55">
        <v>576</v>
      </c>
      <c r="DC43" s="55">
        <v>576</v>
      </c>
      <c r="DD43" s="55">
        <v>576</v>
      </c>
      <c r="DE43" s="121">
        <v>576</v>
      </c>
      <c r="DF43" s="77">
        <v>576</v>
      </c>
      <c r="DG43" s="55">
        <v>576</v>
      </c>
      <c r="DH43" s="55">
        <v>576</v>
      </c>
      <c r="DI43" s="55">
        <v>576</v>
      </c>
      <c r="DJ43" s="55">
        <v>576</v>
      </c>
      <c r="DK43" s="55">
        <v>576</v>
      </c>
      <c r="DL43" s="55">
        <v>576</v>
      </c>
      <c r="DM43" s="55">
        <v>576</v>
      </c>
      <c r="DN43" s="55">
        <v>576</v>
      </c>
      <c r="DO43" s="55">
        <v>576</v>
      </c>
      <c r="DP43" s="55">
        <v>576</v>
      </c>
      <c r="DQ43" s="121">
        <v>576</v>
      </c>
      <c r="DR43" s="77">
        <v>576</v>
      </c>
      <c r="DS43" s="55">
        <v>576</v>
      </c>
      <c r="DT43" s="55">
        <v>576</v>
      </c>
      <c r="DU43" s="55">
        <v>576</v>
      </c>
      <c r="DV43" s="55">
        <v>576</v>
      </c>
      <c r="DW43" s="55">
        <v>576</v>
      </c>
      <c r="DX43" s="55">
        <v>576</v>
      </c>
      <c r="DY43" s="55">
        <v>576</v>
      </c>
      <c r="DZ43" s="55">
        <v>576</v>
      </c>
      <c r="EA43" s="55">
        <v>576</v>
      </c>
      <c r="EB43" s="55">
        <v>576</v>
      </c>
      <c r="EC43" s="55">
        <v>576</v>
      </c>
      <c r="ED43" s="77">
        <v>576</v>
      </c>
      <c r="EE43" s="55">
        <v>576</v>
      </c>
      <c r="EF43" s="55">
        <v>576</v>
      </c>
      <c r="EG43" s="55">
        <v>576</v>
      </c>
      <c r="EH43" s="55">
        <v>576</v>
      </c>
      <c r="EI43" s="55">
        <v>576</v>
      </c>
      <c r="EJ43" s="55">
        <v>576</v>
      </c>
      <c r="EK43" s="55">
        <v>576</v>
      </c>
      <c r="EL43" s="55">
        <v>576</v>
      </c>
      <c r="EM43" s="55">
        <v>576</v>
      </c>
      <c r="EN43" s="55">
        <v>576</v>
      </c>
      <c r="EO43" s="55">
        <v>576</v>
      </c>
      <c r="EP43" s="77">
        <v>576</v>
      </c>
      <c r="EQ43" s="55">
        <v>576</v>
      </c>
      <c r="ER43" s="55">
        <v>576</v>
      </c>
      <c r="ES43" s="55">
        <v>576</v>
      </c>
      <c r="ET43" s="55">
        <v>576</v>
      </c>
      <c r="EU43" s="55">
        <v>576</v>
      </c>
      <c r="EV43" s="55">
        <v>576</v>
      </c>
      <c r="EW43" s="55">
        <v>576</v>
      </c>
      <c r="EX43" s="55">
        <v>576</v>
      </c>
      <c r="EY43" s="55">
        <v>576</v>
      </c>
      <c r="EZ43" s="55">
        <v>576</v>
      </c>
      <c r="FA43" s="83">
        <v>576</v>
      </c>
      <c r="FB43" s="55">
        <v>576</v>
      </c>
      <c r="FC43" s="55">
        <v>576</v>
      </c>
      <c r="FD43" s="55">
        <v>576</v>
      </c>
      <c r="FE43" s="55">
        <v>576</v>
      </c>
      <c r="FF43" s="55">
        <v>576</v>
      </c>
      <c r="FG43" s="55">
        <v>576</v>
      </c>
      <c r="FH43" s="55">
        <v>576</v>
      </c>
      <c r="FI43" s="55">
        <v>576</v>
      </c>
      <c r="FJ43" s="55">
        <v>576</v>
      </c>
      <c r="FK43" s="55">
        <v>576</v>
      </c>
      <c r="FL43" s="55">
        <v>576</v>
      </c>
      <c r="FM43" s="55">
        <v>576</v>
      </c>
      <c r="FN43" s="69">
        <v>576</v>
      </c>
      <c r="FO43" s="55">
        <v>576</v>
      </c>
      <c r="FP43" s="55">
        <v>576</v>
      </c>
      <c r="FQ43" s="55">
        <v>576</v>
      </c>
      <c r="FR43" s="55">
        <v>576</v>
      </c>
      <c r="FS43" s="55">
        <v>576</v>
      </c>
      <c r="FT43" s="55">
        <v>576</v>
      </c>
      <c r="FU43" s="55">
        <v>576</v>
      </c>
      <c r="FV43" s="55">
        <v>576</v>
      </c>
      <c r="FW43" s="55">
        <v>576</v>
      </c>
      <c r="FX43" s="55">
        <v>576</v>
      </c>
      <c r="FY43" s="55">
        <v>576</v>
      </c>
      <c r="FZ43" s="77">
        <v>576</v>
      </c>
      <c r="GA43" s="55">
        <v>576</v>
      </c>
      <c r="GB43" s="55">
        <v>576</v>
      </c>
      <c r="GC43" s="55">
        <v>576</v>
      </c>
      <c r="GD43" s="55">
        <v>576</v>
      </c>
      <c r="GE43" s="55">
        <v>576</v>
      </c>
      <c r="GF43" s="55">
        <v>576</v>
      </c>
      <c r="GG43" s="55">
        <v>576</v>
      </c>
      <c r="GH43" s="55">
        <v>576</v>
      </c>
      <c r="GI43" s="55">
        <v>576</v>
      </c>
      <c r="GJ43" s="55">
        <v>576</v>
      </c>
      <c r="GK43" s="55">
        <v>576</v>
      </c>
      <c r="GL43" s="77">
        <v>576</v>
      </c>
      <c r="GM43" s="55">
        <v>576</v>
      </c>
      <c r="GN43" s="55">
        <v>576</v>
      </c>
      <c r="GO43" s="55">
        <v>576</v>
      </c>
      <c r="GP43" s="55">
        <v>576</v>
      </c>
      <c r="GQ43" s="55">
        <v>576</v>
      </c>
    </row>
    <row r="44" spans="1:199" s="1" customFormat="1" ht="20.149999999999999" customHeight="1" x14ac:dyDescent="0.35">
      <c r="A44" s="31" t="s">
        <v>278</v>
      </c>
      <c r="B44" s="55">
        <v>4514</v>
      </c>
      <c r="C44" s="55">
        <v>4935</v>
      </c>
      <c r="D44" s="55">
        <v>5722</v>
      </c>
      <c r="E44" s="55">
        <v>6629</v>
      </c>
      <c r="F44" s="55">
        <v>7969</v>
      </c>
      <c r="G44" s="55">
        <v>9669</v>
      </c>
      <c r="H44" s="55">
        <v>11684</v>
      </c>
      <c r="I44" s="55">
        <v>13756</v>
      </c>
      <c r="J44" s="55">
        <v>16352</v>
      </c>
      <c r="K44" s="55">
        <v>19451</v>
      </c>
      <c r="L44" s="55">
        <v>23006</v>
      </c>
      <c r="M44" s="56">
        <v>25679</v>
      </c>
      <c r="N44" s="57">
        <v>29353</v>
      </c>
      <c r="O44" s="55">
        <v>33531</v>
      </c>
      <c r="P44" s="55">
        <v>39806</v>
      </c>
      <c r="Q44" s="55">
        <v>45757</v>
      </c>
      <c r="R44" s="55">
        <v>52706</v>
      </c>
      <c r="S44" s="55">
        <v>61789</v>
      </c>
      <c r="T44" s="55">
        <v>72569</v>
      </c>
      <c r="U44" s="55">
        <v>86110</v>
      </c>
      <c r="V44" s="55">
        <v>102766</v>
      </c>
      <c r="W44" s="55">
        <v>122214</v>
      </c>
      <c r="X44" s="55">
        <v>177201</v>
      </c>
      <c r="Y44" s="56">
        <v>220906</v>
      </c>
      <c r="Z44" s="55">
        <v>228759</v>
      </c>
      <c r="AA44" s="55">
        <v>270860</v>
      </c>
      <c r="AB44" s="55">
        <v>296105</v>
      </c>
      <c r="AC44" s="55">
        <v>300920</v>
      </c>
      <c r="AD44" s="55">
        <v>310590</v>
      </c>
      <c r="AE44" s="55">
        <v>322955</v>
      </c>
      <c r="AF44" s="55">
        <v>348058</v>
      </c>
      <c r="AG44" s="55">
        <v>351434</v>
      </c>
      <c r="AH44" s="55">
        <v>356039</v>
      </c>
      <c r="AI44" s="55">
        <v>366026</v>
      </c>
      <c r="AJ44" s="55">
        <v>371121</v>
      </c>
      <c r="AK44" s="56">
        <v>376576</v>
      </c>
      <c r="AL44" s="55">
        <v>382385</v>
      </c>
      <c r="AM44" s="55">
        <v>388819</v>
      </c>
      <c r="AN44" s="55">
        <v>396070</v>
      </c>
      <c r="AO44" s="55">
        <v>403745</v>
      </c>
      <c r="AP44" s="55">
        <v>411704</v>
      </c>
      <c r="AQ44" s="55">
        <v>423647</v>
      </c>
      <c r="AR44" s="55">
        <v>429727</v>
      </c>
      <c r="AS44" s="55">
        <v>436992</v>
      </c>
      <c r="AT44" s="55">
        <v>444656</v>
      </c>
      <c r="AU44" s="55">
        <v>452815</v>
      </c>
      <c r="AV44" s="55">
        <v>462068</v>
      </c>
      <c r="AW44" s="56">
        <v>469931</v>
      </c>
      <c r="AX44" s="55">
        <v>477545</v>
      </c>
      <c r="AY44" s="55">
        <v>485833</v>
      </c>
      <c r="AZ44" s="55">
        <v>500523</v>
      </c>
      <c r="BA44" s="55">
        <v>507950</v>
      </c>
      <c r="BB44" s="55">
        <v>516133</v>
      </c>
      <c r="BC44" s="55">
        <v>525194</v>
      </c>
      <c r="BD44" s="55">
        <v>535413</v>
      </c>
      <c r="BE44" s="55">
        <v>545292</v>
      </c>
      <c r="BF44" s="55">
        <v>556906</v>
      </c>
      <c r="BG44" s="55">
        <v>568962</v>
      </c>
      <c r="BH44" s="55">
        <v>580568</v>
      </c>
      <c r="BI44" s="56">
        <v>592852</v>
      </c>
      <c r="BJ44" s="55">
        <v>600256</v>
      </c>
      <c r="BK44" s="55">
        <v>609407</v>
      </c>
      <c r="BL44" s="55">
        <v>624372</v>
      </c>
      <c r="BM44" s="55">
        <v>634058</v>
      </c>
      <c r="BN44" s="55">
        <v>644267</v>
      </c>
      <c r="BO44" s="55">
        <v>659339</v>
      </c>
      <c r="BP44" s="55">
        <v>669453</v>
      </c>
      <c r="BQ44" s="55">
        <v>679698</v>
      </c>
      <c r="BR44" s="55">
        <v>697193</v>
      </c>
      <c r="BS44" s="55">
        <v>712179</v>
      </c>
      <c r="BT44" s="55">
        <v>731856</v>
      </c>
      <c r="BU44" s="56">
        <v>755784</v>
      </c>
      <c r="BV44" s="55">
        <v>768751</v>
      </c>
      <c r="BW44" s="55">
        <v>770993</v>
      </c>
      <c r="BX44" s="55">
        <v>774078</v>
      </c>
      <c r="BY44" s="55">
        <v>776278</v>
      </c>
      <c r="BZ44" s="55">
        <v>778623</v>
      </c>
      <c r="CA44" s="55">
        <v>781386</v>
      </c>
      <c r="CB44" s="55">
        <v>783496</v>
      </c>
      <c r="CC44" s="55">
        <v>785565</v>
      </c>
      <c r="CD44" s="55">
        <v>787947</v>
      </c>
      <c r="CE44" s="55">
        <v>789689</v>
      </c>
      <c r="CF44" s="55">
        <v>791695</v>
      </c>
      <c r="CG44" s="121">
        <v>793381</v>
      </c>
      <c r="CH44" s="77">
        <v>794752</v>
      </c>
      <c r="CI44" s="55">
        <v>796340</v>
      </c>
      <c r="CJ44" s="55">
        <v>798577</v>
      </c>
      <c r="CK44" s="55">
        <v>800120</v>
      </c>
      <c r="CL44" s="55">
        <v>802056</v>
      </c>
      <c r="CM44" s="55">
        <v>804005</v>
      </c>
      <c r="CN44" s="55">
        <v>805738</v>
      </c>
      <c r="CO44" s="55">
        <v>807771</v>
      </c>
      <c r="CP44" s="55">
        <v>809794</v>
      </c>
      <c r="CQ44" s="55">
        <v>811619</v>
      </c>
      <c r="CR44" s="55">
        <v>813753</v>
      </c>
      <c r="CS44" s="121">
        <v>815294</v>
      </c>
      <c r="CT44" s="77">
        <v>816891</v>
      </c>
      <c r="CU44" s="55">
        <v>818417</v>
      </c>
      <c r="CV44" s="55">
        <v>820375</v>
      </c>
      <c r="CW44" s="55">
        <v>822120</v>
      </c>
      <c r="CX44" s="55">
        <v>824079</v>
      </c>
      <c r="CY44" s="55">
        <v>826199</v>
      </c>
      <c r="CZ44" s="55">
        <v>828129</v>
      </c>
      <c r="DA44" s="55">
        <v>830346</v>
      </c>
      <c r="DB44" s="55">
        <v>832823</v>
      </c>
      <c r="DC44" s="55">
        <v>835502</v>
      </c>
      <c r="DD44" s="55">
        <v>838522</v>
      </c>
      <c r="DE44" s="121">
        <v>841222</v>
      </c>
      <c r="DF44" s="77">
        <v>844880</v>
      </c>
      <c r="DG44" s="55">
        <v>849275</v>
      </c>
      <c r="DH44" s="55">
        <v>859362</v>
      </c>
      <c r="DI44" s="55">
        <v>859380</v>
      </c>
      <c r="DJ44" s="55">
        <v>859392</v>
      </c>
      <c r="DK44" s="55">
        <v>859406</v>
      </c>
      <c r="DL44" s="55">
        <v>859421</v>
      </c>
      <c r="DM44" s="55">
        <v>859448</v>
      </c>
      <c r="DN44" s="55">
        <v>859478</v>
      </c>
      <c r="DO44" s="55">
        <v>859490</v>
      </c>
      <c r="DP44" s="55">
        <v>859505</v>
      </c>
      <c r="DQ44" s="121">
        <v>859518</v>
      </c>
      <c r="DR44" s="77">
        <v>859542</v>
      </c>
      <c r="DS44" s="55">
        <v>859574</v>
      </c>
      <c r="DT44" s="55">
        <v>859658</v>
      </c>
      <c r="DU44" s="55">
        <v>859658</v>
      </c>
      <c r="DV44" s="55">
        <v>859658</v>
      </c>
      <c r="DW44" s="55">
        <v>859659</v>
      </c>
      <c r="DX44" s="55">
        <v>859660</v>
      </c>
      <c r="DY44" s="55">
        <v>859666</v>
      </c>
      <c r="DZ44" s="55">
        <v>859672</v>
      </c>
      <c r="EA44" s="55">
        <v>859673</v>
      </c>
      <c r="EB44" s="55">
        <v>859673</v>
      </c>
      <c r="EC44" s="55">
        <v>859675</v>
      </c>
      <c r="ED44" s="77">
        <v>859676</v>
      </c>
      <c r="EE44" s="55">
        <v>859676</v>
      </c>
      <c r="EF44" s="55">
        <v>859676</v>
      </c>
      <c r="EG44" s="55">
        <v>859676</v>
      </c>
      <c r="EH44" s="55">
        <v>859676</v>
      </c>
      <c r="EI44" s="55">
        <v>859676</v>
      </c>
      <c r="EJ44" s="55">
        <v>859676</v>
      </c>
      <c r="EK44" s="55">
        <v>859676</v>
      </c>
      <c r="EL44" s="55">
        <v>859676</v>
      </c>
      <c r="EM44" s="55">
        <v>859676</v>
      </c>
      <c r="EN44" s="55">
        <v>859676</v>
      </c>
      <c r="EO44" s="55">
        <v>859676</v>
      </c>
      <c r="EP44" s="77">
        <v>859676</v>
      </c>
      <c r="EQ44" s="55">
        <v>859676</v>
      </c>
      <c r="ER44" s="55">
        <v>859676</v>
      </c>
      <c r="ES44" s="55">
        <v>859676</v>
      </c>
      <c r="ET44" s="55">
        <v>859676</v>
      </c>
      <c r="EU44" s="55">
        <v>859676</v>
      </c>
      <c r="EV44" s="55">
        <v>859676</v>
      </c>
      <c r="EW44" s="55">
        <v>859676</v>
      </c>
      <c r="EX44" s="55">
        <v>859676</v>
      </c>
      <c r="EY44" s="55">
        <v>859676</v>
      </c>
      <c r="EZ44" s="55">
        <v>859676</v>
      </c>
      <c r="FA44" s="83">
        <v>859676</v>
      </c>
      <c r="FB44" s="55">
        <v>859676</v>
      </c>
      <c r="FC44" s="55">
        <v>859676</v>
      </c>
      <c r="FD44" s="55">
        <v>859676</v>
      </c>
      <c r="FE44" s="55">
        <v>859676</v>
      </c>
      <c r="FF44" s="55">
        <v>859676</v>
      </c>
      <c r="FG44" s="55">
        <v>859676</v>
      </c>
      <c r="FH44" s="55">
        <v>859676</v>
      </c>
      <c r="FI44" s="55">
        <v>859676</v>
      </c>
      <c r="FJ44" s="55">
        <v>859676</v>
      </c>
      <c r="FK44" s="55">
        <v>859676</v>
      </c>
      <c r="FL44" s="55">
        <v>859676</v>
      </c>
      <c r="FM44" s="55">
        <v>859676</v>
      </c>
      <c r="FN44" s="69">
        <v>859676</v>
      </c>
      <c r="FO44" s="55">
        <v>859676</v>
      </c>
      <c r="FP44" s="55">
        <v>859676</v>
      </c>
      <c r="FQ44" s="55">
        <v>859676</v>
      </c>
      <c r="FR44" s="55">
        <v>859676</v>
      </c>
      <c r="FS44" s="55">
        <v>859676</v>
      </c>
      <c r="FT44" s="55">
        <v>859676</v>
      </c>
      <c r="FU44" s="55">
        <v>859676</v>
      </c>
      <c r="FV44" s="55">
        <v>859676</v>
      </c>
      <c r="FW44" s="55">
        <v>859676</v>
      </c>
      <c r="FX44" s="55">
        <v>859676</v>
      </c>
      <c r="FY44" s="55">
        <v>859676</v>
      </c>
      <c r="FZ44" s="77">
        <v>859676</v>
      </c>
      <c r="GA44" s="55">
        <v>859676</v>
      </c>
      <c r="GB44" s="55">
        <v>859676</v>
      </c>
      <c r="GC44" s="55">
        <v>859676</v>
      </c>
      <c r="GD44" s="55">
        <v>859676</v>
      </c>
      <c r="GE44" s="55">
        <v>859676</v>
      </c>
      <c r="GF44" s="55">
        <v>859676</v>
      </c>
      <c r="GG44" s="55">
        <v>859676</v>
      </c>
      <c r="GH44" s="55">
        <v>859676</v>
      </c>
      <c r="GI44" s="55">
        <v>859676</v>
      </c>
      <c r="GJ44" s="55">
        <v>859676</v>
      </c>
      <c r="GK44" s="55">
        <v>859676</v>
      </c>
      <c r="GL44" s="77">
        <v>859676</v>
      </c>
      <c r="GM44" s="55">
        <v>859676</v>
      </c>
      <c r="GN44" s="55">
        <v>859676</v>
      </c>
      <c r="GO44" s="55">
        <v>859676</v>
      </c>
      <c r="GP44" s="55">
        <v>859676</v>
      </c>
      <c r="GQ44" s="55">
        <v>859676</v>
      </c>
    </row>
    <row r="45" spans="1:199" s="1" customFormat="1" ht="20.149999999999999" customHeight="1" x14ac:dyDescent="0.35">
      <c r="A45" s="31" t="s">
        <v>279</v>
      </c>
      <c r="B45" s="55">
        <v>0</v>
      </c>
      <c r="C45" s="55">
        <v>0</v>
      </c>
      <c r="D45" s="55">
        <v>0</v>
      </c>
      <c r="E45" s="55">
        <v>0</v>
      </c>
      <c r="F45" s="55">
        <v>0</v>
      </c>
      <c r="G45" s="55">
        <v>0</v>
      </c>
      <c r="H45" s="55">
        <v>0</v>
      </c>
      <c r="I45" s="55">
        <v>0</v>
      </c>
      <c r="J45" s="55">
        <v>0</v>
      </c>
      <c r="K45" s="55">
        <v>0</v>
      </c>
      <c r="L45" s="55">
        <v>0</v>
      </c>
      <c r="M45" s="56">
        <v>0</v>
      </c>
      <c r="N45" s="57">
        <v>0</v>
      </c>
      <c r="O45" s="55">
        <v>0</v>
      </c>
      <c r="P45" s="55">
        <v>0</v>
      </c>
      <c r="Q45" s="55">
        <v>0</v>
      </c>
      <c r="R45" s="55">
        <v>0</v>
      </c>
      <c r="S45" s="55">
        <v>0</v>
      </c>
      <c r="T45" s="55">
        <v>1</v>
      </c>
      <c r="U45" s="55">
        <v>1</v>
      </c>
      <c r="V45" s="55">
        <v>1</v>
      </c>
      <c r="W45" s="55">
        <v>1</v>
      </c>
      <c r="X45" s="55">
        <v>1</v>
      </c>
      <c r="Y45" s="56">
        <v>2</v>
      </c>
      <c r="Z45" s="55">
        <v>2</v>
      </c>
      <c r="AA45" s="55">
        <v>2</v>
      </c>
      <c r="AB45" s="55">
        <v>2</v>
      </c>
      <c r="AC45" s="55">
        <v>2</v>
      </c>
      <c r="AD45" s="55">
        <v>2</v>
      </c>
      <c r="AE45" s="55">
        <v>2</v>
      </c>
      <c r="AF45" s="55">
        <v>2</v>
      </c>
      <c r="AG45" s="55">
        <v>2</v>
      </c>
      <c r="AH45" s="55">
        <v>2</v>
      </c>
      <c r="AI45" s="55">
        <v>2</v>
      </c>
      <c r="AJ45" s="55">
        <v>2</v>
      </c>
      <c r="AK45" s="56">
        <v>2</v>
      </c>
      <c r="AL45" s="55">
        <v>2</v>
      </c>
      <c r="AM45" s="55">
        <v>2</v>
      </c>
      <c r="AN45" s="55">
        <v>11</v>
      </c>
      <c r="AO45" s="55">
        <v>14</v>
      </c>
      <c r="AP45" s="55">
        <v>18</v>
      </c>
      <c r="AQ45" s="55">
        <v>26</v>
      </c>
      <c r="AR45" s="55">
        <v>27</v>
      </c>
      <c r="AS45" s="55">
        <v>32</v>
      </c>
      <c r="AT45" s="55">
        <v>33</v>
      </c>
      <c r="AU45" s="55">
        <v>33</v>
      </c>
      <c r="AV45" s="55">
        <v>37</v>
      </c>
      <c r="AW45" s="56">
        <v>38</v>
      </c>
      <c r="AX45" s="55">
        <v>48</v>
      </c>
      <c r="AY45" s="55">
        <v>54</v>
      </c>
      <c r="AZ45" s="55">
        <v>141</v>
      </c>
      <c r="BA45" s="55">
        <v>142</v>
      </c>
      <c r="BB45" s="55">
        <v>147</v>
      </c>
      <c r="BC45" s="55">
        <v>153</v>
      </c>
      <c r="BD45" s="55">
        <v>163</v>
      </c>
      <c r="BE45" s="55">
        <v>166</v>
      </c>
      <c r="BF45" s="55">
        <v>177</v>
      </c>
      <c r="BG45" s="55">
        <v>185</v>
      </c>
      <c r="BH45" s="55">
        <v>192</v>
      </c>
      <c r="BI45" s="56">
        <v>204</v>
      </c>
      <c r="BJ45" s="55">
        <v>208</v>
      </c>
      <c r="BK45" s="55">
        <v>219</v>
      </c>
      <c r="BL45" s="55">
        <v>379</v>
      </c>
      <c r="BM45" s="55">
        <v>380</v>
      </c>
      <c r="BN45" s="55">
        <v>381</v>
      </c>
      <c r="BO45" s="55">
        <v>381</v>
      </c>
      <c r="BP45" s="55">
        <v>384</v>
      </c>
      <c r="BQ45" s="55">
        <v>389</v>
      </c>
      <c r="BR45" s="55">
        <v>391</v>
      </c>
      <c r="BS45" s="55">
        <v>399</v>
      </c>
      <c r="BT45" s="55">
        <v>404</v>
      </c>
      <c r="BU45" s="56">
        <v>427</v>
      </c>
      <c r="BV45" s="55">
        <v>434</v>
      </c>
      <c r="BW45" s="55">
        <v>445</v>
      </c>
      <c r="BX45" s="55">
        <v>580</v>
      </c>
      <c r="BY45" s="55">
        <v>590</v>
      </c>
      <c r="BZ45" s="55">
        <v>593</v>
      </c>
      <c r="CA45" s="55">
        <v>597</v>
      </c>
      <c r="CB45" s="55">
        <v>599</v>
      </c>
      <c r="CC45" s="55">
        <v>602</v>
      </c>
      <c r="CD45" s="55">
        <v>605</v>
      </c>
      <c r="CE45" s="55">
        <v>611</v>
      </c>
      <c r="CF45" s="55">
        <v>616</v>
      </c>
      <c r="CG45" s="121">
        <v>629</v>
      </c>
      <c r="CH45" s="77">
        <v>634</v>
      </c>
      <c r="CI45" s="55">
        <v>651</v>
      </c>
      <c r="CJ45" s="55">
        <v>752</v>
      </c>
      <c r="CK45" s="55">
        <v>754</v>
      </c>
      <c r="CL45" s="55">
        <v>755</v>
      </c>
      <c r="CM45" s="55">
        <v>755</v>
      </c>
      <c r="CN45" s="55">
        <v>756</v>
      </c>
      <c r="CO45" s="55">
        <v>756</v>
      </c>
      <c r="CP45" s="55">
        <v>756</v>
      </c>
      <c r="CQ45" s="55">
        <v>756</v>
      </c>
      <c r="CR45" s="55">
        <v>756</v>
      </c>
      <c r="CS45" s="121">
        <v>757</v>
      </c>
      <c r="CT45" s="77">
        <v>758</v>
      </c>
      <c r="CU45" s="55">
        <v>759</v>
      </c>
      <c r="CV45" s="55">
        <v>762</v>
      </c>
      <c r="CW45" s="55">
        <v>763</v>
      </c>
      <c r="CX45" s="55">
        <v>763</v>
      </c>
      <c r="CY45" s="55">
        <v>764</v>
      </c>
      <c r="CZ45" s="55">
        <v>764</v>
      </c>
      <c r="DA45" s="55">
        <v>764</v>
      </c>
      <c r="DB45" s="55">
        <v>764</v>
      </c>
      <c r="DC45" s="55">
        <v>764</v>
      </c>
      <c r="DD45" s="55">
        <v>764</v>
      </c>
      <c r="DE45" s="121">
        <v>764</v>
      </c>
      <c r="DF45" s="77">
        <v>764</v>
      </c>
      <c r="DG45" s="55">
        <v>764</v>
      </c>
      <c r="DH45" s="55">
        <v>764</v>
      </c>
      <c r="DI45" s="55">
        <v>764</v>
      </c>
      <c r="DJ45" s="55">
        <v>764</v>
      </c>
      <c r="DK45" s="55">
        <v>764</v>
      </c>
      <c r="DL45" s="55">
        <v>764</v>
      </c>
      <c r="DM45" s="55">
        <v>764</v>
      </c>
      <c r="DN45" s="55">
        <v>764</v>
      </c>
      <c r="DO45" s="55">
        <v>764</v>
      </c>
      <c r="DP45" s="55">
        <v>764</v>
      </c>
      <c r="DQ45" s="121">
        <v>764</v>
      </c>
      <c r="DR45" s="77">
        <v>764</v>
      </c>
      <c r="DS45" s="55">
        <v>764</v>
      </c>
      <c r="DT45" s="55">
        <v>764</v>
      </c>
      <c r="DU45" s="55">
        <v>764</v>
      </c>
      <c r="DV45" s="55">
        <v>764</v>
      </c>
      <c r="DW45" s="55">
        <v>764</v>
      </c>
      <c r="DX45" s="55">
        <v>764</v>
      </c>
      <c r="DY45" s="55">
        <v>764</v>
      </c>
      <c r="DZ45" s="55">
        <v>764</v>
      </c>
      <c r="EA45" s="55">
        <v>764</v>
      </c>
      <c r="EB45" s="55">
        <v>764</v>
      </c>
      <c r="EC45" s="55">
        <v>764</v>
      </c>
      <c r="ED45" s="77">
        <v>764</v>
      </c>
      <c r="EE45" s="55">
        <v>764</v>
      </c>
      <c r="EF45" s="55">
        <v>764</v>
      </c>
      <c r="EG45" s="55">
        <v>764</v>
      </c>
      <c r="EH45" s="55">
        <v>764</v>
      </c>
      <c r="EI45" s="55">
        <v>764</v>
      </c>
      <c r="EJ45" s="55">
        <v>764</v>
      </c>
      <c r="EK45" s="55">
        <v>764</v>
      </c>
      <c r="EL45" s="55">
        <v>764</v>
      </c>
      <c r="EM45" s="55">
        <v>764</v>
      </c>
      <c r="EN45" s="55">
        <v>764</v>
      </c>
      <c r="EO45" s="55">
        <v>764</v>
      </c>
      <c r="EP45" s="77">
        <v>764</v>
      </c>
      <c r="EQ45" s="55">
        <v>764</v>
      </c>
      <c r="ER45" s="55">
        <v>764</v>
      </c>
      <c r="ES45" s="55">
        <v>764</v>
      </c>
      <c r="ET45" s="55">
        <v>764</v>
      </c>
      <c r="EU45" s="55">
        <v>764</v>
      </c>
      <c r="EV45" s="55">
        <v>764</v>
      </c>
      <c r="EW45" s="55">
        <v>764</v>
      </c>
      <c r="EX45" s="55">
        <v>764</v>
      </c>
      <c r="EY45" s="55">
        <v>764</v>
      </c>
      <c r="EZ45" s="55">
        <v>764</v>
      </c>
      <c r="FA45" s="83">
        <v>764</v>
      </c>
      <c r="FB45" s="55">
        <v>764</v>
      </c>
      <c r="FC45" s="55">
        <v>764</v>
      </c>
      <c r="FD45" s="55">
        <v>764</v>
      </c>
      <c r="FE45" s="55">
        <v>764</v>
      </c>
      <c r="FF45" s="55">
        <v>764</v>
      </c>
      <c r="FG45" s="55">
        <v>764</v>
      </c>
      <c r="FH45" s="55">
        <v>764</v>
      </c>
      <c r="FI45" s="55">
        <v>764</v>
      </c>
      <c r="FJ45" s="55">
        <v>764</v>
      </c>
      <c r="FK45" s="55">
        <v>764</v>
      </c>
      <c r="FL45" s="55">
        <v>764</v>
      </c>
      <c r="FM45" s="55">
        <v>764</v>
      </c>
      <c r="FN45" s="69">
        <v>764</v>
      </c>
      <c r="FO45" s="55">
        <v>764</v>
      </c>
      <c r="FP45" s="55">
        <v>764</v>
      </c>
      <c r="FQ45" s="55">
        <v>764</v>
      </c>
      <c r="FR45" s="55">
        <v>764</v>
      </c>
      <c r="FS45" s="55">
        <v>764</v>
      </c>
      <c r="FT45" s="55">
        <v>764</v>
      </c>
      <c r="FU45" s="55">
        <v>764</v>
      </c>
      <c r="FV45" s="55">
        <v>764</v>
      </c>
      <c r="FW45" s="55">
        <v>764</v>
      </c>
      <c r="FX45" s="55">
        <v>764</v>
      </c>
      <c r="FY45" s="55">
        <v>764</v>
      </c>
      <c r="FZ45" s="77">
        <v>764</v>
      </c>
      <c r="GA45" s="55">
        <v>764</v>
      </c>
      <c r="GB45" s="55">
        <v>764</v>
      </c>
      <c r="GC45" s="55">
        <v>764</v>
      </c>
      <c r="GD45" s="55">
        <v>764</v>
      </c>
      <c r="GE45" s="55">
        <v>764</v>
      </c>
      <c r="GF45" s="55">
        <v>764</v>
      </c>
      <c r="GG45" s="55">
        <v>764</v>
      </c>
      <c r="GH45" s="55">
        <v>764</v>
      </c>
      <c r="GI45" s="55">
        <v>764</v>
      </c>
      <c r="GJ45" s="55">
        <v>764</v>
      </c>
      <c r="GK45" s="55">
        <v>764</v>
      </c>
      <c r="GL45" s="77">
        <v>764</v>
      </c>
      <c r="GM45" s="55">
        <v>764</v>
      </c>
      <c r="GN45" s="55">
        <v>764</v>
      </c>
      <c r="GO45" s="55">
        <v>764</v>
      </c>
      <c r="GP45" s="55">
        <v>764</v>
      </c>
      <c r="GQ45" s="55">
        <v>764</v>
      </c>
    </row>
    <row r="46" spans="1:199" s="1" customFormat="1" ht="20.149999999999999" customHeight="1" x14ac:dyDescent="0.35">
      <c r="A46" s="31" t="s">
        <v>280</v>
      </c>
      <c r="B46" s="55">
        <v>263</v>
      </c>
      <c r="C46" s="55">
        <v>263</v>
      </c>
      <c r="D46" s="55">
        <v>271</v>
      </c>
      <c r="E46" s="55">
        <v>284</v>
      </c>
      <c r="F46" s="55">
        <v>286</v>
      </c>
      <c r="G46" s="55">
        <v>302</v>
      </c>
      <c r="H46" s="55">
        <v>305</v>
      </c>
      <c r="I46" s="55">
        <v>307</v>
      </c>
      <c r="J46" s="55">
        <v>308</v>
      </c>
      <c r="K46" s="55">
        <v>313</v>
      </c>
      <c r="L46" s="55">
        <v>332</v>
      </c>
      <c r="M46" s="56">
        <v>338</v>
      </c>
      <c r="N46" s="57">
        <v>338</v>
      </c>
      <c r="O46" s="55">
        <v>340</v>
      </c>
      <c r="P46" s="55">
        <v>351</v>
      </c>
      <c r="Q46" s="55">
        <v>354</v>
      </c>
      <c r="R46" s="55">
        <v>367</v>
      </c>
      <c r="S46" s="55">
        <v>375</v>
      </c>
      <c r="T46" s="55">
        <v>379</v>
      </c>
      <c r="U46" s="55">
        <v>388</v>
      </c>
      <c r="V46" s="55">
        <v>414</v>
      </c>
      <c r="W46" s="55">
        <v>439</v>
      </c>
      <c r="X46" s="55">
        <v>475</v>
      </c>
      <c r="Y46" s="56">
        <v>513</v>
      </c>
      <c r="Z46" s="55">
        <v>594</v>
      </c>
      <c r="AA46" s="55">
        <v>616</v>
      </c>
      <c r="AB46" s="55">
        <v>673</v>
      </c>
      <c r="AC46" s="55">
        <v>695</v>
      </c>
      <c r="AD46" s="55">
        <v>719</v>
      </c>
      <c r="AE46" s="55">
        <v>732</v>
      </c>
      <c r="AF46" s="55">
        <v>775</v>
      </c>
      <c r="AG46" s="55">
        <v>890</v>
      </c>
      <c r="AH46" s="55">
        <v>1039</v>
      </c>
      <c r="AI46" s="55">
        <v>1189</v>
      </c>
      <c r="AJ46" s="55">
        <v>1350</v>
      </c>
      <c r="AK46" s="56">
        <v>1475</v>
      </c>
      <c r="AL46" s="55">
        <v>1682</v>
      </c>
      <c r="AM46" s="55">
        <v>1867</v>
      </c>
      <c r="AN46" s="55">
        <v>2102</v>
      </c>
      <c r="AO46" s="55">
        <v>2258</v>
      </c>
      <c r="AP46" s="55">
        <v>2482</v>
      </c>
      <c r="AQ46" s="55">
        <v>2666</v>
      </c>
      <c r="AR46" s="55">
        <v>2961</v>
      </c>
      <c r="AS46" s="55">
        <v>3428</v>
      </c>
      <c r="AT46" s="55">
        <v>3929</v>
      </c>
      <c r="AU46" s="55">
        <v>4380</v>
      </c>
      <c r="AV46" s="55">
        <v>4882</v>
      </c>
      <c r="AW46" s="56">
        <v>5331</v>
      </c>
      <c r="AX46" s="55">
        <v>5802</v>
      </c>
      <c r="AY46" s="55">
        <v>7106</v>
      </c>
      <c r="AZ46" s="55">
        <v>7501</v>
      </c>
      <c r="BA46" s="55">
        <v>7890</v>
      </c>
      <c r="BB46" s="55">
        <v>8388</v>
      </c>
      <c r="BC46" s="55">
        <v>8916</v>
      </c>
      <c r="BD46" s="55">
        <v>9404</v>
      </c>
      <c r="BE46" s="55">
        <v>9923</v>
      </c>
      <c r="BF46" s="55">
        <v>10496</v>
      </c>
      <c r="BG46" s="55">
        <v>11049</v>
      </c>
      <c r="BH46" s="55">
        <v>11610</v>
      </c>
      <c r="BI46" s="56">
        <v>12034</v>
      </c>
      <c r="BJ46" s="55">
        <v>12443</v>
      </c>
      <c r="BK46" s="55">
        <v>12928</v>
      </c>
      <c r="BL46" s="55">
        <v>13459</v>
      </c>
      <c r="BM46" s="55">
        <v>13899</v>
      </c>
      <c r="BN46" s="55">
        <v>14382</v>
      </c>
      <c r="BO46" s="55">
        <v>14888</v>
      </c>
      <c r="BP46" s="55">
        <v>15382</v>
      </c>
      <c r="BQ46" s="55">
        <v>16195</v>
      </c>
      <c r="BR46" s="55">
        <v>17816</v>
      </c>
      <c r="BS46" s="55">
        <v>18149</v>
      </c>
      <c r="BT46" s="55">
        <v>18518</v>
      </c>
      <c r="BU46" s="56">
        <v>18871</v>
      </c>
      <c r="BV46" s="55">
        <v>19268</v>
      </c>
      <c r="BW46" s="55">
        <v>19651</v>
      </c>
      <c r="BX46" s="55">
        <v>20094</v>
      </c>
      <c r="BY46" s="55">
        <v>20462</v>
      </c>
      <c r="BZ46" s="55">
        <v>20713</v>
      </c>
      <c r="CA46" s="55">
        <v>21024</v>
      </c>
      <c r="CB46" s="55">
        <v>21305</v>
      </c>
      <c r="CC46" s="55">
        <v>21693</v>
      </c>
      <c r="CD46" s="55">
        <v>22846</v>
      </c>
      <c r="CE46" s="55">
        <v>22889</v>
      </c>
      <c r="CF46" s="55">
        <v>22959</v>
      </c>
      <c r="CG46" s="121">
        <v>23009</v>
      </c>
      <c r="CH46" s="77">
        <v>23011</v>
      </c>
      <c r="CI46" s="55">
        <v>23014</v>
      </c>
      <c r="CJ46" s="55">
        <v>23023</v>
      </c>
      <c r="CK46" s="55">
        <v>23023</v>
      </c>
      <c r="CL46" s="55">
        <v>23023</v>
      </c>
      <c r="CM46" s="55">
        <v>23023</v>
      </c>
      <c r="CN46" s="55">
        <v>23023</v>
      </c>
      <c r="CO46" s="55">
        <v>23023</v>
      </c>
      <c r="CP46" s="55">
        <v>23023</v>
      </c>
      <c r="CQ46" s="55">
        <v>23023</v>
      </c>
      <c r="CR46" s="55">
        <v>23023</v>
      </c>
      <c r="CS46" s="121">
        <v>23023</v>
      </c>
      <c r="CT46" s="77">
        <v>23023</v>
      </c>
      <c r="CU46" s="55">
        <v>23023</v>
      </c>
      <c r="CV46" s="55">
        <v>23026</v>
      </c>
      <c r="CW46" s="55">
        <v>23026</v>
      </c>
      <c r="CX46" s="55">
        <v>23026</v>
      </c>
      <c r="CY46" s="55">
        <v>23026</v>
      </c>
      <c r="CZ46" s="55">
        <v>23026</v>
      </c>
      <c r="DA46" s="55">
        <v>23026</v>
      </c>
      <c r="DB46" s="55">
        <v>23026</v>
      </c>
      <c r="DC46" s="55">
        <v>23026</v>
      </c>
      <c r="DD46" s="55">
        <v>23026</v>
      </c>
      <c r="DE46" s="121">
        <v>23026</v>
      </c>
      <c r="DF46" s="77">
        <v>23026</v>
      </c>
      <c r="DG46" s="55">
        <v>23026</v>
      </c>
      <c r="DH46" s="55">
        <v>23026</v>
      </c>
      <c r="DI46" s="55">
        <v>23026</v>
      </c>
      <c r="DJ46" s="55">
        <v>23026</v>
      </c>
      <c r="DK46" s="55">
        <v>23026</v>
      </c>
      <c r="DL46" s="55">
        <v>23026</v>
      </c>
      <c r="DM46" s="55">
        <v>23026</v>
      </c>
      <c r="DN46" s="55">
        <v>23026</v>
      </c>
      <c r="DO46" s="55">
        <v>23026</v>
      </c>
      <c r="DP46" s="55">
        <v>23026</v>
      </c>
      <c r="DQ46" s="121">
        <v>23026</v>
      </c>
      <c r="DR46" s="77">
        <v>23026</v>
      </c>
      <c r="DS46" s="55">
        <v>23026</v>
      </c>
      <c r="DT46" s="55">
        <v>23026</v>
      </c>
      <c r="DU46" s="55">
        <v>23026</v>
      </c>
      <c r="DV46" s="55">
        <v>23026</v>
      </c>
      <c r="DW46" s="55">
        <v>23026</v>
      </c>
      <c r="DX46" s="55">
        <v>23026</v>
      </c>
      <c r="DY46" s="55">
        <v>23026</v>
      </c>
      <c r="DZ46" s="55">
        <v>23026</v>
      </c>
      <c r="EA46" s="55">
        <v>23026</v>
      </c>
      <c r="EB46" s="55">
        <v>23026</v>
      </c>
      <c r="EC46" s="55">
        <v>23026</v>
      </c>
      <c r="ED46" s="77">
        <v>23026</v>
      </c>
      <c r="EE46" s="55">
        <v>23026</v>
      </c>
      <c r="EF46" s="55">
        <v>23026</v>
      </c>
      <c r="EG46" s="55">
        <v>23026</v>
      </c>
      <c r="EH46" s="55">
        <v>23026</v>
      </c>
      <c r="EI46" s="55">
        <v>23026</v>
      </c>
      <c r="EJ46" s="55">
        <v>23026</v>
      </c>
      <c r="EK46" s="55">
        <v>23026</v>
      </c>
      <c r="EL46" s="55">
        <v>23026</v>
      </c>
      <c r="EM46" s="55">
        <v>23026</v>
      </c>
      <c r="EN46" s="55">
        <v>23026</v>
      </c>
      <c r="EO46" s="55">
        <v>23026</v>
      </c>
      <c r="EP46" s="77">
        <v>23026</v>
      </c>
      <c r="EQ46" s="55">
        <v>23026</v>
      </c>
      <c r="ER46" s="55">
        <v>23026</v>
      </c>
      <c r="ES46" s="55">
        <v>23026</v>
      </c>
      <c r="ET46" s="55">
        <v>23026</v>
      </c>
      <c r="EU46" s="55">
        <v>23026</v>
      </c>
      <c r="EV46" s="55">
        <v>23026</v>
      </c>
      <c r="EW46" s="55">
        <v>23026</v>
      </c>
      <c r="EX46" s="55">
        <v>23026</v>
      </c>
      <c r="EY46" s="55">
        <v>23026</v>
      </c>
      <c r="EZ46" s="55">
        <v>23026</v>
      </c>
      <c r="FA46" s="83">
        <v>23026</v>
      </c>
      <c r="FB46" s="55">
        <v>23026</v>
      </c>
      <c r="FC46" s="55">
        <v>23026</v>
      </c>
      <c r="FD46" s="55">
        <v>23026</v>
      </c>
      <c r="FE46" s="55">
        <v>23026</v>
      </c>
      <c r="FF46" s="55">
        <v>23026</v>
      </c>
      <c r="FG46" s="55">
        <v>23026</v>
      </c>
      <c r="FH46" s="55">
        <v>23026</v>
      </c>
      <c r="FI46" s="55">
        <v>23026</v>
      </c>
      <c r="FJ46" s="55">
        <v>23026</v>
      </c>
      <c r="FK46" s="55">
        <v>23026</v>
      </c>
      <c r="FL46" s="55">
        <v>23026</v>
      </c>
      <c r="FM46" s="55">
        <v>23026</v>
      </c>
      <c r="FN46" s="69">
        <v>23029</v>
      </c>
      <c r="FO46" s="55">
        <v>23029</v>
      </c>
      <c r="FP46" s="55">
        <v>23032</v>
      </c>
      <c r="FQ46" s="55">
        <v>23032</v>
      </c>
      <c r="FR46" s="55">
        <v>23035</v>
      </c>
      <c r="FS46" s="55">
        <v>23036</v>
      </c>
      <c r="FT46" s="55">
        <v>23036</v>
      </c>
      <c r="FU46" s="55">
        <v>23037</v>
      </c>
      <c r="FV46" s="55">
        <v>23037</v>
      </c>
      <c r="FW46" s="55">
        <v>23039</v>
      </c>
      <c r="FX46" s="55">
        <v>23039</v>
      </c>
      <c r="FY46" s="55">
        <v>23039</v>
      </c>
      <c r="FZ46" s="77">
        <v>23039</v>
      </c>
      <c r="GA46" s="55">
        <v>23039</v>
      </c>
      <c r="GB46" s="55">
        <v>23039</v>
      </c>
      <c r="GC46" s="55">
        <v>23039</v>
      </c>
      <c r="GD46" s="55">
        <v>23039</v>
      </c>
      <c r="GE46" s="55">
        <v>23039</v>
      </c>
      <c r="GF46" s="55">
        <v>23039</v>
      </c>
      <c r="GG46" s="55">
        <v>23039</v>
      </c>
      <c r="GH46" s="55">
        <v>23039</v>
      </c>
      <c r="GI46" s="55">
        <v>23039</v>
      </c>
      <c r="GJ46" s="55">
        <v>23039</v>
      </c>
      <c r="GK46" s="55">
        <v>23039</v>
      </c>
      <c r="GL46" s="77">
        <v>23039</v>
      </c>
      <c r="GM46" s="55">
        <v>23039</v>
      </c>
      <c r="GN46" s="55">
        <v>23039</v>
      </c>
      <c r="GO46" s="55">
        <v>23039</v>
      </c>
      <c r="GP46" s="55">
        <v>23039</v>
      </c>
      <c r="GQ46" s="55">
        <v>23039</v>
      </c>
    </row>
    <row r="47" spans="1:199" s="25" customFormat="1" ht="20.149999999999999" customHeight="1" x14ac:dyDescent="0.35">
      <c r="A47" s="31" t="s">
        <v>281</v>
      </c>
      <c r="B47" s="55">
        <v>0</v>
      </c>
      <c r="C47" s="55">
        <v>0</v>
      </c>
      <c r="D47" s="55">
        <v>0</v>
      </c>
      <c r="E47" s="55">
        <v>0</v>
      </c>
      <c r="F47" s="55">
        <v>0</v>
      </c>
      <c r="G47" s="55">
        <v>0</v>
      </c>
      <c r="H47" s="55">
        <v>0</v>
      </c>
      <c r="I47" s="55">
        <v>0</v>
      </c>
      <c r="J47" s="55">
        <v>0</v>
      </c>
      <c r="K47" s="55">
        <v>0</v>
      </c>
      <c r="L47" s="55">
        <v>0</v>
      </c>
      <c r="M47" s="56">
        <v>0</v>
      </c>
      <c r="N47" s="57">
        <v>0</v>
      </c>
      <c r="O47" s="55">
        <v>0</v>
      </c>
      <c r="P47" s="55">
        <v>0</v>
      </c>
      <c r="Q47" s="55">
        <v>0</v>
      </c>
      <c r="R47" s="55">
        <v>0</v>
      </c>
      <c r="S47" s="55">
        <v>0</v>
      </c>
      <c r="T47" s="55">
        <v>0</v>
      </c>
      <c r="U47" s="55">
        <v>0</v>
      </c>
      <c r="V47" s="55">
        <v>0</v>
      </c>
      <c r="W47" s="55">
        <v>0</v>
      </c>
      <c r="X47" s="55">
        <v>0</v>
      </c>
      <c r="Y47" s="56">
        <v>0</v>
      </c>
      <c r="Z47" s="55">
        <v>0</v>
      </c>
      <c r="AA47" s="55">
        <v>0</v>
      </c>
      <c r="AB47" s="55">
        <v>0</v>
      </c>
      <c r="AC47" s="55">
        <v>0</v>
      </c>
      <c r="AD47" s="55">
        <v>0</v>
      </c>
      <c r="AE47" s="55">
        <v>0</v>
      </c>
      <c r="AF47" s="55">
        <v>0</v>
      </c>
      <c r="AG47" s="55">
        <v>0</v>
      </c>
      <c r="AH47" s="55">
        <v>0</v>
      </c>
      <c r="AI47" s="55">
        <v>0</v>
      </c>
      <c r="AJ47" s="55">
        <v>0</v>
      </c>
      <c r="AK47" s="56">
        <v>0</v>
      </c>
      <c r="AL47" s="55">
        <v>0</v>
      </c>
      <c r="AM47" s="55">
        <v>0</v>
      </c>
      <c r="AN47" s="55">
        <v>0</v>
      </c>
      <c r="AO47" s="55">
        <v>0</v>
      </c>
      <c r="AP47" s="55">
        <v>0</v>
      </c>
      <c r="AQ47" s="55">
        <v>0</v>
      </c>
      <c r="AR47" s="55">
        <v>0</v>
      </c>
      <c r="AS47" s="55">
        <v>0</v>
      </c>
      <c r="AT47" s="55">
        <v>0</v>
      </c>
      <c r="AU47" s="55">
        <v>0</v>
      </c>
      <c r="AV47" s="55">
        <v>0</v>
      </c>
      <c r="AW47" s="56">
        <v>0</v>
      </c>
      <c r="AX47" s="55">
        <v>0</v>
      </c>
      <c r="AY47" s="55">
        <v>0</v>
      </c>
      <c r="AZ47" s="55">
        <v>0</v>
      </c>
      <c r="BA47" s="55">
        <v>0</v>
      </c>
      <c r="BB47" s="55">
        <v>0</v>
      </c>
      <c r="BC47" s="55">
        <v>0</v>
      </c>
      <c r="BD47" s="55">
        <v>0</v>
      </c>
      <c r="BE47" s="55">
        <v>0</v>
      </c>
      <c r="BF47" s="55">
        <v>0</v>
      </c>
      <c r="BG47" s="55">
        <v>0</v>
      </c>
      <c r="BH47" s="55">
        <v>0</v>
      </c>
      <c r="BI47" s="56">
        <v>0</v>
      </c>
      <c r="BJ47" s="55">
        <v>0</v>
      </c>
      <c r="BK47" s="55">
        <v>0</v>
      </c>
      <c r="BL47" s="55">
        <v>0</v>
      </c>
      <c r="BM47" s="55">
        <v>0</v>
      </c>
      <c r="BN47" s="55">
        <v>0</v>
      </c>
      <c r="BO47" s="55">
        <v>0</v>
      </c>
      <c r="BP47" s="55">
        <v>0</v>
      </c>
      <c r="BQ47" s="55">
        <v>0</v>
      </c>
      <c r="BR47" s="55">
        <v>0</v>
      </c>
      <c r="BS47" s="55">
        <v>0</v>
      </c>
      <c r="BT47" s="55">
        <v>0</v>
      </c>
      <c r="BU47" s="56">
        <v>0</v>
      </c>
      <c r="BV47" s="55">
        <v>0</v>
      </c>
      <c r="BW47" s="55">
        <v>0</v>
      </c>
      <c r="BX47" s="55">
        <v>0</v>
      </c>
      <c r="BY47" s="55">
        <v>0</v>
      </c>
      <c r="BZ47" s="55">
        <v>0</v>
      </c>
      <c r="CA47" s="55">
        <v>1</v>
      </c>
      <c r="CB47" s="55">
        <v>1</v>
      </c>
      <c r="CC47" s="55">
        <v>1</v>
      </c>
      <c r="CD47" s="55">
        <v>1</v>
      </c>
      <c r="CE47" s="55">
        <v>1</v>
      </c>
      <c r="CF47" s="55">
        <v>1</v>
      </c>
      <c r="CG47" s="121">
        <v>1</v>
      </c>
      <c r="CH47" s="77">
        <v>1</v>
      </c>
      <c r="CI47" s="55">
        <v>1</v>
      </c>
      <c r="CJ47" s="55">
        <v>1</v>
      </c>
      <c r="CK47" s="55">
        <v>1</v>
      </c>
      <c r="CL47" s="55">
        <v>1</v>
      </c>
      <c r="CM47" s="55">
        <v>1</v>
      </c>
      <c r="CN47" s="55">
        <v>2</v>
      </c>
      <c r="CO47" s="55">
        <v>2</v>
      </c>
      <c r="CP47" s="55">
        <v>2</v>
      </c>
      <c r="CQ47" s="55">
        <v>2</v>
      </c>
      <c r="CR47" s="55">
        <v>2</v>
      </c>
      <c r="CS47" s="121">
        <v>2</v>
      </c>
      <c r="CT47" s="77">
        <v>2</v>
      </c>
      <c r="CU47" s="55">
        <v>2</v>
      </c>
      <c r="CV47" s="55">
        <v>2</v>
      </c>
      <c r="CW47" s="55">
        <v>2</v>
      </c>
      <c r="CX47" s="55">
        <v>2</v>
      </c>
      <c r="CY47" s="55">
        <v>2</v>
      </c>
      <c r="CZ47" s="55">
        <v>2</v>
      </c>
      <c r="DA47" s="55">
        <v>2</v>
      </c>
      <c r="DB47" s="55">
        <v>2</v>
      </c>
      <c r="DC47" s="55">
        <v>2</v>
      </c>
      <c r="DD47" s="55">
        <v>2</v>
      </c>
      <c r="DE47" s="121">
        <v>2</v>
      </c>
      <c r="DF47" s="77">
        <v>2</v>
      </c>
      <c r="DG47" s="55">
        <v>2</v>
      </c>
      <c r="DH47" s="55">
        <v>2</v>
      </c>
      <c r="DI47" s="55">
        <v>2</v>
      </c>
      <c r="DJ47" s="55">
        <v>2</v>
      </c>
      <c r="DK47" s="55">
        <v>2</v>
      </c>
      <c r="DL47" s="55">
        <v>2</v>
      </c>
      <c r="DM47" s="55">
        <v>2</v>
      </c>
      <c r="DN47" s="55">
        <v>2</v>
      </c>
      <c r="DO47" s="55">
        <v>2</v>
      </c>
      <c r="DP47" s="55">
        <v>2</v>
      </c>
      <c r="DQ47" s="121">
        <v>2</v>
      </c>
      <c r="DR47" s="77">
        <v>2</v>
      </c>
      <c r="DS47" s="55">
        <v>2</v>
      </c>
      <c r="DT47" s="55">
        <v>2</v>
      </c>
      <c r="DU47" s="55">
        <v>2</v>
      </c>
      <c r="DV47" s="55">
        <v>2</v>
      </c>
      <c r="DW47" s="55">
        <v>2</v>
      </c>
      <c r="DX47" s="55">
        <v>2</v>
      </c>
      <c r="DY47" s="55">
        <v>2</v>
      </c>
      <c r="DZ47" s="55">
        <v>2</v>
      </c>
      <c r="EA47" s="55">
        <v>2</v>
      </c>
      <c r="EB47" s="55">
        <v>2</v>
      </c>
      <c r="EC47" s="55">
        <v>2</v>
      </c>
      <c r="ED47" s="77">
        <v>2</v>
      </c>
      <c r="EE47" s="55">
        <v>2</v>
      </c>
      <c r="EF47" s="55">
        <v>2</v>
      </c>
      <c r="EG47" s="55">
        <v>2</v>
      </c>
      <c r="EH47" s="55">
        <v>2</v>
      </c>
      <c r="EI47" s="55">
        <v>2</v>
      </c>
      <c r="EJ47" s="55">
        <v>2</v>
      </c>
      <c r="EK47" s="55">
        <v>2</v>
      </c>
      <c r="EL47" s="55">
        <v>2</v>
      </c>
      <c r="EM47" s="55">
        <v>2</v>
      </c>
      <c r="EN47" s="55">
        <v>2</v>
      </c>
      <c r="EO47" s="55">
        <v>2</v>
      </c>
      <c r="EP47" s="77">
        <v>2</v>
      </c>
      <c r="EQ47" s="55">
        <v>2</v>
      </c>
      <c r="ER47" s="55">
        <v>2</v>
      </c>
      <c r="ES47" s="55">
        <v>2</v>
      </c>
      <c r="ET47" s="55">
        <v>2</v>
      </c>
      <c r="EU47" s="55">
        <v>2</v>
      </c>
      <c r="EV47" s="55">
        <v>2</v>
      </c>
      <c r="EW47" s="55">
        <v>2</v>
      </c>
      <c r="EX47" s="55">
        <v>2</v>
      </c>
      <c r="EY47" s="55">
        <v>2</v>
      </c>
      <c r="EZ47" s="55">
        <v>2</v>
      </c>
      <c r="FA47" s="83">
        <v>2</v>
      </c>
      <c r="FB47" s="55">
        <v>2</v>
      </c>
      <c r="FC47" s="55">
        <v>2</v>
      </c>
      <c r="FD47" s="55">
        <v>2</v>
      </c>
      <c r="FE47" s="55">
        <v>2</v>
      </c>
      <c r="FF47" s="55">
        <v>2</v>
      </c>
      <c r="FG47" s="55">
        <v>2</v>
      </c>
      <c r="FH47" s="55">
        <v>2</v>
      </c>
      <c r="FI47" s="55">
        <v>2</v>
      </c>
      <c r="FJ47" s="55">
        <v>2</v>
      </c>
      <c r="FK47" s="55">
        <v>2</v>
      </c>
      <c r="FL47" s="55">
        <v>2</v>
      </c>
      <c r="FM47" s="55">
        <v>2</v>
      </c>
      <c r="FN47" s="69">
        <v>2</v>
      </c>
      <c r="FO47" s="55">
        <v>2</v>
      </c>
      <c r="FP47" s="55">
        <v>2</v>
      </c>
      <c r="FQ47" s="55">
        <v>2</v>
      </c>
      <c r="FR47" s="55">
        <v>2</v>
      </c>
      <c r="FS47" s="55">
        <v>2</v>
      </c>
      <c r="FT47" s="55">
        <v>2</v>
      </c>
      <c r="FU47" s="55">
        <v>2</v>
      </c>
      <c r="FV47" s="55">
        <v>2</v>
      </c>
      <c r="FW47" s="55">
        <v>2</v>
      </c>
      <c r="FX47" s="55">
        <v>2</v>
      </c>
      <c r="FY47" s="55">
        <v>2</v>
      </c>
      <c r="FZ47" s="77">
        <v>5</v>
      </c>
      <c r="GA47" s="55">
        <v>5</v>
      </c>
      <c r="GB47" s="55">
        <v>6</v>
      </c>
      <c r="GC47" s="55">
        <v>7</v>
      </c>
      <c r="GD47" s="55">
        <v>9</v>
      </c>
      <c r="GE47" s="55">
        <v>10</v>
      </c>
      <c r="GF47" s="55">
        <v>15</v>
      </c>
      <c r="GG47" s="55">
        <v>17</v>
      </c>
      <c r="GH47" s="55">
        <v>17</v>
      </c>
      <c r="GI47" s="55">
        <v>18</v>
      </c>
      <c r="GJ47" s="55">
        <v>19</v>
      </c>
      <c r="GK47" s="55">
        <v>21</v>
      </c>
      <c r="GL47" s="77">
        <v>23</v>
      </c>
      <c r="GM47" s="55">
        <v>23</v>
      </c>
      <c r="GN47" s="55">
        <v>25</v>
      </c>
      <c r="GO47" s="55">
        <v>30</v>
      </c>
      <c r="GP47" s="55">
        <v>30</v>
      </c>
      <c r="GQ47" s="55">
        <v>35</v>
      </c>
    </row>
    <row r="48" spans="1:199" ht="20.149999999999999" customHeight="1" x14ac:dyDescent="0.35">
      <c r="A48" s="33" t="s">
        <v>284</v>
      </c>
      <c r="B48" s="58">
        <v>314</v>
      </c>
      <c r="C48" s="58">
        <v>484</v>
      </c>
      <c r="D48" s="58">
        <v>724</v>
      </c>
      <c r="E48" s="58">
        <v>863</v>
      </c>
      <c r="F48" s="58">
        <v>1048</v>
      </c>
      <c r="G48" s="58">
        <v>1263</v>
      </c>
      <c r="H48" s="58">
        <v>1570</v>
      </c>
      <c r="I48" s="58">
        <v>1787</v>
      </c>
      <c r="J48" s="58">
        <v>2054</v>
      </c>
      <c r="K48" s="58">
        <v>2421</v>
      </c>
      <c r="L48" s="58">
        <v>2829</v>
      </c>
      <c r="M48" s="59">
        <v>3200</v>
      </c>
      <c r="N48" s="60">
        <v>3686</v>
      </c>
      <c r="O48" s="58">
        <v>4192</v>
      </c>
      <c r="P48" s="58">
        <v>5010</v>
      </c>
      <c r="Q48" s="58">
        <v>5469</v>
      </c>
      <c r="R48" s="58">
        <v>5879</v>
      </c>
      <c r="S48" s="58">
        <v>6350</v>
      </c>
      <c r="T48" s="58">
        <v>6843</v>
      </c>
      <c r="U48" s="58">
        <v>7537</v>
      </c>
      <c r="V48" s="58">
        <v>8373</v>
      </c>
      <c r="W48" s="58">
        <v>9386</v>
      </c>
      <c r="X48" s="58">
        <v>11573</v>
      </c>
      <c r="Y48" s="59">
        <v>14228</v>
      </c>
      <c r="Z48" s="58">
        <v>14818</v>
      </c>
      <c r="AA48" s="58">
        <v>16780</v>
      </c>
      <c r="AB48" s="58">
        <v>18566</v>
      </c>
      <c r="AC48" s="58">
        <v>19257</v>
      </c>
      <c r="AD48" s="58">
        <v>20075</v>
      </c>
      <c r="AE48" s="58">
        <v>20980</v>
      </c>
      <c r="AF48" s="58">
        <v>22589</v>
      </c>
      <c r="AG48" s="58">
        <v>23130</v>
      </c>
      <c r="AH48" s="58">
        <v>23767</v>
      </c>
      <c r="AI48" s="58">
        <v>24531</v>
      </c>
      <c r="AJ48" s="58">
        <v>25240</v>
      </c>
      <c r="AK48" s="59">
        <v>25861</v>
      </c>
      <c r="AL48" s="58">
        <v>26515</v>
      </c>
      <c r="AM48" s="58">
        <v>27105</v>
      </c>
      <c r="AN48" s="58">
        <v>27963</v>
      </c>
      <c r="AO48" s="58">
        <v>28739</v>
      </c>
      <c r="AP48" s="58">
        <v>29351</v>
      </c>
      <c r="AQ48" s="58">
        <v>30129</v>
      </c>
      <c r="AR48" s="58">
        <v>30813</v>
      </c>
      <c r="AS48" s="58">
        <v>31419</v>
      </c>
      <c r="AT48" s="58">
        <v>32133</v>
      </c>
      <c r="AU48" s="58">
        <v>32975</v>
      </c>
      <c r="AV48" s="58">
        <v>33988</v>
      </c>
      <c r="AW48" s="59">
        <v>34732</v>
      </c>
      <c r="AX48" s="58">
        <v>35390</v>
      </c>
      <c r="AY48" s="58">
        <v>36143</v>
      </c>
      <c r="AZ48" s="58">
        <v>37241</v>
      </c>
      <c r="BA48" s="58">
        <v>38055</v>
      </c>
      <c r="BB48" s="58">
        <v>38920</v>
      </c>
      <c r="BC48" s="58">
        <v>39998</v>
      </c>
      <c r="BD48" s="58">
        <v>41055</v>
      </c>
      <c r="BE48" s="58">
        <v>41986</v>
      </c>
      <c r="BF48" s="58">
        <v>43277</v>
      </c>
      <c r="BG48" s="58">
        <v>44663</v>
      </c>
      <c r="BH48" s="58">
        <v>45776</v>
      </c>
      <c r="BI48" s="59">
        <v>46883</v>
      </c>
      <c r="BJ48" s="58">
        <v>48031</v>
      </c>
      <c r="BK48" s="58">
        <v>49357</v>
      </c>
      <c r="BL48" s="58">
        <v>51102</v>
      </c>
      <c r="BM48" s="58">
        <v>52377</v>
      </c>
      <c r="BN48" s="58">
        <v>53768</v>
      </c>
      <c r="BO48" s="58">
        <v>55459</v>
      </c>
      <c r="BP48" s="58">
        <v>57033</v>
      </c>
      <c r="BQ48" s="58">
        <v>58433</v>
      </c>
      <c r="BR48" s="58">
        <v>60333</v>
      </c>
      <c r="BS48" s="58">
        <v>62116</v>
      </c>
      <c r="BT48" s="58">
        <v>64203</v>
      </c>
      <c r="BU48" s="59">
        <v>66217</v>
      </c>
      <c r="BV48" s="58">
        <v>68317</v>
      </c>
      <c r="BW48" s="58">
        <v>69376</v>
      </c>
      <c r="BX48" s="58">
        <v>70579</v>
      </c>
      <c r="BY48" s="58">
        <v>71748</v>
      </c>
      <c r="BZ48" s="58">
        <v>72869</v>
      </c>
      <c r="CA48" s="58">
        <v>74198</v>
      </c>
      <c r="CB48" s="58">
        <v>75337</v>
      </c>
      <c r="CC48" s="58">
        <v>76322</v>
      </c>
      <c r="CD48" s="58">
        <v>77747</v>
      </c>
      <c r="CE48" s="58">
        <v>78839</v>
      </c>
      <c r="CF48" s="58">
        <v>80276</v>
      </c>
      <c r="CG48" s="58">
        <v>81177</v>
      </c>
      <c r="CH48" s="77">
        <v>82334</v>
      </c>
      <c r="CI48" s="55">
        <v>83577</v>
      </c>
      <c r="CJ48" s="55">
        <v>85277</v>
      </c>
      <c r="CK48" s="55">
        <v>86162</v>
      </c>
      <c r="CL48" s="55">
        <v>87487</v>
      </c>
      <c r="CM48" s="55">
        <v>88829</v>
      </c>
      <c r="CN48" s="55">
        <v>89961</v>
      </c>
      <c r="CO48" s="55">
        <v>91156</v>
      </c>
      <c r="CP48" s="55">
        <v>92525</v>
      </c>
      <c r="CQ48" s="55">
        <v>93888</v>
      </c>
      <c r="CR48" s="55">
        <v>95563</v>
      </c>
      <c r="CS48" s="121">
        <v>96501</v>
      </c>
      <c r="CT48" s="77">
        <v>97724</v>
      </c>
      <c r="CU48" s="55">
        <v>98962</v>
      </c>
      <c r="CV48" s="55">
        <v>100385</v>
      </c>
      <c r="CW48" s="55">
        <v>101677</v>
      </c>
      <c r="CX48" s="55">
        <v>103101</v>
      </c>
      <c r="CY48" s="55">
        <v>104478</v>
      </c>
      <c r="CZ48" s="55">
        <v>105837</v>
      </c>
      <c r="DA48" s="55">
        <v>107386</v>
      </c>
      <c r="DB48" s="55">
        <v>108777</v>
      </c>
      <c r="DC48" s="55">
        <v>110564</v>
      </c>
      <c r="DD48" s="58">
        <v>112436</v>
      </c>
      <c r="DE48" s="58">
        <v>113781</v>
      </c>
      <c r="DF48" s="77">
        <v>115206</v>
      </c>
      <c r="DG48" s="55">
        <v>116901</v>
      </c>
      <c r="DH48" s="58">
        <v>121869</v>
      </c>
      <c r="DI48" s="55">
        <v>123973</v>
      </c>
      <c r="DJ48" s="55">
        <v>126628</v>
      </c>
      <c r="DK48" s="55">
        <v>129526</v>
      </c>
      <c r="DL48" s="58">
        <v>132464</v>
      </c>
      <c r="DM48" s="55">
        <v>135554</v>
      </c>
      <c r="DN48" s="55">
        <v>138950</v>
      </c>
      <c r="DO48" s="55">
        <v>142519</v>
      </c>
      <c r="DP48" s="55">
        <v>146168</v>
      </c>
      <c r="DQ48" s="58">
        <v>148659</v>
      </c>
      <c r="DR48" s="77">
        <v>151815</v>
      </c>
      <c r="DS48" s="55">
        <v>154853</v>
      </c>
      <c r="DT48" s="55">
        <v>158038</v>
      </c>
      <c r="DU48" s="55">
        <v>158711</v>
      </c>
      <c r="DV48" s="55">
        <v>159795</v>
      </c>
      <c r="DW48" s="55">
        <v>162214</v>
      </c>
      <c r="DX48" s="55">
        <v>165517</v>
      </c>
      <c r="DY48" s="55">
        <v>168787</v>
      </c>
      <c r="DZ48" s="55">
        <v>172921</v>
      </c>
      <c r="EA48" s="55">
        <v>176924</v>
      </c>
      <c r="EB48" s="55">
        <v>181277</v>
      </c>
      <c r="EC48" s="55">
        <v>184431</v>
      </c>
      <c r="ED48" s="77">
        <v>188115</v>
      </c>
      <c r="EE48" s="55">
        <v>191700</v>
      </c>
      <c r="EF48" s="55">
        <v>196695</v>
      </c>
      <c r="EG48" s="55">
        <v>201699</v>
      </c>
      <c r="EH48" s="55">
        <v>206773</v>
      </c>
      <c r="EI48" s="55">
        <v>212036</v>
      </c>
      <c r="EJ48" s="55">
        <v>216947</v>
      </c>
      <c r="EK48" s="55">
        <v>222056</v>
      </c>
      <c r="EL48" s="55">
        <v>228033</v>
      </c>
      <c r="EM48" s="55">
        <v>233656</v>
      </c>
      <c r="EN48" s="55">
        <v>240800</v>
      </c>
      <c r="EO48" s="55">
        <v>245987</v>
      </c>
      <c r="EP48" s="77">
        <v>252155</v>
      </c>
      <c r="EQ48" s="55">
        <v>259740</v>
      </c>
      <c r="ER48" s="55">
        <v>269907</v>
      </c>
      <c r="ES48" s="55">
        <v>279809</v>
      </c>
      <c r="ET48" s="55">
        <v>291095</v>
      </c>
      <c r="EU48" s="55">
        <v>302686</v>
      </c>
      <c r="EV48" s="55">
        <v>314023</v>
      </c>
      <c r="EW48" s="55">
        <v>326569</v>
      </c>
      <c r="EX48" s="55">
        <v>341273</v>
      </c>
      <c r="EY48" s="55">
        <v>355730</v>
      </c>
      <c r="EZ48" s="55">
        <v>372264</v>
      </c>
      <c r="FA48" s="83">
        <v>384768</v>
      </c>
      <c r="FB48" s="55">
        <v>401489</v>
      </c>
      <c r="FC48" s="55">
        <v>419382</v>
      </c>
      <c r="FD48" s="55">
        <v>439733</v>
      </c>
      <c r="FE48" s="55">
        <v>455960</v>
      </c>
      <c r="FF48" s="55">
        <v>474298</v>
      </c>
      <c r="FG48" s="55">
        <v>493085</v>
      </c>
      <c r="FH48" s="55">
        <v>509136</v>
      </c>
      <c r="FI48" s="55">
        <v>525413</v>
      </c>
      <c r="FJ48" s="55">
        <v>541394</v>
      </c>
      <c r="FK48" s="55">
        <v>557202</v>
      </c>
      <c r="FL48" s="55">
        <v>573449</v>
      </c>
      <c r="FM48" s="55">
        <v>583786</v>
      </c>
      <c r="FN48" s="69">
        <v>597166</v>
      </c>
      <c r="FO48" s="55">
        <v>611314</v>
      </c>
      <c r="FP48" s="55">
        <v>626515</v>
      </c>
      <c r="FQ48" s="55">
        <v>642154</v>
      </c>
      <c r="FR48" s="55">
        <v>658514</v>
      </c>
      <c r="FS48" s="55">
        <v>674460</v>
      </c>
      <c r="FT48" s="55">
        <v>691065</v>
      </c>
      <c r="FU48" s="55">
        <v>706818</v>
      </c>
      <c r="FV48" s="55">
        <v>724114</v>
      </c>
      <c r="FW48" s="55">
        <v>744332</v>
      </c>
      <c r="FX48" s="55">
        <v>765647</v>
      </c>
      <c r="FY48" s="55">
        <v>779885</v>
      </c>
      <c r="FZ48" s="77">
        <v>797640</v>
      </c>
      <c r="GA48" s="55">
        <v>818257</v>
      </c>
      <c r="GB48" s="55">
        <v>843143</v>
      </c>
      <c r="GC48" s="55">
        <v>863806</v>
      </c>
      <c r="GD48" s="55">
        <v>887379</v>
      </c>
      <c r="GE48" s="55">
        <v>911393</v>
      </c>
      <c r="GF48" s="55">
        <v>934614</v>
      </c>
      <c r="GG48" s="55">
        <v>955348</v>
      </c>
      <c r="GH48" s="55">
        <v>979603</v>
      </c>
      <c r="GI48" s="55">
        <v>1006198</v>
      </c>
      <c r="GJ48" s="55">
        <v>1030509</v>
      </c>
      <c r="GK48" s="55">
        <v>1049192</v>
      </c>
      <c r="GL48" s="77">
        <v>1069140</v>
      </c>
      <c r="GM48" s="55">
        <v>1092470</v>
      </c>
      <c r="GN48" s="55">
        <v>1121250</v>
      </c>
      <c r="GO48" s="55">
        <v>1145028</v>
      </c>
      <c r="GP48" s="55">
        <v>1164328</v>
      </c>
      <c r="GQ48" s="55">
        <v>1191714</v>
      </c>
    </row>
    <row r="49" spans="1:199" ht="20.149999999999999" customHeight="1" thickBot="1" x14ac:dyDescent="0.4">
      <c r="A49" s="34" t="s">
        <v>267</v>
      </c>
      <c r="B49" s="148">
        <f>SUM(B43:B48)</f>
        <v>5092</v>
      </c>
      <c r="C49" s="149">
        <f t="shared" ref="C49:BN49" si="384">SUM(C43:C48)</f>
        <v>5683</v>
      </c>
      <c r="D49" s="149">
        <f t="shared" si="384"/>
        <v>6718</v>
      </c>
      <c r="E49" s="149">
        <f t="shared" si="384"/>
        <v>7778</v>
      </c>
      <c r="F49" s="149">
        <f t="shared" si="384"/>
        <v>9307</v>
      </c>
      <c r="G49" s="149">
        <f t="shared" si="384"/>
        <v>11240</v>
      </c>
      <c r="H49" s="149">
        <f t="shared" si="384"/>
        <v>13566</v>
      </c>
      <c r="I49" s="149">
        <f t="shared" si="384"/>
        <v>15859</v>
      </c>
      <c r="J49" s="149">
        <f t="shared" si="384"/>
        <v>18726</v>
      </c>
      <c r="K49" s="149">
        <f t="shared" si="384"/>
        <v>22198</v>
      </c>
      <c r="L49" s="149">
        <f t="shared" si="384"/>
        <v>26183</v>
      </c>
      <c r="M49" s="149">
        <f t="shared" si="384"/>
        <v>29237</v>
      </c>
      <c r="N49" s="148">
        <f t="shared" si="384"/>
        <v>33398</v>
      </c>
      <c r="O49" s="149">
        <f t="shared" si="384"/>
        <v>38086</v>
      </c>
      <c r="P49" s="149">
        <f t="shared" si="384"/>
        <v>45196</v>
      </c>
      <c r="Q49" s="149">
        <f t="shared" si="384"/>
        <v>51615</v>
      </c>
      <c r="R49" s="149">
        <f t="shared" si="384"/>
        <v>58992</v>
      </c>
      <c r="S49" s="149">
        <f t="shared" si="384"/>
        <v>68565</v>
      </c>
      <c r="T49" s="149">
        <f t="shared" si="384"/>
        <v>79892</v>
      </c>
      <c r="U49" s="149">
        <f t="shared" si="384"/>
        <v>94145</v>
      </c>
      <c r="V49" s="149">
        <f t="shared" si="384"/>
        <v>111675</v>
      </c>
      <c r="W49" s="149">
        <f t="shared" si="384"/>
        <v>132175</v>
      </c>
      <c r="X49" s="149">
        <f t="shared" si="384"/>
        <v>189424</v>
      </c>
      <c r="Y49" s="150">
        <f t="shared" si="384"/>
        <v>235881</v>
      </c>
      <c r="Z49" s="149">
        <f t="shared" si="384"/>
        <v>244405</v>
      </c>
      <c r="AA49" s="149">
        <f t="shared" si="384"/>
        <v>288511</v>
      </c>
      <c r="AB49" s="149">
        <f t="shared" si="384"/>
        <v>315613</v>
      </c>
      <c r="AC49" s="149">
        <f t="shared" si="384"/>
        <v>321141</v>
      </c>
      <c r="AD49" s="149">
        <f t="shared" si="384"/>
        <v>331657</v>
      </c>
      <c r="AE49" s="149">
        <f t="shared" si="384"/>
        <v>344942</v>
      </c>
      <c r="AF49" s="149">
        <f t="shared" si="384"/>
        <v>371724</v>
      </c>
      <c r="AG49" s="149">
        <f t="shared" si="384"/>
        <v>375756</v>
      </c>
      <c r="AH49" s="149">
        <f t="shared" si="384"/>
        <v>381147</v>
      </c>
      <c r="AI49" s="149">
        <f t="shared" si="384"/>
        <v>392049</v>
      </c>
      <c r="AJ49" s="149">
        <f t="shared" si="384"/>
        <v>398017</v>
      </c>
      <c r="AK49" s="150">
        <f t="shared" si="384"/>
        <v>404218</v>
      </c>
      <c r="AL49" s="149">
        <f t="shared" si="384"/>
        <v>410888</v>
      </c>
      <c r="AM49" s="149">
        <f t="shared" si="384"/>
        <v>418097</v>
      </c>
      <c r="AN49" s="149">
        <f t="shared" si="384"/>
        <v>426451</v>
      </c>
      <c r="AO49" s="149">
        <f t="shared" si="384"/>
        <v>435069</v>
      </c>
      <c r="AP49" s="149">
        <f t="shared" si="384"/>
        <v>443870</v>
      </c>
      <c r="AQ49" s="149">
        <f t="shared" si="384"/>
        <v>456784</v>
      </c>
      <c r="AR49" s="149">
        <f t="shared" si="384"/>
        <v>463848</v>
      </c>
      <c r="AS49" s="149">
        <f t="shared" si="384"/>
        <v>472194</v>
      </c>
      <c r="AT49" s="149">
        <f t="shared" si="384"/>
        <v>481079</v>
      </c>
      <c r="AU49" s="149">
        <f t="shared" si="384"/>
        <v>490535</v>
      </c>
      <c r="AV49" s="149">
        <f t="shared" si="384"/>
        <v>501308</v>
      </c>
      <c r="AW49" s="150">
        <f t="shared" si="384"/>
        <v>510367</v>
      </c>
      <c r="AX49" s="149">
        <f t="shared" si="384"/>
        <v>519120</v>
      </c>
      <c r="AY49" s="149">
        <f t="shared" si="384"/>
        <v>529473</v>
      </c>
      <c r="AZ49" s="149">
        <f t="shared" si="384"/>
        <v>545748</v>
      </c>
      <c r="BA49" s="149">
        <f t="shared" si="384"/>
        <v>554380</v>
      </c>
      <c r="BB49" s="149">
        <f t="shared" si="384"/>
        <v>563936</v>
      </c>
      <c r="BC49" s="149">
        <f t="shared" si="384"/>
        <v>574615</v>
      </c>
      <c r="BD49" s="149">
        <f t="shared" si="384"/>
        <v>586392</v>
      </c>
      <c r="BE49" s="149">
        <f t="shared" si="384"/>
        <v>597728</v>
      </c>
      <c r="BF49" s="149">
        <f t="shared" si="384"/>
        <v>611220</v>
      </c>
      <c r="BG49" s="149">
        <f t="shared" si="384"/>
        <v>625228</v>
      </c>
      <c r="BH49" s="149">
        <f t="shared" si="384"/>
        <v>638518</v>
      </c>
      <c r="BI49" s="150">
        <f t="shared" si="384"/>
        <v>652352</v>
      </c>
      <c r="BJ49" s="149">
        <f t="shared" si="384"/>
        <v>661317</v>
      </c>
      <c r="BK49" s="149">
        <f t="shared" si="384"/>
        <v>672293</v>
      </c>
      <c r="BL49" s="149">
        <f t="shared" si="384"/>
        <v>689705</v>
      </c>
      <c r="BM49" s="149">
        <f t="shared" si="384"/>
        <v>701109</v>
      </c>
      <c r="BN49" s="149">
        <f t="shared" si="384"/>
        <v>713197</v>
      </c>
      <c r="BO49" s="149">
        <f t="shared" ref="BO49:DZ49" si="385">SUM(BO43:BO48)</f>
        <v>730476</v>
      </c>
      <c r="BP49" s="149">
        <f t="shared" si="385"/>
        <v>742664</v>
      </c>
      <c r="BQ49" s="149">
        <f t="shared" si="385"/>
        <v>755130</v>
      </c>
      <c r="BR49" s="149">
        <f t="shared" si="385"/>
        <v>776158</v>
      </c>
      <c r="BS49" s="149">
        <f t="shared" si="385"/>
        <v>793278</v>
      </c>
      <c r="BT49" s="149">
        <f t="shared" si="385"/>
        <v>815429</v>
      </c>
      <c r="BU49" s="150">
        <f t="shared" si="385"/>
        <v>841824</v>
      </c>
      <c r="BV49" s="149">
        <f t="shared" si="385"/>
        <v>857297</v>
      </c>
      <c r="BW49" s="149">
        <f t="shared" si="385"/>
        <v>860994</v>
      </c>
      <c r="BX49" s="149">
        <f t="shared" si="385"/>
        <v>865863</v>
      </c>
      <c r="BY49" s="149">
        <f t="shared" si="385"/>
        <v>869610</v>
      </c>
      <c r="BZ49" s="149">
        <f t="shared" si="385"/>
        <v>873333</v>
      </c>
      <c r="CA49" s="149">
        <f t="shared" si="385"/>
        <v>877770</v>
      </c>
      <c r="CB49" s="149">
        <f t="shared" si="385"/>
        <v>881302</v>
      </c>
      <c r="CC49" s="149">
        <f t="shared" si="385"/>
        <v>884750</v>
      </c>
      <c r="CD49" s="149">
        <f t="shared" si="385"/>
        <v>889715</v>
      </c>
      <c r="CE49" s="149">
        <f t="shared" si="385"/>
        <v>892598</v>
      </c>
      <c r="CF49" s="149">
        <f t="shared" si="385"/>
        <v>896117</v>
      </c>
      <c r="CG49" s="149">
        <f t="shared" si="385"/>
        <v>898767</v>
      </c>
      <c r="CH49" s="151">
        <f t="shared" si="385"/>
        <v>901303</v>
      </c>
      <c r="CI49" s="149">
        <f t="shared" si="385"/>
        <v>904154</v>
      </c>
      <c r="CJ49" s="149">
        <f t="shared" si="385"/>
        <v>908203</v>
      </c>
      <c r="CK49" s="149">
        <f t="shared" si="385"/>
        <v>910633</v>
      </c>
      <c r="CL49" s="149">
        <f t="shared" si="385"/>
        <v>913896</v>
      </c>
      <c r="CM49" s="149">
        <f t="shared" si="385"/>
        <v>917187</v>
      </c>
      <c r="CN49" s="149">
        <f t="shared" si="385"/>
        <v>920055</v>
      </c>
      <c r="CO49" s="149">
        <f t="shared" si="385"/>
        <v>923283</v>
      </c>
      <c r="CP49" s="149">
        <f t="shared" si="385"/>
        <v>926675</v>
      </c>
      <c r="CQ49" s="149">
        <f t="shared" si="385"/>
        <v>929863</v>
      </c>
      <c r="CR49" s="149">
        <f t="shared" si="385"/>
        <v>933672</v>
      </c>
      <c r="CS49" s="149">
        <f t="shared" si="385"/>
        <v>936152</v>
      </c>
      <c r="CT49" s="151">
        <f t="shared" si="385"/>
        <v>938974</v>
      </c>
      <c r="CU49" s="149">
        <f t="shared" si="385"/>
        <v>941739</v>
      </c>
      <c r="CV49" s="149">
        <f t="shared" si="385"/>
        <v>945126</v>
      </c>
      <c r="CW49" s="149">
        <f t="shared" si="385"/>
        <v>948164</v>
      </c>
      <c r="CX49" s="149">
        <f t="shared" si="385"/>
        <v>951547</v>
      </c>
      <c r="CY49" s="149">
        <f t="shared" si="385"/>
        <v>955045</v>
      </c>
      <c r="CZ49" s="149">
        <f t="shared" si="385"/>
        <v>958334</v>
      </c>
      <c r="DA49" s="149">
        <f t="shared" si="385"/>
        <v>962100</v>
      </c>
      <c r="DB49" s="149">
        <f t="shared" si="385"/>
        <v>965968</v>
      </c>
      <c r="DC49" s="149">
        <f t="shared" si="385"/>
        <v>970434</v>
      </c>
      <c r="DD49" s="149">
        <f t="shared" si="385"/>
        <v>975326</v>
      </c>
      <c r="DE49" s="149">
        <f t="shared" si="385"/>
        <v>979371</v>
      </c>
      <c r="DF49" s="151">
        <f t="shared" si="385"/>
        <v>984454</v>
      </c>
      <c r="DG49" s="149">
        <f t="shared" si="385"/>
        <v>990544</v>
      </c>
      <c r="DH49" s="149">
        <f t="shared" si="385"/>
        <v>1005599</v>
      </c>
      <c r="DI49" s="149">
        <f t="shared" si="385"/>
        <v>1007721</v>
      </c>
      <c r="DJ49" s="149">
        <f t="shared" si="385"/>
        <v>1010388</v>
      </c>
      <c r="DK49" s="149">
        <f t="shared" si="385"/>
        <v>1013300</v>
      </c>
      <c r="DL49" s="149">
        <f t="shared" si="385"/>
        <v>1016253</v>
      </c>
      <c r="DM49" s="149">
        <f t="shared" si="385"/>
        <v>1019370</v>
      </c>
      <c r="DN49" s="149">
        <f t="shared" si="385"/>
        <v>1022796</v>
      </c>
      <c r="DO49" s="149">
        <f t="shared" si="385"/>
        <v>1026377</v>
      </c>
      <c r="DP49" s="149">
        <f t="shared" si="385"/>
        <v>1030041</v>
      </c>
      <c r="DQ49" s="149">
        <f t="shared" si="385"/>
        <v>1032545</v>
      </c>
      <c r="DR49" s="151">
        <f t="shared" si="385"/>
        <v>1035725</v>
      </c>
      <c r="DS49" s="149">
        <f t="shared" si="385"/>
        <v>1038795</v>
      </c>
      <c r="DT49" s="149">
        <f t="shared" si="385"/>
        <v>1042064</v>
      </c>
      <c r="DU49" s="149">
        <f t="shared" si="385"/>
        <v>1042737</v>
      </c>
      <c r="DV49" s="149">
        <f t="shared" si="385"/>
        <v>1043821</v>
      </c>
      <c r="DW49" s="149">
        <f t="shared" si="385"/>
        <v>1046241</v>
      </c>
      <c r="DX49" s="149">
        <f t="shared" si="385"/>
        <v>1049545</v>
      </c>
      <c r="DY49" s="149">
        <f t="shared" si="385"/>
        <v>1052821</v>
      </c>
      <c r="DZ49" s="149">
        <f t="shared" si="385"/>
        <v>1056961</v>
      </c>
      <c r="EA49" s="149">
        <f t="shared" ref="EA49:FA49" si="386">SUM(EA43:EA48)</f>
        <v>1060965</v>
      </c>
      <c r="EB49" s="149">
        <f t="shared" si="386"/>
        <v>1065318</v>
      </c>
      <c r="EC49" s="149">
        <f t="shared" si="386"/>
        <v>1068474</v>
      </c>
      <c r="ED49" s="151">
        <f t="shared" si="386"/>
        <v>1072159</v>
      </c>
      <c r="EE49" s="149">
        <f t="shared" si="386"/>
        <v>1075744</v>
      </c>
      <c r="EF49" s="149">
        <f t="shared" si="386"/>
        <v>1080739</v>
      </c>
      <c r="EG49" s="149">
        <f t="shared" si="386"/>
        <v>1085743</v>
      </c>
      <c r="EH49" s="149">
        <f t="shared" si="386"/>
        <v>1090817</v>
      </c>
      <c r="EI49" s="149">
        <f t="shared" si="386"/>
        <v>1096080</v>
      </c>
      <c r="EJ49" s="149">
        <f t="shared" si="386"/>
        <v>1100991</v>
      </c>
      <c r="EK49" s="149">
        <f t="shared" si="386"/>
        <v>1106100</v>
      </c>
      <c r="EL49" s="149">
        <f t="shared" si="386"/>
        <v>1112077</v>
      </c>
      <c r="EM49" s="149">
        <f t="shared" si="386"/>
        <v>1117700</v>
      </c>
      <c r="EN49" s="149">
        <f t="shared" si="386"/>
        <v>1124844</v>
      </c>
      <c r="EO49" s="149">
        <f t="shared" si="386"/>
        <v>1130031</v>
      </c>
      <c r="EP49" s="151">
        <f t="shared" si="386"/>
        <v>1136199</v>
      </c>
      <c r="EQ49" s="149">
        <f t="shared" si="386"/>
        <v>1143784</v>
      </c>
      <c r="ER49" s="149">
        <f t="shared" si="386"/>
        <v>1153951</v>
      </c>
      <c r="ES49" s="149">
        <f t="shared" si="386"/>
        <v>1163853</v>
      </c>
      <c r="ET49" s="149">
        <f t="shared" si="386"/>
        <v>1175139</v>
      </c>
      <c r="EU49" s="149">
        <f t="shared" si="386"/>
        <v>1186730</v>
      </c>
      <c r="EV49" s="149">
        <f t="shared" si="386"/>
        <v>1198067</v>
      </c>
      <c r="EW49" s="149">
        <f t="shared" si="386"/>
        <v>1210613</v>
      </c>
      <c r="EX49" s="149">
        <f t="shared" si="386"/>
        <v>1225317</v>
      </c>
      <c r="EY49" s="149">
        <f t="shared" si="386"/>
        <v>1239774</v>
      </c>
      <c r="EZ49" s="149">
        <f t="shared" si="386"/>
        <v>1256308</v>
      </c>
      <c r="FA49" s="152">
        <f t="shared" si="386"/>
        <v>1268812</v>
      </c>
      <c r="FB49" s="149">
        <f t="shared" ref="FB49" si="387">SUM(FB43:FB48)</f>
        <v>1285533</v>
      </c>
      <c r="FC49" s="149">
        <f t="shared" ref="FC49" si="388">SUM(FC43:FC48)</f>
        <v>1303426</v>
      </c>
      <c r="FD49" s="149">
        <f t="shared" ref="FD49:FF49" si="389">SUM(FD43:FD48)</f>
        <v>1323777</v>
      </c>
      <c r="FE49" s="149">
        <f t="shared" si="389"/>
        <v>1340004</v>
      </c>
      <c r="FF49" s="149">
        <f t="shared" si="389"/>
        <v>1358342</v>
      </c>
      <c r="FG49" s="149">
        <f t="shared" ref="FG49:FJ49" si="390">SUM(FG43:FG48)</f>
        <v>1377129</v>
      </c>
      <c r="FH49" s="149">
        <f t="shared" si="390"/>
        <v>1393180</v>
      </c>
      <c r="FI49" s="149">
        <f t="shared" si="390"/>
        <v>1409457</v>
      </c>
      <c r="FJ49" s="149">
        <f t="shared" si="390"/>
        <v>1425438</v>
      </c>
      <c r="FK49" s="149">
        <f t="shared" ref="FK49:FV49" si="391">SUM(FK43:FK48)</f>
        <v>1441246</v>
      </c>
      <c r="FL49" s="149">
        <f t="shared" si="391"/>
        <v>1457493</v>
      </c>
      <c r="FM49" s="152">
        <f t="shared" si="391"/>
        <v>1467830</v>
      </c>
      <c r="FN49" s="149">
        <f t="shared" si="391"/>
        <v>1481213</v>
      </c>
      <c r="FO49" s="174">
        <f t="shared" si="391"/>
        <v>1495361</v>
      </c>
      <c r="FP49" s="174">
        <f t="shared" si="391"/>
        <v>1510565</v>
      </c>
      <c r="FQ49" s="174">
        <f t="shared" si="391"/>
        <v>1526204</v>
      </c>
      <c r="FR49" s="174">
        <f t="shared" si="391"/>
        <v>1542567</v>
      </c>
      <c r="FS49" s="174">
        <f t="shared" si="391"/>
        <v>1558514</v>
      </c>
      <c r="FT49" s="174">
        <f t="shared" si="391"/>
        <v>1575119</v>
      </c>
      <c r="FU49" s="174">
        <f t="shared" si="391"/>
        <v>1590873</v>
      </c>
      <c r="FV49" s="174">
        <f t="shared" si="391"/>
        <v>1608169</v>
      </c>
      <c r="FW49" s="174">
        <f t="shared" ref="FW49:FY49" si="392">SUM(FW43:FW48)</f>
        <v>1628389</v>
      </c>
      <c r="FX49" s="174">
        <f t="shared" si="392"/>
        <v>1649704</v>
      </c>
      <c r="FY49" s="152">
        <f t="shared" si="392"/>
        <v>1663942</v>
      </c>
      <c r="FZ49" s="149">
        <f t="shared" ref="FZ49:GB49" si="393">SUM(FZ43:FZ48)</f>
        <v>1681700</v>
      </c>
      <c r="GA49" s="174">
        <f t="shared" si="393"/>
        <v>1702317</v>
      </c>
      <c r="GB49" s="174">
        <f t="shared" si="393"/>
        <v>1727204</v>
      </c>
      <c r="GC49" s="174">
        <f t="shared" ref="GC49:GG49" si="394">SUM(GC43:GC48)</f>
        <v>1747868</v>
      </c>
      <c r="GD49" s="174">
        <f t="shared" si="394"/>
        <v>1771443</v>
      </c>
      <c r="GE49" s="174">
        <f t="shared" si="394"/>
        <v>1795458</v>
      </c>
      <c r="GF49" s="174">
        <f t="shared" si="394"/>
        <v>1818684</v>
      </c>
      <c r="GG49" s="174">
        <f t="shared" si="394"/>
        <v>1839420</v>
      </c>
      <c r="GH49" s="174">
        <f t="shared" ref="GH49:GI49" si="395">SUM(GH43:GH48)</f>
        <v>1863675</v>
      </c>
      <c r="GI49" s="174">
        <f t="shared" si="395"/>
        <v>1890271</v>
      </c>
      <c r="GJ49" s="174">
        <f t="shared" ref="GJ49:GK49" si="396">SUM(GJ43:GJ48)</f>
        <v>1914583</v>
      </c>
      <c r="GK49" s="152">
        <f t="shared" si="396"/>
        <v>1933268</v>
      </c>
      <c r="GL49" s="149">
        <f t="shared" ref="GL49:GM49" si="397">SUM(GL43:GL48)</f>
        <v>1953218</v>
      </c>
      <c r="GM49" s="174">
        <f t="shared" si="397"/>
        <v>1976548</v>
      </c>
      <c r="GN49" s="174">
        <f t="shared" ref="GN49:GO49" si="398">SUM(GN43:GN48)</f>
        <v>2005330</v>
      </c>
      <c r="GO49" s="174">
        <f t="shared" si="398"/>
        <v>2029113</v>
      </c>
      <c r="GP49" s="174">
        <f t="shared" ref="GP49:GQ49" si="399">SUM(GP43:GP48)</f>
        <v>2048413</v>
      </c>
      <c r="GQ49" s="174">
        <f t="shared" si="399"/>
        <v>2075804</v>
      </c>
    </row>
  </sheetData>
  <phoneticPr fontId="35" type="noConversion"/>
  <pageMargins left="0.23622047244094502" right="0.23622047244094502" top="0.74803149606299213" bottom="0.74803149606299213" header="0.31496062992126012" footer="0.31496062992126012"/>
  <pageSetup paperSize="9" fitToWidth="0" orientation="landscape" r:id="rId1"/>
  <headerFooter>
    <oddHeader>&amp;LSolar Deployment Table&amp;RTable 1</oddHeader>
    <oddFooter>&amp;Lhttps://www.gov.uk/government/statistics/solar-photovoltaics-deployment</oddFooter>
  </headerFooter>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298B5-14F2-4B89-9874-7F7BF3D7B7BD}">
  <dimension ref="A1:I671"/>
  <sheetViews>
    <sheetView showGridLines="0" zoomScaleNormal="100" workbookViewId="0"/>
  </sheetViews>
  <sheetFormatPr defaultColWidth="8.81640625" defaultRowHeight="14.5" x14ac:dyDescent="0.35"/>
  <cols>
    <col min="1" max="2" width="22.453125" style="108" customWidth="1"/>
    <col min="3" max="3" width="46.453125" style="108" customWidth="1"/>
    <col min="4" max="5" width="18.1796875" style="108" customWidth="1"/>
    <col min="6" max="6" width="16.81640625" style="108" customWidth="1"/>
    <col min="7" max="7" width="12.81640625" style="108" bestFit="1" customWidth="1"/>
    <col min="8" max="8" width="10" style="108" bestFit="1" customWidth="1"/>
    <col min="9" max="16384" width="8.81640625" style="108"/>
  </cols>
  <sheetData>
    <row r="1" spans="1:9" ht="41.15" customHeight="1" x14ac:dyDescent="0.45">
      <c r="A1" s="106" t="s">
        <v>1656</v>
      </c>
      <c r="B1" s="106"/>
      <c r="C1" s="107"/>
      <c r="D1" s="107"/>
      <c r="E1" s="107"/>
    </row>
    <row r="2" spans="1:9" ht="15.65" customHeight="1" x14ac:dyDescent="0.45">
      <c r="A2" s="109" t="s">
        <v>286</v>
      </c>
      <c r="B2" s="109"/>
      <c r="C2" s="107"/>
      <c r="D2" s="107"/>
      <c r="E2" s="107"/>
    </row>
    <row r="3" spans="1:9" ht="20.5" customHeight="1" x14ac:dyDescent="0.45">
      <c r="A3" s="108" t="s">
        <v>287</v>
      </c>
      <c r="C3" s="107"/>
      <c r="D3" s="107"/>
      <c r="E3" s="107"/>
    </row>
    <row r="4" spans="1:9" ht="31" x14ac:dyDescent="0.35">
      <c r="A4" s="110" t="s">
        <v>288</v>
      </c>
      <c r="B4" s="110" t="s">
        <v>289</v>
      </c>
      <c r="C4" s="110" t="s">
        <v>290</v>
      </c>
      <c r="D4" s="111" t="s">
        <v>291</v>
      </c>
      <c r="E4" s="111" t="s">
        <v>292</v>
      </c>
    </row>
    <row r="5" spans="1:9" ht="30" customHeight="1" thickBot="1" x14ac:dyDescent="0.4">
      <c r="A5" s="112" t="s">
        <v>293</v>
      </c>
      <c r="B5" s="112" t="s">
        <v>294</v>
      </c>
      <c r="C5" s="112" t="s">
        <v>293</v>
      </c>
      <c r="D5" s="113">
        <v>6866.8089999999975</v>
      </c>
      <c r="E5" s="114">
        <v>1721751</v>
      </c>
      <c r="F5" s="163"/>
      <c r="G5" s="164"/>
      <c r="H5" s="173"/>
      <c r="I5" s="173"/>
    </row>
    <row r="6" spans="1:9" ht="15.5" x14ac:dyDescent="0.35">
      <c r="A6" s="115" t="s">
        <v>295</v>
      </c>
      <c r="B6" s="115" t="s">
        <v>295</v>
      </c>
      <c r="C6" s="115" t="s">
        <v>295</v>
      </c>
      <c r="D6" s="116">
        <v>16.966999999999999</v>
      </c>
      <c r="E6" s="117">
        <v>6321</v>
      </c>
      <c r="F6" s="163"/>
      <c r="G6" s="164"/>
      <c r="H6" s="165"/>
    </row>
    <row r="7" spans="1:9" ht="15.5" x14ac:dyDescent="0.35">
      <c r="A7" s="203" t="s">
        <v>296</v>
      </c>
      <c r="B7" s="203" t="s">
        <v>297</v>
      </c>
      <c r="C7" s="118"/>
      <c r="D7" s="201">
        <v>0</v>
      </c>
      <c r="E7" s="202">
        <v>0</v>
      </c>
      <c r="F7" s="163"/>
      <c r="G7" s="164"/>
      <c r="H7" s="165"/>
    </row>
    <row r="8" spans="1:9" ht="15.5" x14ac:dyDescent="0.35">
      <c r="A8" s="203" t="s">
        <v>298</v>
      </c>
      <c r="B8" s="203" t="s">
        <v>299</v>
      </c>
      <c r="C8" s="118"/>
      <c r="D8" s="201">
        <v>0</v>
      </c>
      <c r="E8" s="202">
        <v>0</v>
      </c>
      <c r="F8" s="163"/>
      <c r="G8" s="164"/>
      <c r="H8" s="165"/>
    </row>
    <row r="9" spans="1:9" ht="15.5" x14ac:dyDescent="0.35">
      <c r="A9" s="118" t="s">
        <v>300</v>
      </c>
      <c r="B9" s="118" t="s">
        <v>299</v>
      </c>
      <c r="C9" s="118" t="s">
        <v>301</v>
      </c>
      <c r="D9" s="201">
        <v>13.99</v>
      </c>
      <c r="E9" s="202">
        <v>3518</v>
      </c>
      <c r="F9" s="163"/>
      <c r="G9" s="164"/>
      <c r="H9" s="165"/>
    </row>
    <row r="10" spans="1:9" ht="15.5" x14ac:dyDescent="0.35">
      <c r="A10" s="118" t="s">
        <v>302</v>
      </c>
      <c r="B10" s="118" t="s">
        <v>299</v>
      </c>
      <c r="C10" s="118" t="s">
        <v>303</v>
      </c>
      <c r="D10" s="201">
        <v>7.7220000000000004</v>
      </c>
      <c r="E10" s="202">
        <v>2194</v>
      </c>
      <c r="F10" s="163"/>
      <c r="G10" s="164"/>
      <c r="H10" s="165"/>
    </row>
    <row r="11" spans="1:9" ht="15.5" x14ac:dyDescent="0.35">
      <c r="A11" s="118" t="s">
        <v>304</v>
      </c>
      <c r="B11" s="118" t="s">
        <v>299</v>
      </c>
      <c r="C11" s="118" t="s">
        <v>305</v>
      </c>
      <c r="D11" s="201">
        <v>11.978999999999999</v>
      </c>
      <c r="E11" s="202">
        <v>3788</v>
      </c>
      <c r="F11" s="163"/>
      <c r="G11" s="164"/>
      <c r="H11" s="165"/>
    </row>
    <row r="12" spans="1:9" ht="15.5" x14ac:dyDescent="0.35">
      <c r="A12" s="118" t="s">
        <v>306</v>
      </c>
      <c r="B12" s="118" t="s">
        <v>299</v>
      </c>
      <c r="C12" s="118" t="s">
        <v>307</v>
      </c>
      <c r="D12" s="201">
        <v>12.612</v>
      </c>
      <c r="E12" s="202">
        <v>3521</v>
      </c>
      <c r="F12" s="163"/>
      <c r="G12" s="164"/>
      <c r="H12" s="165"/>
    </row>
    <row r="13" spans="1:9" ht="15.5" x14ac:dyDescent="0.35">
      <c r="A13" s="118" t="s">
        <v>308</v>
      </c>
      <c r="B13" s="118" t="s">
        <v>299</v>
      </c>
      <c r="C13" s="118" t="s">
        <v>309</v>
      </c>
      <c r="D13" s="201">
        <v>11.282999999999999</v>
      </c>
      <c r="E13" s="202">
        <v>3614</v>
      </c>
      <c r="F13" s="163"/>
      <c r="G13" s="164"/>
      <c r="H13" s="165"/>
    </row>
    <row r="14" spans="1:9" ht="15.5" x14ac:dyDescent="0.35">
      <c r="A14" s="118" t="s">
        <v>310</v>
      </c>
      <c r="B14" s="118" t="s">
        <v>299</v>
      </c>
      <c r="C14" s="118" t="s">
        <v>311</v>
      </c>
      <c r="D14" s="201">
        <v>9.2729999999999997</v>
      </c>
      <c r="E14" s="202">
        <v>2530</v>
      </c>
      <c r="F14" s="163"/>
      <c r="G14" s="164"/>
      <c r="H14" s="165"/>
    </row>
    <row r="15" spans="1:9" ht="15.5" x14ac:dyDescent="0.35">
      <c r="A15" s="118" t="s">
        <v>312</v>
      </c>
      <c r="B15" s="118" t="s">
        <v>299</v>
      </c>
      <c r="C15" s="118" t="s">
        <v>313</v>
      </c>
      <c r="D15" s="201">
        <v>8.4149999999999991</v>
      </c>
      <c r="E15" s="202">
        <v>2443</v>
      </c>
      <c r="F15" s="163"/>
      <c r="G15" s="164"/>
      <c r="H15" s="165"/>
    </row>
    <row r="16" spans="1:9" ht="15.5" x14ac:dyDescent="0.35">
      <c r="A16" s="118" t="s">
        <v>314</v>
      </c>
      <c r="B16" s="118" t="s">
        <v>299</v>
      </c>
      <c r="C16" s="118" t="s">
        <v>315</v>
      </c>
      <c r="D16" s="201">
        <v>4.0359999999999996</v>
      </c>
      <c r="E16" s="202">
        <v>1194</v>
      </c>
      <c r="F16" s="163"/>
      <c r="G16" s="163"/>
      <c r="H16" s="165"/>
    </row>
    <row r="17" spans="1:8" ht="15.5" x14ac:dyDescent="0.35">
      <c r="A17" s="118" t="s">
        <v>316</v>
      </c>
      <c r="B17" s="118" t="s">
        <v>299</v>
      </c>
      <c r="C17" s="118" t="s">
        <v>317</v>
      </c>
      <c r="D17" s="201">
        <v>9.6679999999999993</v>
      </c>
      <c r="E17" s="202">
        <v>2994</v>
      </c>
      <c r="F17" s="163"/>
      <c r="G17" s="164"/>
      <c r="H17" s="165"/>
    </row>
    <row r="18" spans="1:8" ht="15.5" x14ac:dyDescent="0.35">
      <c r="A18" s="118" t="s">
        <v>318</v>
      </c>
      <c r="B18" s="118" t="s">
        <v>299</v>
      </c>
      <c r="C18" s="118" t="s">
        <v>319</v>
      </c>
      <c r="D18" s="201">
        <v>17.527000000000001</v>
      </c>
      <c r="E18" s="202">
        <v>4105</v>
      </c>
      <c r="F18" s="163"/>
      <c r="G18" s="164"/>
      <c r="H18" s="165"/>
    </row>
    <row r="19" spans="1:8" ht="15.5" x14ac:dyDescent="0.35">
      <c r="A19" s="118" t="s">
        <v>320</v>
      </c>
      <c r="B19" s="118" t="s">
        <v>299</v>
      </c>
      <c r="C19" s="118" t="s">
        <v>321</v>
      </c>
      <c r="D19" s="201">
        <v>14.598000000000001</v>
      </c>
      <c r="E19" s="202">
        <v>5548</v>
      </c>
      <c r="F19" s="163"/>
      <c r="G19" s="164"/>
      <c r="H19" s="165"/>
    </row>
    <row r="20" spans="1:8" ht="15.5" x14ac:dyDescent="0.35">
      <c r="A20" s="118" t="s">
        <v>322</v>
      </c>
      <c r="B20" s="118" t="s">
        <v>299</v>
      </c>
      <c r="C20" s="118" t="s">
        <v>323</v>
      </c>
      <c r="D20" s="201">
        <v>6.4320000000000004</v>
      </c>
      <c r="E20" s="202">
        <v>1913</v>
      </c>
      <c r="F20" s="163"/>
      <c r="G20" s="164"/>
      <c r="H20" s="165"/>
    </row>
    <row r="21" spans="1:8" ht="15.5" x14ac:dyDescent="0.35">
      <c r="A21" s="118" t="s">
        <v>324</v>
      </c>
      <c r="B21" s="118" t="s">
        <v>299</v>
      </c>
      <c r="C21" s="118" t="s">
        <v>325</v>
      </c>
      <c r="D21" s="201">
        <v>5.9119999999999999</v>
      </c>
      <c r="E21" s="202">
        <v>1766</v>
      </c>
      <c r="F21" s="163"/>
      <c r="G21" s="164"/>
      <c r="H21" s="165"/>
    </row>
    <row r="22" spans="1:8" ht="15.5" x14ac:dyDescent="0.35">
      <c r="A22" s="118" t="s">
        <v>326</v>
      </c>
      <c r="B22" s="118" t="s">
        <v>299</v>
      </c>
      <c r="C22" s="118" t="s">
        <v>327</v>
      </c>
      <c r="D22" s="201">
        <v>9.8849999999999998</v>
      </c>
      <c r="E22" s="202">
        <v>2881</v>
      </c>
      <c r="F22" s="163"/>
      <c r="G22" s="164"/>
      <c r="H22" s="165"/>
    </row>
    <row r="23" spans="1:8" ht="15.5" x14ac:dyDescent="0.35">
      <c r="A23" s="118" t="s">
        <v>328</v>
      </c>
      <c r="B23" s="118" t="s">
        <v>299</v>
      </c>
      <c r="C23" s="118" t="s">
        <v>329</v>
      </c>
      <c r="D23" s="201">
        <v>6.2359999999999998</v>
      </c>
      <c r="E23" s="202">
        <v>1976</v>
      </c>
      <c r="F23" s="163"/>
      <c r="G23" s="164"/>
      <c r="H23" s="165"/>
    </row>
    <row r="24" spans="1:8" ht="15.5" x14ac:dyDescent="0.35">
      <c r="A24" s="118" t="s">
        <v>330</v>
      </c>
      <c r="B24" s="118" t="s">
        <v>299</v>
      </c>
      <c r="C24" s="118" t="s">
        <v>331</v>
      </c>
      <c r="D24" s="201">
        <v>6.8920000000000003</v>
      </c>
      <c r="E24" s="202">
        <v>2463</v>
      </c>
      <c r="F24" s="163"/>
      <c r="G24" s="164"/>
      <c r="H24" s="165"/>
    </row>
    <row r="25" spans="1:8" ht="15.5" x14ac:dyDescent="0.35">
      <c r="A25" s="118" t="s">
        <v>332</v>
      </c>
      <c r="B25" s="118" t="s">
        <v>299</v>
      </c>
      <c r="C25" s="118" t="s">
        <v>333</v>
      </c>
      <c r="D25" s="201">
        <v>7.5910000000000002</v>
      </c>
      <c r="E25" s="202">
        <v>2045</v>
      </c>
      <c r="F25" s="163"/>
      <c r="G25" s="164"/>
      <c r="H25" s="165"/>
    </row>
    <row r="26" spans="1:8" ht="15.5" x14ac:dyDescent="0.35">
      <c r="A26" s="118" t="s">
        <v>334</v>
      </c>
      <c r="B26" s="118" t="s">
        <v>299</v>
      </c>
      <c r="C26" s="118" t="s">
        <v>335</v>
      </c>
      <c r="D26" s="201">
        <v>11.131</v>
      </c>
      <c r="E26" s="202">
        <v>3056</v>
      </c>
      <c r="F26" s="163"/>
      <c r="G26" s="164"/>
      <c r="H26" s="165"/>
    </row>
    <row r="27" spans="1:8" ht="15.5" x14ac:dyDescent="0.35">
      <c r="A27" s="118" t="s">
        <v>336</v>
      </c>
      <c r="B27" s="118" t="s">
        <v>299</v>
      </c>
      <c r="C27" s="118" t="s">
        <v>337</v>
      </c>
      <c r="D27" s="201">
        <v>10.621</v>
      </c>
      <c r="E27" s="202">
        <v>2952</v>
      </c>
      <c r="F27" s="163"/>
      <c r="G27" s="164"/>
      <c r="H27" s="165"/>
    </row>
    <row r="28" spans="1:8" ht="15.5" x14ac:dyDescent="0.35">
      <c r="A28" s="118" t="s">
        <v>338</v>
      </c>
      <c r="B28" s="118" t="s">
        <v>299</v>
      </c>
      <c r="C28" s="118" t="s">
        <v>339</v>
      </c>
      <c r="D28" s="201">
        <v>19.524000000000001</v>
      </c>
      <c r="E28" s="202">
        <v>4953</v>
      </c>
      <c r="F28" s="163"/>
      <c r="G28" s="164"/>
      <c r="H28" s="165"/>
    </row>
    <row r="29" spans="1:8" ht="15.5" x14ac:dyDescent="0.35">
      <c r="A29" s="118" t="s">
        <v>340</v>
      </c>
      <c r="B29" s="118" t="s">
        <v>299</v>
      </c>
      <c r="C29" s="118" t="s">
        <v>341</v>
      </c>
      <c r="D29" s="201">
        <v>7.6020000000000003</v>
      </c>
      <c r="E29" s="202">
        <v>2218</v>
      </c>
      <c r="F29" s="163"/>
      <c r="G29" s="164"/>
      <c r="H29" s="165"/>
    </row>
    <row r="30" spans="1:8" ht="15.5" x14ac:dyDescent="0.35">
      <c r="A30" s="118" t="s">
        <v>342</v>
      </c>
      <c r="B30" s="118" t="s">
        <v>299</v>
      </c>
      <c r="C30" s="118" t="s">
        <v>343</v>
      </c>
      <c r="D30" s="201">
        <v>6.94</v>
      </c>
      <c r="E30" s="202">
        <v>2360</v>
      </c>
      <c r="F30" s="163"/>
      <c r="G30" s="164"/>
      <c r="H30" s="165"/>
    </row>
    <row r="31" spans="1:8" ht="15.5" x14ac:dyDescent="0.35">
      <c r="A31" s="118" t="s">
        <v>344</v>
      </c>
      <c r="B31" s="118" t="s">
        <v>299</v>
      </c>
      <c r="C31" s="118" t="s">
        <v>345</v>
      </c>
      <c r="D31" s="201">
        <v>9.0830000000000002</v>
      </c>
      <c r="E31" s="202">
        <v>2516</v>
      </c>
      <c r="F31" s="163"/>
      <c r="G31" s="164"/>
      <c r="H31" s="165"/>
    </row>
    <row r="32" spans="1:8" ht="15.5" x14ac:dyDescent="0.35">
      <c r="A32" s="118" t="s">
        <v>346</v>
      </c>
      <c r="B32" s="118" t="s">
        <v>299</v>
      </c>
      <c r="C32" s="118" t="s">
        <v>347</v>
      </c>
      <c r="D32" s="201">
        <v>12.02</v>
      </c>
      <c r="E32" s="202">
        <v>3081</v>
      </c>
      <c r="F32" s="163"/>
      <c r="G32" s="164"/>
      <c r="H32" s="165"/>
    </row>
    <row r="33" spans="1:8" ht="15.5" x14ac:dyDescent="0.35">
      <c r="A33" s="118" t="s">
        <v>348</v>
      </c>
      <c r="B33" s="118" t="s">
        <v>299</v>
      </c>
      <c r="C33" s="118" t="s">
        <v>349</v>
      </c>
      <c r="D33" s="201">
        <v>7.069</v>
      </c>
      <c r="E33" s="202">
        <v>2481</v>
      </c>
      <c r="F33" s="163"/>
      <c r="G33" s="164"/>
      <c r="H33" s="165"/>
    </row>
    <row r="34" spans="1:8" ht="15.5" x14ac:dyDescent="0.35">
      <c r="A34" s="118" t="s">
        <v>350</v>
      </c>
      <c r="B34" s="118" t="s">
        <v>299</v>
      </c>
      <c r="C34" s="118" t="s">
        <v>351</v>
      </c>
      <c r="D34" s="201">
        <v>7.2329999999999997</v>
      </c>
      <c r="E34" s="202">
        <v>2154</v>
      </c>
      <c r="F34" s="163"/>
      <c r="G34" s="164"/>
      <c r="H34" s="165"/>
    </row>
    <row r="35" spans="1:8" ht="15.5" x14ac:dyDescent="0.35">
      <c r="A35" s="118" t="s">
        <v>352</v>
      </c>
      <c r="B35" s="118" t="s">
        <v>299</v>
      </c>
      <c r="C35" s="118" t="s">
        <v>353</v>
      </c>
      <c r="D35" s="201">
        <v>11.971</v>
      </c>
      <c r="E35" s="202">
        <v>4486</v>
      </c>
      <c r="F35" s="163"/>
      <c r="G35" s="164"/>
      <c r="H35" s="165"/>
    </row>
    <row r="36" spans="1:8" ht="15.5" x14ac:dyDescent="0.35">
      <c r="A36" s="203" t="s">
        <v>354</v>
      </c>
      <c r="B36" s="203" t="s">
        <v>355</v>
      </c>
      <c r="C36" s="118"/>
      <c r="D36" s="201">
        <v>0</v>
      </c>
      <c r="E36" s="202">
        <v>0</v>
      </c>
      <c r="F36" s="163"/>
      <c r="G36" s="164"/>
      <c r="H36" s="165"/>
    </row>
    <row r="37" spans="1:8" ht="15.5" x14ac:dyDescent="0.35">
      <c r="A37" s="118" t="s">
        <v>356</v>
      </c>
      <c r="B37" s="118" t="s">
        <v>355</v>
      </c>
      <c r="C37" s="118" t="s">
        <v>357</v>
      </c>
      <c r="D37" s="201">
        <v>4.9530000000000003</v>
      </c>
      <c r="E37" s="202">
        <v>1179</v>
      </c>
      <c r="F37" s="163"/>
      <c r="G37" s="164"/>
      <c r="H37" s="165"/>
    </row>
    <row r="38" spans="1:8" ht="15.5" x14ac:dyDescent="0.35">
      <c r="A38" s="118" t="s">
        <v>358</v>
      </c>
      <c r="B38" s="118" t="s">
        <v>355</v>
      </c>
      <c r="C38" s="118" t="s">
        <v>359</v>
      </c>
      <c r="D38" s="201">
        <v>6.5119999999999996</v>
      </c>
      <c r="E38" s="202">
        <v>2199</v>
      </c>
      <c r="F38" s="163"/>
      <c r="G38" s="164"/>
      <c r="H38" s="165"/>
    </row>
    <row r="39" spans="1:8" ht="15.5" x14ac:dyDescent="0.35">
      <c r="A39" s="118" t="s">
        <v>360</v>
      </c>
      <c r="B39" s="118" t="s">
        <v>355</v>
      </c>
      <c r="C39" s="118" t="s">
        <v>361</v>
      </c>
      <c r="D39" s="201">
        <v>10.686</v>
      </c>
      <c r="E39" s="202">
        <v>2599</v>
      </c>
      <c r="F39" s="163"/>
      <c r="G39" s="164"/>
      <c r="H39" s="165"/>
    </row>
    <row r="40" spans="1:8" ht="15.5" x14ac:dyDescent="0.35">
      <c r="A40" s="118" t="s">
        <v>362</v>
      </c>
      <c r="B40" s="118" t="s">
        <v>355</v>
      </c>
      <c r="C40" s="118" t="s">
        <v>363</v>
      </c>
      <c r="D40" s="201">
        <v>5.4939999999999998</v>
      </c>
      <c r="E40" s="202">
        <v>1431</v>
      </c>
      <c r="F40" s="163"/>
      <c r="G40" s="164"/>
      <c r="H40" s="165"/>
    </row>
    <row r="41" spans="1:8" ht="15.5" x14ac:dyDescent="0.35">
      <c r="A41" s="118" t="s">
        <v>364</v>
      </c>
      <c r="B41" s="118" t="s">
        <v>355</v>
      </c>
      <c r="C41" s="118" t="s">
        <v>365</v>
      </c>
      <c r="D41" s="201">
        <v>8.4120000000000008</v>
      </c>
      <c r="E41" s="202">
        <v>2398</v>
      </c>
      <c r="F41" s="163"/>
      <c r="G41" s="164"/>
      <c r="H41" s="165"/>
    </row>
    <row r="42" spans="1:8" ht="15.5" x14ac:dyDescent="0.35">
      <c r="A42" s="118" t="s">
        <v>366</v>
      </c>
      <c r="B42" s="118" t="s">
        <v>355</v>
      </c>
      <c r="C42" s="118" t="s">
        <v>367</v>
      </c>
      <c r="D42" s="201">
        <v>9.1280000000000001</v>
      </c>
      <c r="E42" s="202">
        <v>2896</v>
      </c>
      <c r="F42" s="163"/>
      <c r="G42" s="164"/>
      <c r="H42" s="165"/>
    </row>
    <row r="43" spans="1:8" ht="15.5" x14ac:dyDescent="0.35">
      <c r="A43" s="118" t="s">
        <v>368</v>
      </c>
      <c r="B43" s="118" t="s">
        <v>355</v>
      </c>
      <c r="C43" s="118" t="s">
        <v>369</v>
      </c>
      <c r="D43" s="201">
        <v>5.5359999999999996</v>
      </c>
      <c r="E43" s="202">
        <v>1436</v>
      </c>
      <c r="F43" s="163"/>
      <c r="G43" s="164"/>
      <c r="H43" s="165"/>
    </row>
    <row r="44" spans="1:8" ht="15.5" x14ac:dyDescent="0.35">
      <c r="A44" s="118" t="s">
        <v>370</v>
      </c>
      <c r="B44" s="118" t="s">
        <v>355</v>
      </c>
      <c r="C44" s="118" t="s">
        <v>371</v>
      </c>
      <c r="D44" s="201">
        <v>4.6820000000000004</v>
      </c>
      <c r="E44" s="202">
        <v>1293</v>
      </c>
      <c r="F44" s="163"/>
      <c r="G44" s="164"/>
      <c r="H44" s="165"/>
    </row>
    <row r="45" spans="1:8" ht="15.5" x14ac:dyDescent="0.35">
      <c r="A45" s="118" t="s">
        <v>372</v>
      </c>
      <c r="B45" s="118" t="s">
        <v>355</v>
      </c>
      <c r="C45" s="118" t="s">
        <v>373</v>
      </c>
      <c r="D45" s="201">
        <v>5.18</v>
      </c>
      <c r="E45" s="202">
        <v>1384</v>
      </c>
      <c r="F45" s="163"/>
      <c r="G45" s="164"/>
      <c r="H45" s="165"/>
    </row>
    <row r="46" spans="1:8" ht="15.5" x14ac:dyDescent="0.35">
      <c r="A46" s="118" t="s">
        <v>374</v>
      </c>
      <c r="B46" s="118" t="s">
        <v>355</v>
      </c>
      <c r="C46" s="118" t="s">
        <v>375</v>
      </c>
      <c r="D46" s="201">
        <v>7.806</v>
      </c>
      <c r="E46" s="202">
        <v>2441</v>
      </c>
      <c r="F46" s="163"/>
      <c r="G46" s="164"/>
      <c r="H46" s="165"/>
    </row>
    <row r="47" spans="1:8" ht="15.5" x14ac:dyDescent="0.35">
      <c r="A47" s="118" t="s">
        <v>376</v>
      </c>
      <c r="B47" s="118" t="s">
        <v>355</v>
      </c>
      <c r="C47" s="118" t="s">
        <v>377</v>
      </c>
      <c r="D47" s="201">
        <v>6.7210000000000001</v>
      </c>
      <c r="E47" s="202">
        <v>1519</v>
      </c>
      <c r="F47" s="163"/>
      <c r="G47" s="164"/>
      <c r="H47" s="165"/>
    </row>
    <row r="48" spans="1:8" ht="15.5" x14ac:dyDescent="0.35">
      <c r="A48" s="118" t="s">
        <v>378</v>
      </c>
      <c r="B48" s="118" t="s">
        <v>355</v>
      </c>
      <c r="C48" s="118" t="s">
        <v>379</v>
      </c>
      <c r="D48" s="201">
        <v>3.9260000000000002</v>
      </c>
      <c r="E48" s="202">
        <v>1113</v>
      </c>
      <c r="F48" s="163"/>
      <c r="G48" s="164"/>
      <c r="H48" s="165"/>
    </row>
    <row r="49" spans="1:8" ht="15.5" x14ac:dyDescent="0.35">
      <c r="A49" s="118" t="s">
        <v>380</v>
      </c>
      <c r="B49" s="118" t="s">
        <v>355</v>
      </c>
      <c r="C49" s="118" t="s">
        <v>381</v>
      </c>
      <c r="D49" s="201">
        <v>6.8479999999999999</v>
      </c>
      <c r="E49" s="202">
        <v>1803</v>
      </c>
      <c r="F49" s="163"/>
      <c r="G49" s="164"/>
      <c r="H49" s="165"/>
    </row>
    <row r="50" spans="1:8" ht="15.5" x14ac:dyDescent="0.35">
      <c r="A50" s="118" t="s">
        <v>382</v>
      </c>
      <c r="B50" s="118" t="s">
        <v>355</v>
      </c>
      <c r="C50" s="118" t="s">
        <v>383</v>
      </c>
      <c r="D50" s="201">
        <v>7.0609999999999999</v>
      </c>
      <c r="E50" s="202">
        <v>1783</v>
      </c>
      <c r="F50" s="163"/>
      <c r="G50" s="164"/>
      <c r="H50" s="165"/>
    </row>
    <row r="51" spans="1:8" ht="15.5" x14ac:dyDescent="0.35">
      <c r="A51" s="118" t="s">
        <v>384</v>
      </c>
      <c r="B51" s="118" t="s">
        <v>355</v>
      </c>
      <c r="C51" s="118" t="s">
        <v>385</v>
      </c>
      <c r="D51" s="201">
        <v>5.1680000000000001</v>
      </c>
      <c r="E51" s="202">
        <v>1296</v>
      </c>
      <c r="F51" s="163"/>
      <c r="G51" s="164"/>
      <c r="H51" s="165"/>
    </row>
    <row r="52" spans="1:8" ht="15.5" x14ac:dyDescent="0.35">
      <c r="A52" s="118" t="s">
        <v>386</v>
      </c>
      <c r="B52" s="118" t="s">
        <v>355</v>
      </c>
      <c r="C52" s="118" t="s">
        <v>387</v>
      </c>
      <c r="D52" s="201">
        <v>10.555999999999999</v>
      </c>
      <c r="E52" s="202">
        <v>2616</v>
      </c>
      <c r="F52" s="163"/>
      <c r="G52" s="164"/>
      <c r="H52" s="165"/>
    </row>
    <row r="53" spans="1:8" ht="15.5" x14ac:dyDescent="0.35">
      <c r="A53" s="118" t="s">
        <v>388</v>
      </c>
      <c r="B53" s="118" t="s">
        <v>355</v>
      </c>
      <c r="C53" s="118" t="s">
        <v>389</v>
      </c>
      <c r="D53" s="201">
        <v>6.46</v>
      </c>
      <c r="E53" s="202">
        <v>1712</v>
      </c>
      <c r="F53" s="163"/>
      <c r="G53" s="164"/>
      <c r="H53" s="165"/>
    </row>
    <row r="54" spans="1:8" ht="15.5" x14ac:dyDescent="0.35">
      <c r="A54" s="118" t="s">
        <v>390</v>
      </c>
      <c r="B54" s="118" t="s">
        <v>355</v>
      </c>
      <c r="C54" s="118" t="s">
        <v>391</v>
      </c>
      <c r="D54" s="201">
        <v>10.307</v>
      </c>
      <c r="E54" s="202">
        <v>2529</v>
      </c>
      <c r="F54" s="163"/>
      <c r="G54" s="164"/>
      <c r="H54" s="165"/>
    </row>
    <row r="55" spans="1:8" ht="15.5" x14ac:dyDescent="0.35">
      <c r="A55" s="118" t="s">
        <v>392</v>
      </c>
      <c r="B55" s="118" t="s">
        <v>355</v>
      </c>
      <c r="C55" s="118" t="s">
        <v>393</v>
      </c>
      <c r="D55" s="201">
        <v>19.222000000000001</v>
      </c>
      <c r="E55" s="202">
        <v>4053</v>
      </c>
      <c r="F55" s="163"/>
      <c r="G55" s="164"/>
      <c r="H55" s="165"/>
    </row>
    <row r="56" spans="1:8" ht="15.5" x14ac:dyDescent="0.35">
      <c r="A56" s="118" t="s">
        <v>394</v>
      </c>
      <c r="B56" s="118" t="s">
        <v>355</v>
      </c>
      <c r="C56" s="118" t="s">
        <v>395</v>
      </c>
      <c r="D56" s="201">
        <v>10.177</v>
      </c>
      <c r="E56" s="202">
        <v>3175</v>
      </c>
      <c r="F56" s="163"/>
      <c r="G56" s="164"/>
      <c r="H56" s="165"/>
    </row>
    <row r="57" spans="1:8" ht="15.5" x14ac:dyDescent="0.35">
      <c r="A57" s="118" t="s">
        <v>396</v>
      </c>
      <c r="B57" s="118" t="s">
        <v>355</v>
      </c>
      <c r="C57" s="118" t="s">
        <v>397</v>
      </c>
      <c r="D57" s="201">
        <v>12.131</v>
      </c>
      <c r="E57" s="202">
        <v>2675</v>
      </c>
      <c r="F57" s="163"/>
      <c r="G57" s="164"/>
      <c r="H57" s="165"/>
    </row>
    <row r="58" spans="1:8" ht="15.5" x14ac:dyDescent="0.35">
      <c r="A58" s="118" t="s">
        <v>398</v>
      </c>
      <c r="B58" s="118" t="s">
        <v>355</v>
      </c>
      <c r="C58" s="118" t="s">
        <v>399</v>
      </c>
      <c r="D58" s="201">
        <v>9.7530000000000001</v>
      </c>
      <c r="E58" s="202">
        <v>2535</v>
      </c>
      <c r="F58" s="163"/>
      <c r="G58" s="164"/>
      <c r="H58" s="165"/>
    </row>
    <row r="59" spans="1:8" ht="15.5" x14ac:dyDescent="0.35">
      <c r="A59" s="118" t="s">
        <v>400</v>
      </c>
      <c r="B59" s="118" t="s">
        <v>355</v>
      </c>
      <c r="C59" s="118" t="s">
        <v>401</v>
      </c>
      <c r="D59" s="201">
        <v>6.4770000000000003</v>
      </c>
      <c r="E59" s="202">
        <v>1788</v>
      </c>
      <c r="F59" s="163"/>
      <c r="G59" s="164"/>
      <c r="H59" s="165"/>
    </row>
    <row r="60" spans="1:8" ht="15.5" x14ac:dyDescent="0.35">
      <c r="A60" s="118" t="s">
        <v>402</v>
      </c>
      <c r="B60" s="118" t="s">
        <v>355</v>
      </c>
      <c r="C60" s="118" t="s">
        <v>403</v>
      </c>
      <c r="D60" s="201">
        <v>8.56</v>
      </c>
      <c r="E60" s="202">
        <v>1990</v>
      </c>
      <c r="F60" s="163"/>
      <c r="G60" s="164"/>
      <c r="H60" s="165"/>
    </row>
    <row r="61" spans="1:8" ht="15.5" x14ac:dyDescent="0.35">
      <c r="A61" s="118" t="s">
        <v>404</v>
      </c>
      <c r="B61" s="118" t="s">
        <v>355</v>
      </c>
      <c r="C61" s="118" t="s">
        <v>405</v>
      </c>
      <c r="D61" s="201">
        <v>6.3739999999999997</v>
      </c>
      <c r="E61" s="202">
        <v>2245</v>
      </c>
      <c r="F61" s="163"/>
      <c r="G61" s="164"/>
      <c r="H61" s="165"/>
    </row>
    <row r="62" spans="1:8" ht="15.5" x14ac:dyDescent="0.35">
      <c r="A62" s="118" t="s">
        <v>406</v>
      </c>
      <c r="B62" s="118" t="s">
        <v>355</v>
      </c>
      <c r="C62" s="118" t="s">
        <v>407</v>
      </c>
      <c r="D62" s="201">
        <v>7.6470000000000002</v>
      </c>
      <c r="E62" s="202">
        <v>2182</v>
      </c>
      <c r="F62" s="163"/>
      <c r="G62" s="164"/>
      <c r="H62" s="165"/>
    </row>
    <row r="63" spans="1:8" ht="15.5" x14ac:dyDescent="0.35">
      <c r="A63" s="118" t="s">
        <v>408</v>
      </c>
      <c r="B63" s="118" t="s">
        <v>355</v>
      </c>
      <c r="C63" s="118" t="s">
        <v>409</v>
      </c>
      <c r="D63" s="201">
        <v>6.5590000000000002</v>
      </c>
      <c r="E63" s="202">
        <v>1854</v>
      </c>
      <c r="F63" s="163"/>
      <c r="G63" s="164"/>
      <c r="H63" s="165"/>
    </row>
    <row r="64" spans="1:8" ht="15.5" x14ac:dyDescent="0.35">
      <c r="A64" s="118" t="s">
        <v>410</v>
      </c>
      <c r="B64" s="118" t="s">
        <v>355</v>
      </c>
      <c r="C64" s="118" t="s">
        <v>411</v>
      </c>
      <c r="D64" s="201">
        <v>5.532</v>
      </c>
      <c r="E64" s="202">
        <v>1414</v>
      </c>
      <c r="F64" s="163"/>
      <c r="G64" s="164"/>
      <c r="H64" s="165"/>
    </row>
    <row r="65" spans="1:8" ht="15.5" x14ac:dyDescent="0.35">
      <c r="A65" s="118" t="s">
        <v>412</v>
      </c>
      <c r="B65" s="118" t="s">
        <v>355</v>
      </c>
      <c r="C65" s="118" t="s">
        <v>413</v>
      </c>
      <c r="D65" s="201">
        <v>9.14</v>
      </c>
      <c r="E65" s="202">
        <v>3063</v>
      </c>
      <c r="F65" s="163"/>
      <c r="G65" s="164"/>
      <c r="H65" s="165"/>
    </row>
    <row r="66" spans="1:8" ht="15.5" x14ac:dyDescent="0.35">
      <c r="A66" s="118" t="s">
        <v>414</v>
      </c>
      <c r="B66" s="118" t="s">
        <v>355</v>
      </c>
      <c r="C66" s="118" t="s">
        <v>415</v>
      </c>
      <c r="D66" s="201">
        <v>12.154999999999999</v>
      </c>
      <c r="E66" s="202">
        <v>2559</v>
      </c>
      <c r="F66" s="163"/>
      <c r="G66" s="164"/>
      <c r="H66" s="165"/>
    </row>
    <row r="67" spans="1:8" ht="15.5" x14ac:dyDescent="0.35">
      <c r="A67" s="118" t="s">
        <v>416</v>
      </c>
      <c r="B67" s="118" t="s">
        <v>355</v>
      </c>
      <c r="C67" s="118" t="s">
        <v>417</v>
      </c>
      <c r="D67" s="201">
        <v>7.6909999999999998</v>
      </c>
      <c r="E67" s="202">
        <v>2426</v>
      </c>
      <c r="F67" s="163"/>
      <c r="G67" s="164"/>
      <c r="H67" s="165"/>
    </row>
    <row r="68" spans="1:8" ht="15.5" x14ac:dyDescent="0.35">
      <c r="A68" s="118" t="s">
        <v>418</v>
      </c>
      <c r="B68" s="118" t="s">
        <v>355</v>
      </c>
      <c r="C68" s="118" t="s">
        <v>419</v>
      </c>
      <c r="D68" s="201">
        <v>8.2590000000000003</v>
      </c>
      <c r="E68" s="202">
        <v>2511</v>
      </c>
      <c r="F68" s="163"/>
      <c r="G68" s="164"/>
      <c r="H68" s="165"/>
    </row>
    <row r="69" spans="1:8" ht="15.5" x14ac:dyDescent="0.35">
      <c r="A69" s="118" t="s">
        <v>420</v>
      </c>
      <c r="B69" s="118" t="s">
        <v>355</v>
      </c>
      <c r="C69" s="118" t="s">
        <v>421</v>
      </c>
      <c r="D69" s="201">
        <v>4.665</v>
      </c>
      <c r="E69" s="202">
        <v>1515</v>
      </c>
      <c r="F69" s="163"/>
      <c r="G69" s="164"/>
      <c r="H69" s="165"/>
    </row>
    <row r="70" spans="1:8" ht="15.5" x14ac:dyDescent="0.35">
      <c r="A70" s="118" t="s">
        <v>422</v>
      </c>
      <c r="B70" s="118" t="s">
        <v>355</v>
      </c>
      <c r="C70" s="118" t="s">
        <v>423</v>
      </c>
      <c r="D70" s="201">
        <v>6.4939999999999998</v>
      </c>
      <c r="E70" s="202">
        <v>2164</v>
      </c>
      <c r="F70" s="163"/>
      <c r="G70" s="164"/>
      <c r="H70" s="165"/>
    </row>
    <row r="71" spans="1:8" ht="15.5" x14ac:dyDescent="0.35">
      <c r="A71" s="118" t="s">
        <v>424</v>
      </c>
      <c r="B71" s="118" t="s">
        <v>355</v>
      </c>
      <c r="C71" s="118" t="s">
        <v>425</v>
      </c>
      <c r="D71" s="201">
        <v>3.9449999999999998</v>
      </c>
      <c r="E71" s="202">
        <v>1116</v>
      </c>
      <c r="F71" s="163"/>
      <c r="G71" s="164"/>
      <c r="H71" s="165"/>
    </row>
    <row r="72" spans="1:8" ht="15.5" x14ac:dyDescent="0.35">
      <c r="A72" s="118" t="s">
        <v>426</v>
      </c>
      <c r="B72" s="118" t="s">
        <v>355</v>
      </c>
      <c r="C72" s="118" t="s">
        <v>427</v>
      </c>
      <c r="D72" s="201">
        <v>5.1150000000000002</v>
      </c>
      <c r="E72" s="202">
        <v>1627</v>
      </c>
      <c r="F72" s="163"/>
      <c r="G72" s="164"/>
      <c r="H72" s="165"/>
    </row>
    <row r="73" spans="1:8" ht="15.5" x14ac:dyDescent="0.35">
      <c r="A73" s="118" t="s">
        <v>428</v>
      </c>
      <c r="B73" s="118" t="s">
        <v>355</v>
      </c>
      <c r="C73" s="118" t="s">
        <v>429</v>
      </c>
      <c r="D73" s="201">
        <v>10.590999999999999</v>
      </c>
      <c r="E73" s="202">
        <v>2424</v>
      </c>
      <c r="F73" s="163"/>
      <c r="G73" s="164"/>
      <c r="H73" s="165"/>
    </row>
    <row r="74" spans="1:8" ht="15.5" x14ac:dyDescent="0.35">
      <c r="A74" s="118" t="s">
        <v>430</v>
      </c>
      <c r="B74" s="118" t="s">
        <v>355</v>
      </c>
      <c r="C74" s="118" t="s">
        <v>431</v>
      </c>
      <c r="D74" s="201">
        <v>6.4370000000000003</v>
      </c>
      <c r="E74" s="202">
        <v>1793</v>
      </c>
      <c r="F74" s="163"/>
      <c r="G74" s="164"/>
      <c r="H74" s="165"/>
    </row>
    <row r="75" spans="1:8" ht="15.5" x14ac:dyDescent="0.35">
      <c r="A75" s="118" t="s">
        <v>432</v>
      </c>
      <c r="B75" s="118" t="s">
        <v>355</v>
      </c>
      <c r="C75" s="118" t="s">
        <v>433</v>
      </c>
      <c r="D75" s="201">
        <v>4.556</v>
      </c>
      <c r="E75" s="202">
        <v>1337</v>
      </c>
      <c r="F75" s="163"/>
      <c r="G75" s="164"/>
      <c r="H75" s="165"/>
    </row>
    <row r="76" spans="1:8" ht="15.5" x14ac:dyDescent="0.35">
      <c r="A76" s="118" t="s">
        <v>434</v>
      </c>
      <c r="B76" s="118" t="s">
        <v>355</v>
      </c>
      <c r="C76" s="118" t="s">
        <v>435</v>
      </c>
      <c r="D76" s="201">
        <v>3.1539999999999999</v>
      </c>
      <c r="E76" s="202">
        <v>1123</v>
      </c>
      <c r="F76" s="163"/>
      <c r="G76" s="164"/>
      <c r="H76" s="165"/>
    </row>
    <row r="77" spans="1:8" ht="15.5" x14ac:dyDescent="0.35">
      <c r="A77" s="118" t="s">
        <v>436</v>
      </c>
      <c r="B77" s="118" t="s">
        <v>355</v>
      </c>
      <c r="C77" s="118" t="s">
        <v>437</v>
      </c>
      <c r="D77" s="201">
        <v>6.6420000000000003</v>
      </c>
      <c r="E77" s="202">
        <v>2290</v>
      </c>
      <c r="F77" s="163"/>
      <c r="G77" s="164"/>
      <c r="H77" s="165"/>
    </row>
    <row r="78" spans="1:8" ht="15.5" x14ac:dyDescent="0.35">
      <c r="A78" s="118" t="s">
        <v>438</v>
      </c>
      <c r="B78" s="118" t="s">
        <v>355</v>
      </c>
      <c r="C78" s="118" t="s">
        <v>439</v>
      </c>
      <c r="D78" s="201">
        <v>10.483000000000001</v>
      </c>
      <c r="E78" s="202">
        <v>2884</v>
      </c>
      <c r="F78" s="163"/>
      <c r="G78" s="164"/>
      <c r="H78" s="165"/>
    </row>
    <row r="79" spans="1:8" ht="15.5" x14ac:dyDescent="0.35">
      <c r="A79" s="118" t="s">
        <v>440</v>
      </c>
      <c r="B79" s="118" t="s">
        <v>355</v>
      </c>
      <c r="C79" s="118" t="s">
        <v>441</v>
      </c>
      <c r="D79" s="201">
        <v>13.499000000000001</v>
      </c>
      <c r="E79" s="202">
        <v>2996</v>
      </c>
      <c r="F79" s="163"/>
      <c r="G79" s="164"/>
      <c r="H79" s="165"/>
    </row>
    <row r="80" spans="1:8" ht="15.5" x14ac:dyDescent="0.35">
      <c r="A80" s="118" t="s">
        <v>442</v>
      </c>
      <c r="B80" s="118" t="s">
        <v>355</v>
      </c>
      <c r="C80" s="118" t="s">
        <v>443</v>
      </c>
      <c r="D80" s="201">
        <v>5.907</v>
      </c>
      <c r="E80" s="202">
        <v>1560</v>
      </c>
      <c r="F80" s="163"/>
      <c r="G80" s="164"/>
      <c r="H80" s="165"/>
    </row>
    <row r="81" spans="1:8" ht="15.5" x14ac:dyDescent="0.35">
      <c r="A81" s="118" t="s">
        <v>444</v>
      </c>
      <c r="B81" s="118" t="s">
        <v>355</v>
      </c>
      <c r="C81" s="118" t="s">
        <v>445</v>
      </c>
      <c r="D81" s="201">
        <v>5.649</v>
      </c>
      <c r="E81" s="202">
        <v>1775</v>
      </c>
      <c r="F81" s="163"/>
      <c r="G81" s="164"/>
      <c r="H81" s="165"/>
    </row>
    <row r="82" spans="1:8" ht="15.5" x14ac:dyDescent="0.35">
      <c r="A82" s="118" t="s">
        <v>446</v>
      </c>
      <c r="B82" s="118" t="s">
        <v>355</v>
      </c>
      <c r="C82" s="118" t="s">
        <v>447</v>
      </c>
      <c r="D82" s="201">
        <v>11.032999999999999</v>
      </c>
      <c r="E82" s="202">
        <v>2557</v>
      </c>
      <c r="F82" s="163"/>
      <c r="G82" s="164"/>
      <c r="H82" s="165"/>
    </row>
    <row r="83" spans="1:8" ht="15.5" x14ac:dyDescent="0.35">
      <c r="A83" s="118" t="s">
        <v>448</v>
      </c>
      <c r="B83" s="118" t="s">
        <v>355</v>
      </c>
      <c r="C83" s="118" t="s">
        <v>449</v>
      </c>
      <c r="D83" s="201">
        <v>19.2</v>
      </c>
      <c r="E83" s="202">
        <v>4293</v>
      </c>
      <c r="F83" s="163"/>
      <c r="G83" s="164"/>
      <c r="H83" s="165"/>
    </row>
    <row r="84" spans="1:8" ht="15.5" x14ac:dyDescent="0.35">
      <c r="A84" s="118" t="s">
        <v>450</v>
      </c>
      <c r="B84" s="118" t="s">
        <v>355</v>
      </c>
      <c r="C84" s="118" t="s">
        <v>451</v>
      </c>
      <c r="D84" s="201">
        <v>5.9139999999999997</v>
      </c>
      <c r="E84" s="202">
        <v>1751</v>
      </c>
      <c r="F84" s="163"/>
      <c r="G84" s="164"/>
      <c r="H84" s="165"/>
    </row>
    <row r="85" spans="1:8" ht="15.5" x14ac:dyDescent="0.35">
      <c r="A85" s="118" t="s">
        <v>452</v>
      </c>
      <c r="B85" s="118" t="s">
        <v>355</v>
      </c>
      <c r="C85" s="118" t="s">
        <v>453</v>
      </c>
      <c r="D85" s="201">
        <v>13.404</v>
      </c>
      <c r="E85" s="202">
        <v>3366</v>
      </c>
      <c r="F85" s="163"/>
      <c r="G85" s="164"/>
      <c r="H85" s="165"/>
    </row>
    <row r="86" spans="1:8" ht="15.5" x14ac:dyDescent="0.35">
      <c r="A86" s="118" t="s">
        <v>454</v>
      </c>
      <c r="B86" s="118" t="s">
        <v>355</v>
      </c>
      <c r="C86" s="118" t="s">
        <v>455</v>
      </c>
      <c r="D86" s="201">
        <v>5.165</v>
      </c>
      <c r="E86" s="202">
        <v>1396</v>
      </c>
      <c r="F86" s="163"/>
      <c r="G86" s="164"/>
      <c r="H86" s="165"/>
    </row>
    <row r="87" spans="1:8" ht="15.5" x14ac:dyDescent="0.35">
      <c r="A87" s="118" t="s">
        <v>456</v>
      </c>
      <c r="B87" s="118" t="s">
        <v>355</v>
      </c>
      <c r="C87" s="118" t="s">
        <v>457</v>
      </c>
      <c r="D87" s="201">
        <v>10.09</v>
      </c>
      <c r="E87" s="202">
        <v>2466</v>
      </c>
      <c r="F87" s="163"/>
      <c r="G87" s="164"/>
      <c r="H87" s="165"/>
    </row>
    <row r="88" spans="1:8" ht="15.5" x14ac:dyDescent="0.35">
      <c r="A88" s="118" t="s">
        <v>458</v>
      </c>
      <c r="B88" s="118" t="s">
        <v>355</v>
      </c>
      <c r="C88" s="118" t="s">
        <v>459</v>
      </c>
      <c r="D88" s="201">
        <v>9.7210000000000001</v>
      </c>
      <c r="E88" s="202">
        <v>2430</v>
      </c>
      <c r="F88" s="163"/>
      <c r="G88" s="164"/>
      <c r="H88" s="165"/>
    </row>
    <row r="89" spans="1:8" ht="15.5" x14ac:dyDescent="0.35">
      <c r="A89" s="118" t="s">
        <v>460</v>
      </c>
      <c r="B89" s="118" t="s">
        <v>355</v>
      </c>
      <c r="C89" s="118" t="s">
        <v>461</v>
      </c>
      <c r="D89" s="201">
        <v>4.0229999999999997</v>
      </c>
      <c r="E89" s="202">
        <v>1349</v>
      </c>
      <c r="F89" s="163"/>
      <c r="G89" s="164"/>
      <c r="H89" s="165"/>
    </row>
    <row r="90" spans="1:8" ht="15.5" x14ac:dyDescent="0.35">
      <c r="A90" s="118" t="s">
        <v>462</v>
      </c>
      <c r="B90" s="118" t="s">
        <v>355</v>
      </c>
      <c r="C90" s="118" t="s">
        <v>463</v>
      </c>
      <c r="D90" s="201">
        <v>7.258</v>
      </c>
      <c r="E90" s="202">
        <v>1889</v>
      </c>
      <c r="F90" s="163"/>
      <c r="G90" s="164"/>
      <c r="H90" s="165"/>
    </row>
    <row r="91" spans="1:8" ht="15.5" x14ac:dyDescent="0.35">
      <c r="A91" s="118" t="s">
        <v>464</v>
      </c>
      <c r="B91" s="118" t="s">
        <v>355</v>
      </c>
      <c r="C91" s="118" t="s">
        <v>465</v>
      </c>
      <c r="D91" s="201">
        <v>9.9109999999999996</v>
      </c>
      <c r="E91" s="202">
        <v>2314</v>
      </c>
      <c r="F91" s="163"/>
      <c r="G91" s="164"/>
      <c r="H91" s="165"/>
    </row>
    <row r="92" spans="1:8" ht="15.5" x14ac:dyDescent="0.35">
      <c r="A92" s="118" t="s">
        <v>466</v>
      </c>
      <c r="B92" s="118" t="s">
        <v>355</v>
      </c>
      <c r="C92" s="118" t="s">
        <v>467</v>
      </c>
      <c r="D92" s="201">
        <v>6.9809999999999999</v>
      </c>
      <c r="E92" s="202">
        <v>1552</v>
      </c>
      <c r="F92" s="163"/>
      <c r="G92" s="164"/>
      <c r="H92" s="165"/>
    </row>
    <row r="93" spans="1:8" ht="15.5" x14ac:dyDescent="0.35">
      <c r="A93" s="118" t="s">
        <v>468</v>
      </c>
      <c r="B93" s="118" t="s">
        <v>355</v>
      </c>
      <c r="C93" s="118" t="s">
        <v>469</v>
      </c>
      <c r="D93" s="201">
        <v>6.8330000000000002</v>
      </c>
      <c r="E93" s="202">
        <v>1990</v>
      </c>
      <c r="F93" s="163"/>
      <c r="G93" s="164"/>
      <c r="H93" s="165"/>
    </row>
    <row r="94" spans="1:8" ht="15.5" x14ac:dyDescent="0.35">
      <c r="A94" s="118" t="s">
        <v>470</v>
      </c>
      <c r="B94" s="118" t="s">
        <v>355</v>
      </c>
      <c r="C94" s="118" t="s">
        <v>471</v>
      </c>
      <c r="D94" s="201">
        <v>6.37</v>
      </c>
      <c r="E94" s="202">
        <v>1976</v>
      </c>
      <c r="F94" s="163"/>
      <c r="G94" s="164"/>
      <c r="H94" s="165"/>
    </row>
    <row r="95" spans="1:8" ht="15.5" x14ac:dyDescent="0.35">
      <c r="A95" s="118" t="s">
        <v>472</v>
      </c>
      <c r="B95" s="118" t="s">
        <v>355</v>
      </c>
      <c r="C95" s="118" t="s">
        <v>473</v>
      </c>
      <c r="D95" s="201">
        <v>7.1680000000000001</v>
      </c>
      <c r="E95" s="202">
        <v>2186</v>
      </c>
      <c r="F95" s="163"/>
      <c r="G95" s="164"/>
      <c r="H95" s="165"/>
    </row>
    <row r="96" spans="1:8" ht="15.5" x14ac:dyDescent="0.35">
      <c r="A96" s="118" t="s">
        <v>474</v>
      </c>
      <c r="B96" s="118" t="s">
        <v>355</v>
      </c>
      <c r="C96" s="118" t="s">
        <v>475</v>
      </c>
      <c r="D96" s="201">
        <v>6.6950000000000003</v>
      </c>
      <c r="E96" s="202">
        <v>2305</v>
      </c>
      <c r="F96" s="163"/>
      <c r="G96" s="164"/>
      <c r="H96" s="165"/>
    </row>
    <row r="97" spans="1:8" ht="15.5" x14ac:dyDescent="0.35">
      <c r="A97" s="118" t="s">
        <v>476</v>
      </c>
      <c r="B97" s="118" t="s">
        <v>355</v>
      </c>
      <c r="C97" s="118" t="s">
        <v>477</v>
      </c>
      <c r="D97" s="201">
        <v>4.6879999999999997</v>
      </c>
      <c r="E97" s="202">
        <v>1270</v>
      </c>
      <c r="F97" s="163"/>
      <c r="G97" s="164"/>
      <c r="H97" s="165"/>
    </row>
    <row r="98" spans="1:8" ht="15.5" x14ac:dyDescent="0.35">
      <c r="A98" s="118" t="s">
        <v>478</v>
      </c>
      <c r="B98" s="118" t="s">
        <v>355</v>
      </c>
      <c r="C98" s="118" t="s">
        <v>479</v>
      </c>
      <c r="D98" s="201">
        <v>11.651999999999999</v>
      </c>
      <c r="E98" s="202">
        <v>2558</v>
      </c>
      <c r="F98" s="163"/>
      <c r="G98" s="164"/>
      <c r="H98" s="165"/>
    </row>
    <row r="99" spans="1:8" ht="15.5" x14ac:dyDescent="0.35">
      <c r="A99" s="118" t="s">
        <v>480</v>
      </c>
      <c r="B99" s="118" t="s">
        <v>355</v>
      </c>
      <c r="C99" s="118" t="s">
        <v>481</v>
      </c>
      <c r="D99" s="201">
        <v>6.0369999999999999</v>
      </c>
      <c r="E99" s="202">
        <v>1661</v>
      </c>
      <c r="F99" s="163"/>
      <c r="G99" s="164"/>
      <c r="H99" s="165"/>
    </row>
    <row r="100" spans="1:8" ht="15.5" x14ac:dyDescent="0.35">
      <c r="A100" s="118" t="s">
        <v>482</v>
      </c>
      <c r="B100" s="118" t="s">
        <v>355</v>
      </c>
      <c r="C100" s="118" t="s">
        <v>483</v>
      </c>
      <c r="D100" s="201">
        <v>9.4309999999999992</v>
      </c>
      <c r="E100" s="202">
        <v>3056</v>
      </c>
      <c r="F100" s="163"/>
      <c r="G100" s="164"/>
      <c r="H100" s="165"/>
    </row>
    <row r="101" spans="1:8" ht="15.5" x14ac:dyDescent="0.35">
      <c r="A101" s="118" t="s">
        <v>484</v>
      </c>
      <c r="B101" s="118" t="s">
        <v>355</v>
      </c>
      <c r="C101" s="118" t="s">
        <v>485</v>
      </c>
      <c r="D101" s="201">
        <v>8.3829999999999991</v>
      </c>
      <c r="E101" s="202">
        <v>2226</v>
      </c>
      <c r="F101" s="163"/>
      <c r="G101" s="164"/>
      <c r="H101" s="165"/>
    </row>
    <row r="102" spans="1:8" ht="15.5" x14ac:dyDescent="0.35">
      <c r="A102" s="118" t="s">
        <v>486</v>
      </c>
      <c r="B102" s="118" t="s">
        <v>355</v>
      </c>
      <c r="C102" s="118" t="s">
        <v>487</v>
      </c>
      <c r="D102" s="201">
        <v>9.3989999999999991</v>
      </c>
      <c r="E102" s="202">
        <v>2339</v>
      </c>
      <c r="F102" s="163"/>
      <c r="G102" s="164"/>
      <c r="H102" s="165"/>
    </row>
    <row r="103" spans="1:8" ht="15.5" x14ac:dyDescent="0.35">
      <c r="A103" s="118" t="s">
        <v>488</v>
      </c>
      <c r="B103" s="118" t="s">
        <v>355</v>
      </c>
      <c r="C103" s="118" t="s">
        <v>489</v>
      </c>
      <c r="D103" s="201">
        <v>22.256</v>
      </c>
      <c r="E103" s="202">
        <v>5132</v>
      </c>
      <c r="F103" s="163"/>
      <c r="G103" s="164"/>
      <c r="H103" s="165"/>
    </row>
    <row r="104" spans="1:8" ht="15.5" x14ac:dyDescent="0.35">
      <c r="A104" s="118" t="s">
        <v>490</v>
      </c>
      <c r="B104" s="118" t="s">
        <v>355</v>
      </c>
      <c r="C104" s="118" t="s">
        <v>491</v>
      </c>
      <c r="D104" s="201">
        <v>9.6029999999999998</v>
      </c>
      <c r="E104" s="202">
        <v>2279</v>
      </c>
      <c r="F104" s="163"/>
      <c r="G104" s="164"/>
      <c r="H104" s="165"/>
    </row>
    <row r="105" spans="1:8" ht="15.5" x14ac:dyDescent="0.35">
      <c r="A105" s="118" t="s">
        <v>492</v>
      </c>
      <c r="B105" s="118" t="s">
        <v>355</v>
      </c>
      <c r="C105" s="118" t="s">
        <v>493</v>
      </c>
      <c r="D105" s="201">
        <v>7.2380000000000004</v>
      </c>
      <c r="E105" s="202">
        <v>2064</v>
      </c>
      <c r="F105" s="163"/>
      <c r="G105" s="164"/>
      <c r="H105" s="165"/>
    </row>
    <row r="106" spans="1:8" ht="15.5" x14ac:dyDescent="0.35">
      <c r="A106" s="118" t="s">
        <v>494</v>
      </c>
      <c r="B106" s="118" t="s">
        <v>355</v>
      </c>
      <c r="C106" s="118" t="s">
        <v>495</v>
      </c>
      <c r="D106" s="201">
        <v>5.8550000000000004</v>
      </c>
      <c r="E106" s="202">
        <v>1737</v>
      </c>
      <c r="F106" s="163"/>
      <c r="G106" s="164"/>
      <c r="H106" s="165"/>
    </row>
    <row r="107" spans="1:8" ht="15.5" x14ac:dyDescent="0.35">
      <c r="A107" s="118" t="s">
        <v>496</v>
      </c>
      <c r="B107" s="118" t="s">
        <v>355</v>
      </c>
      <c r="C107" s="118" t="s">
        <v>497</v>
      </c>
      <c r="D107" s="201">
        <v>8.3670000000000009</v>
      </c>
      <c r="E107" s="202">
        <v>1937</v>
      </c>
      <c r="F107" s="163"/>
      <c r="G107" s="164"/>
      <c r="H107" s="165"/>
    </row>
    <row r="108" spans="1:8" ht="15.5" x14ac:dyDescent="0.35">
      <c r="A108" s="118" t="s">
        <v>498</v>
      </c>
      <c r="B108" s="118" t="s">
        <v>355</v>
      </c>
      <c r="C108" s="118" t="s">
        <v>499</v>
      </c>
      <c r="D108" s="201">
        <v>6.5430000000000001</v>
      </c>
      <c r="E108" s="202">
        <v>1875</v>
      </c>
      <c r="F108" s="163"/>
      <c r="G108" s="164"/>
      <c r="H108" s="165"/>
    </row>
    <row r="109" spans="1:8" ht="15.5" x14ac:dyDescent="0.35">
      <c r="A109" s="118" t="s">
        <v>500</v>
      </c>
      <c r="B109" s="118" t="s">
        <v>355</v>
      </c>
      <c r="C109" s="118" t="s">
        <v>501</v>
      </c>
      <c r="D109" s="201">
        <v>5.4509999999999996</v>
      </c>
      <c r="E109" s="202">
        <v>1798</v>
      </c>
      <c r="F109" s="163"/>
      <c r="G109" s="164"/>
      <c r="H109" s="165"/>
    </row>
    <row r="110" spans="1:8" ht="15.5" x14ac:dyDescent="0.35">
      <c r="A110" s="203" t="s">
        <v>502</v>
      </c>
      <c r="B110" s="203" t="s">
        <v>503</v>
      </c>
      <c r="C110" s="118"/>
      <c r="D110" s="201">
        <v>0</v>
      </c>
      <c r="E110" s="202">
        <v>0</v>
      </c>
      <c r="F110" s="163"/>
      <c r="G110" s="164"/>
      <c r="H110" s="165"/>
    </row>
    <row r="111" spans="1:8" ht="15.5" x14ac:dyDescent="0.35">
      <c r="A111" s="118" t="s">
        <v>504</v>
      </c>
      <c r="B111" s="118" t="s">
        <v>503</v>
      </c>
      <c r="C111" s="118" t="s">
        <v>505</v>
      </c>
      <c r="D111" s="201">
        <v>11.763999999999999</v>
      </c>
      <c r="E111" s="202">
        <v>3299</v>
      </c>
      <c r="F111" s="163"/>
      <c r="G111" s="164"/>
      <c r="H111" s="165"/>
    </row>
    <row r="112" spans="1:8" ht="15.5" x14ac:dyDescent="0.35">
      <c r="A112" s="118" t="s">
        <v>506</v>
      </c>
      <c r="B112" s="118" t="s">
        <v>503</v>
      </c>
      <c r="C112" s="118" t="s">
        <v>507</v>
      </c>
      <c r="D112" s="201">
        <v>10.983000000000001</v>
      </c>
      <c r="E112" s="202">
        <v>3250</v>
      </c>
      <c r="F112" s="163"/>
      <c r="G112" s="164"/>
      <c r="H112" s="165"/>
    </row>
    <row r="113" spans="1:8" ht="15.5" x14ac:dyDescent="0.35">
      <c r="A113" s="118" t="s">
        <v>508</v>
      </c>
      <c r="B113" s="118" t="s">
        <v>503</v>
      </c>
      <c r="C113" s="118" t="s">
        <v>509</v>
      </c>
      <c r="D113" s="201">
        <v>13.167</v>
      </c>
      <c r="E113" s="202">
        <v>3028</v>
      </c>
      <c r="F113" s="163"/>
      <c r="G113" s="164"/>
      <c r="H113" s="165"/>
    </row>
    <row r="114" spans="1:8" ht="15.5" x14ac:dyDescent="0.35">
      <c r="A114" s="118" t="s">
        <v>510</v>
      </c>
      <c r="B114" s="118" t="s">
        <v>503</v>
      </c>
      <c r="C114" s="118" t="s">
        <v>511</v>
      </c>
      <c r="D114" s="201">
        <v>3.8330000000000002</v>
      </c>
      <c r="E114" s="202">
        <v>1093</v>
      </c>
      <c r="F114" s="163"/>
      <c r="G114" s="164"/>
      <c r="H114" s="165"/>
    </row>
    <row r="115" spans="1:8" ht="15.5" x14ac:dyDescent="0.35">
      <c r="A115" s="118" t="s">
        <v>512</v>
      </c>
      <c r="B115" s="118" t="s">
        <v>503</v>
      </c>
      <c r="C115" s="118" t="s">
        <v>513</v>
      </c>
      <c r="D115" s="201">
        <v>5.8879999999999999</v>
      </c>
      <c r="E115" s="202">
        <v>1520</v>
      </c>
      <c r="F115" s="163"/>
      <c r="G115" s="164"/>
      <c r="H115" s="165"/>
    </row>
    <row r="116" spans="1:8" ht="15.5" x14ac:dyDescent="0.35">
      <c r="A116" s="118" t="s">
        <v>514</v>
      </c>
      <c r="B116" s="118" t="s">
        <v>503</v>
      </c>
      <c r="C116" s="118" t="s">
        <v>515</v>
      </c>
      <c r="D116" s="201">
        <v>4.0759999999999996</v>
      </c>
      <c r="E116" s="202">
        <v>1073</v>
      </c>
      <c r="F116" s="163"/>
      <c r="G116" s="164"/>
      <c r="H116" s="165"/>
    </row>
    <row r="117" spans="1:8" ht="15.5" x14ac:dyDescent="0.35">
      <c r="A117" s="118" t="s">
        <v>516</v>
      </c>
      <c r="B117" s="118" t="s">
        <v>503</v>
      </c>
      <c r="C117" s="118" t="s">
        <v>517</v>
      </c>
      <c r="D117" s="201">
        <v>14.835000000000001</v>
      </c>
      <c r="E117" s="202">
        <v>3268</v>
      </c>
      <c r="F117" s="163"/>
      <c r="G117" s="164"/>
      <c r="H117" s="165"/>
    </row>
    <row r="118" spans="1:8" ht="15.5" x14ac:dyDescent="0.35">
      <c r="A118" s="118" t="s">
        <v>518</v>
      </c>
      <c r="B118" s="118" t="s">
        <v>503</v>
      </c>
      <c r="C118" s="118" t="s">
        <v>519</v>
      </c>
      <c r="D118" s="201">
        <v>16.227</v>
      </c>
      <c r="E118" s="202">
        <v>3747</v>
      </c>
      <c r="F118" s="163"/>
      <c r="G118" s="164"/>
      <c r="H118" s="165"/>
    </row>
    <row r="119" spans="1:8" ht="15.5" x14ac:dyDescent="0.35">
      <c r="A119" s="118" t="s">
        <v>520</v>
      </c>
      <c r="B119" s="118" t="s">
        <v>503</v>
      </c>
      <c r="C119" s="118" t="s">
        <v>521</v>
      </c>
      <c r="D119" s="201">
        <v>9.58</v>
      </c>
      <c r="E119" s="202">
        <v>2273</v>
      </c>
      <c r="F119" s="163"/>
      <c r="G119" s="164"/>
      <c r="H119" s="165"/>
    </row>
    <row r="120" spans="1:8" ht="15.5" x14ac:dyDescent="0.35">
      <c r="A120" s="118" t="s">
        <v>522</v>
      </c>
      <c r="B120" s="118" t="s">
        <v>503</v>
      </c>
      <c r="C120" s="118" t="s">
        <v>523</v>
      </c>
      <c r="D120" s="201">
        <v>9.9589999999999996</v>
      </c>
      <c r="E120" s="202">
        <v>2481</v>
      </c>
      <c r="F120" s="163"/>
      <c r="G120" s="164"/>
      <c r="H120" s="165"/>
    </row>
    <row r="121" spans="1:8" ht="15.5" x14ac:dyDescent="0.35">
      <c r="A121" s="118" t="s">
        <v>524</v>
      </c>
      <c r="B121" s="118" t="s">
        <v>503</v>
      </c>
      <c r="C121" s="118" t="s">
        <v>525</v>
      </c>
      <c r="D121" s="201">
        <v>6.7130000000000001</v>
      </c>
      <c r="E121" s="202">
        <v>1778</v>
      </c>
      <c r="F121" s="163"/>
      <c r="G121" s="164"/>
      <c r="H121" s="165"/>
    </row>
    <row r="122" spans="1:8" ht="15.5" x14ac:dyDescent="0.35">
      <c r="A122" s="118" t="s">
        <v>526</v>
      </c>
      <c r="B122" s="118" t="s">
        <v>503</v>
      </c>
      <c r="C122" s="118" t="s">
        <v>527</v>
      </c>
      <c r="D122" s="201">
        <v>12.24</v>
      </c>
      <c r="E122" s="202">
        <v>3249</v>
      </c>
      <c r="F122" s="163"/>
      <c r="G122" s="164"/>
      <c r="H122" s="165"/>
    </row>
    <row r="123" spans="1:8" ht="15.5" x14ac:dyDescent="0.35">
      <c r="A123" s="118" t="s">
        <v>528</v>
      </c>
      <c r="B123" s="118" t="s">
        <v>503</v>
      </c>
      <c r="C123" s="118" t="s">
        <v>529</v>
      </c>
      <c r="D123" s="201">
        <v>17.454999999999998</v>
      </c>
      <c r="E123" s="202">
        <v>4239</v>
      </c>
      <c r="F123" s="163"/>
      <c r="G123" s="164"/>
      <c r="H123" s="165"/>
    </row>
    <row r="124" spans="1:8" ht="15.5" x14ac:dyDescent="0.35">
      <c r="A124" s="118" t="s">
        <v>530</v>
      </c>
      <c r="B124" s="118" t="s">
        <v>503</v>
      </c>
      <c r="C124" s="118" t="s">
        <v>531</v>
      </c>
      <c r="D124" s="201">
        <v>11.641</v>
      </c>
      <c r="E124" s="202">
        <v>3274</v>
      </c>
      <c r="F124" s="163"/>
      <c r="G124" s="164"/>
      <c r="H124" s="165"/>
    </row>
    <row r="125" spans="1:8" ht="15.5" x14ac:dyDescent="0.35">
      <c r="A125" s="118" t="s">
        <v>532</v>
      </c>
      <c r="B125" s="118" t="s">
        <v>503</v>
      </c>
      <c r="C125" s="118" t="s">
        <v>533</v>
      </c>
      <c r="D125" s="201">
        <v>17.335999999999999</v>
      </c>
      <c r="E125" s="202">
        <v>3773</v>
      </c>
      <c r="F125" s="163"/>
      <c r="G125" s="164"/>
      <c r="H125" s="165"/>
    </row>
    <row r="126" spans="1:8" ht="15.5" x14ac:dyDescent="0.35">
      <c r="A126" s="118" t="s">
        <v>534</v>
      </c>
      <c r="B126" s="118" t="s">
        <v>503</v>
      </c>
      <c r="C126" s="118" t="s">
        <v>535</v>
      </c>
      <c r="D126" s="201">
        <v>7.9459999999999997</v>
      </c>
      <c r="E126" s="202">
        <v>2092</v>
      </c>
      <c r="F126" s="163"/>
      <c r="G126" s="164"/>
      <c r="H126" s="165"/>
    </row>
    <row r="127" spans="1:8" ht="15.5" x14ac:dyDescent="0.35">
      <c r="A127" s="118" t="s">
        <v>536</v>
      </c>
      <c r="B127" s="118" t="s">
        <v>503</v>
      </c>
      <c r="C127" s="118" t="s">
        <v>537</v>
      </c>
      <c r="D127" s="201">
        <v>7.282</v>
      </c>
      <c r="E127" s="202">
        <v>1773</v>
      </c>
      <c r="F127" s="163"/>
      <c r="G127" s="164"/>
      <c r="H127" s="165"/>
    </row>
    <row r="128" spans="1:8" ht="15.5" x14ac:dyDescent="0.35">
      <c r="A128" s="118" t="s">
        <v>538</v>
      </c>
      <c r="B128" s="118" t="s">
        <v>503</v>
      </c>
      <c r="C128" s="118" t="s">
        <v>539</v>
      </c>
      <c r="D128" s="201">
        <v>7.806</v>
      </c>
      <c r="E128" s="202">
        <v>2075</v>
      </c>
      <c r="F128" s="163"/>
      <c r="G128" s="164"/>
      <c r="H128" s="165"/>
    </row>
    <row r="129" spans="1:8" ht="15.5" x14ac:dyDescent="0.35">
      <c r="A129" s="118" t="s">
        <v>540</v>
      </c>
      <c r="B129" s="118" t="s">
        <v>503</v>
      </c>
      <c r="C129" s="118" t="s">
        <v>541</v>
      </c>
      <c r="D129" s="201">
        <v>7.4260000000000002</v>
      </c>
      <c r="E129" s="202">
        <v>2137</v>
      </c>
      <c r="F129" s="163"/>
      <c r="G129" s="164"/>
      <c r="H129" s="165"/>
    </row>
    <row r="130" spans="1:8" ht="15.5" x14ac:dyDescent="0.35">
      <c r="A130" s="118" t="s">
        <v>542</v>
      </c>
      <c r="B130" s="118" t="s">
        <v>503</v>
      </c>
      <c r="C130" s="118" t="s">
        <v>543</v>
      </c>
      <c r="D130" s="201">
        <v>7.726</v>
      </c>
      <c r="E130" s="202">
        <v>1878</v>
      </c>
      <c r="F130" s="163"/>
      <c r="G130" s="164"/>
      <c r="H130" s="165"/>
    </row>
    <row r="131" spans="1:8" ht="15.5" x14ac:dyDescent="0.35">
      <c r="A131" s="118" t="s">
        <v>544</v>
      </c>
      <c r="B131" s="118" t="s">
        <v>503</v>
      </c>
      <c r="C131" s="118" t="s">
        <v>545</v>
      </c>
      <c r="D131" s="201">
        <v>6.64</v>
      </c>
      <c r="E131" s="202">
        <v>1954</v>
      </c>
      <c r="F131" s="163"/>
      <c r="G131" s="164"/>
      <c r="H131" s="165"/>
    </row>
    <row r="132" spans="1:8" ht="15.5" x14ac:dyDescent="0.35">
      <c r="A132" s="118" t="s">
        <v>546</v>
      </c>
      <c r="B132" s="118" t="s">
        <v>503</v>
      </c>
      <c r="C132" s="118" t="s">
        <v>547</v>
      </c>
      <c r="D132" s="201">
        <v>6.6669999999999998</v>
      </c>
      <c r="E132" s="202">
        <v>1783</v>
      </c>
      <c r="F132" s="163"/>
      <c r="G132" s="164"/>
      <c r="H132" s="165"/>
    </row>
    <row r="133" spans="1:8" ht="15.5" x14ac:dyDescent="0.35">
      <c r="A133" s="118" t="s">
        <v>548</v>
      </c>
      <c r="B133" s="118" t="s">
        <v>503</v>
      </c>
      <c r="C133" s="118" t="s">
        <v>549</v>
      </c>
      <c r="D133" s="201">
        <v>5.9429999999999996</v>
      </c>
      <c r="E133" s="202">
        <v>1577</v>
      </c>
      <c r="F133" s="163"/>
      <c r="G133" s="164"/>
      <c r="H133" s="165"/>
    </row>
    <row r="134" spans="1:8" ht="15.5" x14ac:dyDescent="0.35">
      <c r="A134" s="118" t="s">
        <v>550</v>
      </c>
      <c r="B134" s="118" t="s">
        <v>503</v>
      </c>
      <c r="C134" s="118" t="s">
        <v>551</v>
      </c>
      <c r="D134" s="201">
        <v>3.03</v>
      </c>
      <c r="E134" s="202">
        <v>846</v>
      </c>
      <c r="F134" s="163"/>
      <c r="G134" s="164"/>
      <c r="H134" s="165"/>
    </row>
    <row r="135" spans="1:8" ht="15.5" x14ac:dyDescent="0.35">
      <c r="A135" s="118" t="s">
        <v>552</v>
      </c>
      <c r="B135" s="118" t="s">
        <v>503</v>
      </c>
      <c r="C135" s="118" t="s">
        <v>553</v>
      </c>
      <c r="D135" s="201">
        <v>6.8239999999999998</v>
      </c>
      <c r="E135" s="202">
        <v>1971</v>
      </c>
      <c r="F135" s="163"/>
      <c r="G135" s="164"/>
      <c r="H135" s="165"/>
    </row>
    <row r="136" spans="1:8" ht="15.5" x14ac:dyDescent="0.35">
      <c r="A136" s="118" t="s">
        <v>554</v>
      </c>
      <c r="B136" s="118" t="s">
        <v>503</v>
      </c>
      <c r="C136" s="118" t="s">
        <v>555</v>
      </c>
      <c r="D136" s="201">
        <v>5.8230000000000004</v>
      </c>
      <c r="E136" s="202">
        <v>1555</v>
      </c>
      <c r="F136" s="163"/>
      <c r="G136" s="164"/>
      <c r="H136" s="165"/>
    </row>
    <row r="137" spans="1:8" ht="15.5" x14ac:dyDescent="0.35">
      <c r="A137" s="118" t="s">
        <v>556</v>
      </c>
      <c r="B137" s="118" t="s">
        <v>503</v>
      </c>
      <c r="C137" s="118" t="s">
        <v>557</v>
      </c>
      <c r="D137" s="201">
        <v>7.9930000000000003</v>
      </c>
      <c r="E137" s="202">
        <v>1932</v>
      </c>
      <c r="F137" s="163"/>
      <c r="G137" s="164"/>
      <c r="H137" s="165"/>
    </row>
    <row r="138" spans="1:8" ht="15.5" x14ac:dyDescent="0.35">
      <c r="A138" s="118" t="s">
        <v>558</v>
      </c>
      <c r="B138" s="118" t="s">
        <v>503</v>
      </c>
      <c r="C138" s="118" t="s">
        <v>559</v>
      </c>
      <c r="D138" s="201">
        <v>4.8840000000000003</v>
      </c>
      <c r="E138" s="202">
        <v>1560</v>
      </c>
      <c r="F138" s="163"/>
      <c r="G138" s="164"/>
      <c r="H138" s="165"/>
    </row>
    <row r="139" spans="1:8" ht="15.5" x14ac:dyDescent="0.35">
      <c r="A139" s="118" t="s">
        <v>560</v>
      </c>
      <c r="B139" s="118" t="s">
        <v>503</v>
      </c>
      <c r="C139" s="118" t="s">
        <v>561</v>
      </c>
      <c r="D139" s="201">
        <v>7.3650000000000002</v>
      </c>
      <c r="E139" s="202">
        <v>1847</v>
      </c>
      <c r="F139" s="163"/>
      <c r="G139" s="164"/>
      <c r="H139" s="165"/>
    </row>
    <row r="140" spans="1:8" ht="15.5" x14ac:dyDescent="0.35">
      <c r="A140" s="118" t="s">
        <v>562</v>
      </c>
      <c r="B140" s="118" t="s">
        <v>503</v>
      </c>
      <c r="C140" s="118" t="s">
        <v>563</v>
      </c>
      <c r="D140" s="201">
        <v>4.7350000000000003</v>
      </c>
      <c r="E140" s="202">
        <v>1360</v>
      </c>
      <c r="F140" s="163"/>
      <c r="G140" s="164"/>
      <c r="H140" s="165"/>
    </row>
    <row r="141" spans="1:8" ht="15.5" x14ac:dyDescent="0.35">
      <c r="A141" s="118" t="s">
        <v>564</v>
      </c>
      <c r="B141" s="118" t="s">
        <v>503</v>
      </c>
      <c r="C141" s="118" t="s">
        <v>565</v>
      </c>
      <c r="D141" s="201">
        <v>12.42</v>
      </c>
      <c r="E141" s="202">
        <v>3558</v>
      </c>
      <c r="F141" s="163"/>
      <c r="G141" s="164"/>
      <c r="H141" s="165"/>
    </row>
    <row r="142" spans="1:8" ht="15.5" x14ac:dyDescent="0.35">
      <c r="A142" s="118" t="s">
        <v>566</v>
      </c>
      <c r="B142" s="118" t="s">
        <v>503</v>
      </c>
      <c r="C142" s="118" t="s">
        <v>567</v>
      </c>
      <c r="D142" s="201">
        <v>10.519</v>
      </c>
      <c r="E142" s="202">
        <v>2680</v>
      </c>
      <c r="F142" s="163"/>
      <c r="G142" s="164"/>
      <c r="H142" s="165"/>
    </row>
    <row r="143" spans="1:8" ht="15.5" x14ac:dyDescent="0.35">
      <c r="A143" s="118" t="s">
        <v>568</v>
      </c>
      <c r="B143" s="118" t="s">
        <v>503</v>
      </c>
      <c r="C143" s="118" t="s">
        <v>569</v>
      </c>
      <c r="D143" s="201">
        <v>11.597</v>
      </c>
      <c r="E143" s="202">
        <v>2944</v>
      </c>
      <c r="F143" s="163"/>
      <c r="G143" s="164"/>
      <c r="H143" s="165"/>
    </row>
    <row r="144" spans="1:8" ht="15.5" x14ac:dyDescent="0.35">
      <c r="A144" s="118" t="s">
        <v>570</v>
      </c>
      <c r="B144" s="118" t="s">
        <v>503</v>
      </c>
      <c r="C144" s="118" t="s">
        <v>571</v>
      </c>
      <c r="D144" s="201">
        <v>10.068</v>
      </c>
      <c r="E144" s="202">
        <v>2657</v>
      </c>
      <c r="F144" s="163"/>
      <c r="G144" s="164"/>
      <c r="H144" s="165"/>
    </row>
    <row r="145" spans="1:8" ht="15.5" x14ac:dyDescent="0.35">
      <c r="A145" s="118" t="s">
        <v>572</v>
      </c>
      <c r="B145" s="118" t="s">
        <v>503</v>
      </c>
      <c r="C145" s="118" t="s">
        <v>573</v>
      </c>
      <c r="D145" s="201">
        <v>10.039</v>
      </c>
      <c r="E145" s="202">
        <v>2727</v>
      </c>
      <c r="F145" s="163"/>
      <c r="G145" s="164"/>
      <c r="H145" s="165"/>
    </row>
    <row r="146" spans="1:8" ht="15.5" x14ac:dyDescent="0.35">
      <c r="A146" s="118" t="s">
        <v>574</v>
      </c>
      <c r="B146" s="118" t="s">
        <v>503</v>
      </c>
      <c r="C146" s="118" t="s">
        <v>575</v>
      </c>
      <c r="D146" s="201">
        <v>18.905000000000001</v>
      </c>
      <c r="E146" s="202">
        <v>4186</v>
      </c>
      <c r="F146" s="163"/>
      <c r="G146" s="164"/>
      <c r="H146" s="165"/>
    </row>
    <row r="147" spans="1:8" ht="15.5" x14ac:dyDescent="0.35">
      <c r="A147" s="118" t="s">
        <v>576</v>
      </c>
      <c r="B147" s="118" t="s">
        <v>503</v>
      </c>
      <c r="C147" s="118" t="s">
        <v>577</v>
      </c>
      <c r="D147" s="201">
        <v>11.738</v>
      </c>
      <c r="E147" s="202">
        <v>3037</v>
      </c>
      <c r="F147" s="163"/>
      <c r="G147" s="164"/>
      <c r="H147" s="165"/>
    </row>
    <row r="148" spans="1:8" ht="15.5" x14ac:dyDescent="0.35">
      <c r="A148" s="118" t="s">
        <v>578</v>
      </c>
      <c r="B148" s="118" t="s">
        <v>503</v>
      </c>
      <c r="C148" s="118" t="s">
        <v>579</v>
      </c>
      <c r="D148" s="201">
        <v>8.7829999999999995</v>
      </c>
      <c r="E148" s="202">
        <v>2912</v>
      </c>
      <c r="F148" s="163"/>
      <c r="G148" s="164"/>
      <c r="H148" s="165"/>
    </row>
    <row r="149" spans="1:8" ht="15.5" x14ac:dyDescent="0.35">
      <c r="A149" s="118" t="s">
        <v>580</v>
      </c>
      <c r="B149" s="118" t="s">
        <v>503</v>
      </c>
      <c r="C149" s="118" t="s">
        <v>581</v>
      </c>
      <c r="D149" s="201">
        <v>11.512</v>
      </c>
      <c r="E149" s="202">
        <v>2997</v>
      </c>
      <c r="F149" s="163"/>
      <c r="G149" s="164"/>
      <c r="H149" s="165"/>
    </row>
    <row r="150" spans="1:8" ht="15.5" x14ac:dyDescent="0.35">
      <c r="A150" s="118" t="s">
        <v>582</v>
      </c>
      <c r="B150" s="118" t="s">
        <v>503</v>
      </c>
      <c r="C150" s="118" t="s">
        <v>583</v>
      </c>
      <c r="D150" s="201">
        <v>17.181999999999999</v>
      </c>
      <c r="E150" s="202">
        <v>4538</v>
      </c>
      <c r="F150" s="163"/>
      <c r="G150" s="164"/>
      <c r="H150" s="165"/>
    </row>
    <row r="151" spans="1:8" ht="15.5" x14ac:dyDescent="0.35">
      <c r="A151" s="118" t="s">
        <v>584</v>
      </c>
      <c r="B151" s="118" t="s">
        <v>503</v>
      </c>
      <c r="C151" s="118" t="s">
        <v>585</v>
      </c>
      <c r="D151" s="201">
        <v>17.242999999999999</v>
      </c>
      <c r="E151" s="202">
        <v>3898</v>
      </c>
      <c r="F151" s="163"/>
      <c r="G151" s="164"/>
      <c r="H151" s="165"/>
    </row>
    <row r="152" spans="1:8" ht="15.5" x14ac:dyDescent="0.35">
      <c r="A152" s="118" t="s">
        <v>586</v>
      </c>
      <c r="B152" s="118" t="s">
        <v>503</v>
      </c>
      <c r="C152" s="118" t="s">
        <v>587</v>
      </c>
      <c r="D152" s="201">
        <v>6.883</v>
      </c>
      <c r="E152" s="202">
        <v>2103</v>
      </c>
      <c r="F152" s="163"/>
      <c r="G152" s="164"/>
      <c r="H152" s="165"/>
    </row>
    <row r="153" spans="1:8" ht="15.5" x14ac:dyDescent="0.35">
      <c r="A153" s="118" t="s">
        <v>588</v>
      </c>
      <c r="B153" s="118" t="s">
        <v>503</v>
      </c>
      <c r="C153" s="118" t="s">
        <v>589</v>
      </c>
      <c r="D153" s="201">
        <v>2.9239999999999999</v>
      </c>
      <c r="E153" s="202">
        <v>765</v>
      </c>
      <c r="F153" s="163"/>
      <c r="G153" s="164"/>
      <c r="H153" s="165"/>
    </row>
    <row r="154" spans="1:8" ht="15.5" x14ac:dyDescent="0.35">
      <c r="A154" s="118" t="s">
        <v>590</v>
      </c>
      <c r="B154" s="118" t="s">
        <v>503</v>
      </c>
      <c r="C154" s="118" t="s">
        <v>591</v>
      </c>
      <c r="D154" s="201">
        <v>10.635999999999999</v>
      </c>
      <c r="E154" s="202">
        <v>2532</v>
      </c>
      <c r="F154" s="163"/>
      <c r="G154" s="164"/>
      <c r="H154" s="165"/>
    </row>
    <row r="155" spans="1:8" ht="15.5" x14ac:dyDescent="0.35">
      <c r="A155" s="118" t="s">
        <v>592</v>
      </c>
      <c r="B155" s="118" t="s">
        <v>503</v>
      </c>
      <c r="C155" s="118" t="s">
        <v>593</v>
      </c>
      <c r="D155" s="201">
        <v>5.3440000000000003</v>
      </c>
      <c r="E155" s="202">
        <v>1785</v>
      </c>
      <c r="F155" s="163"/>
      <c r="G155" s="164"/>
      <c r="H155" s="165"/>
    </row>
    <row r="156" spans="1:8" ht="15.5" x14ac:dyDescent="0.35">
      <c r="A156" s="118" t="s">
        <v>594</v>
      </c>
      <c r="B156" s="118" t="s">
        <v>503</v>
      </c>
      <c r="C156" s="118" t="s">
        <v>595</v>
      </c>
      <c r="D156" s="201">
        <v>8.1199999999999992</v>
      </c>
      <c r="E156" s="202">
        <v>2187</v>
      </c>
      <c r="F156" s="163"/>
      <c r="G156" s="164"/>
      <c r="H156" s="165"/>
    </row>
    <row r="157" spans="1:8" ht="15.5" x14ac:dyDescent="0.35">
      <c r="A157" s="118" t="s">
        <v>596</v>
      </c>
      <c r="B157" s="118" t="s">
        <v>503</v>
      </c>
      <c r="C157" s="118" t="s">
        <v>597</v>
      </c>
      <c r="D157" s="201">
        <v>7.3550000000000004</v>
      </c>
      <c r="E157" s="202">
        <v>1745</v>
      </c>
      <c r="F157" s="163"/>
      <c r="G157" s="164"/>
      <c r="H157" s="165"/>
    </row>
    <row r="158" spans="1:8" ht="15.5" x14ac:dyDescent="0.35">
      <c r="A158" s="118" t="s">
        <v>598</v>
      </c>
      <c r="B158" s="118" t="s">
        <v>503</v>
      </c>
      <c r="C158" s="118" t="s">
        <v>599</v>
      </c>
      <c r="D158" s="201">
        <v>16.645</v>
      </c>
      <c r="E158" s="202">
        <v>3578</v>
      </c>
      <c r="F158" s="163"/>
      <c r="G158" s="164"/>
      <c r="H158" s="165"/>
    </row>
    <row r="159" spans="1:8" ht="15.5" x14ac:dyDescent="0.35">
      <c r="A159" s="118" t="s">
        <v>600</v>
      </c>
      <c r="B159" s="118" t="s">
        <v>503</v>
      </c>
      <c r="C159" s="118" t="s">
        <v>601</v>
      </c>
      <c r="D159" s="201">
        <v>7.6589999999999998</v>
      </c>
      <c r="E159" s="202">
        <v>2169</v>
      </c>
      <c r="F159" s="163"/>
      <c r="G159" s="164"/>
      <c r="H159" s="165"/>
    </row>
    <row r="160" spans="1:8" ht="15.5" x14ac:dyDescent="0.35">
      <c r="A160" s="118" t="s">
        <v>602</v>
      </c>
      <c r="B160" s="118" t="s">
        <v>503</v>
      </c>
      <c r="C160" s="118" t="s">
        <v>603</v>
      </c>
      <c r="D160" s="201">
        <v>22.591999999999999</v>
      </c>
      <c r="E160" s="202">
        <v>5250</v>
      </c>
      <c r="F160" s="163"/>
      <c r="G160" s="164"/>
      <c r="H160" s="165"/>
    </row>
    <row r="161" spans="1:8" ht="15.5" x14ac:dyDescent="0.35">
      <c r="A161" s="118" t="s">
        <v>604</v>
      </c>
      <c r="B161" s="118" t="s">
        <v>503</v>
      </c>
      <c r="C161" s="118" t="s">
        <v>605</v>
      </c>
      <c r="D161" s="201">
        <v>9.4659999999999993</v>
      </c>
      <c r="E161" s="202">
        <v>2516</v>
      </c>
      <c r="F161" s="163"/>
      <c r="G161" s="164"/>
      <c r="H161" s="165"/>
    </row>
    <row r="162" spans="1:8" ht="15.5" x14ac:dyDescent="0.35">
      <c r="A162" s="118" t="s">
        <v>606</v>
      </c>
      <c r="B162" s="118" t="s">
        <v>503</v>
      </c>
      <c r="C162" s="118" t="s">
        <v>607</v>
      </c>
      <c r="D162" s="201">
        <v>18.077000000000002</v>
      </c>
      <c r="E162" s="202">
        <v>3940</v>
      </c>
      <c r="F162" s="163"/>
      <c r="G162" s="164"/>
      <c r="H162" s="165"/>
    </row>
    <row r="163" spans="1:8" ht="15.5" x14ac:dyDescent="0.35">
      <c r="A163" s="118" t="s">
        <v>608</v>
      </c>
      <c r="B163" s="118" t="s">
        <v>503</v>
      </c>
      <c r="C163" s="118" t="s">
        <v>609</v>
      </c>
      <c r="D163" s="201">
        <v>7.343</v>
      </c>
      <c r="E163" s="202">
        <v>2185</v>
      </c>
      <c r="F163" s="163"/>
      <c r="G163" s="164"/>
      <c r="H163" s="165"/>
    </row>
    <row r="164" spans="1:8" ht="15.5" x14ac:dyDescent="0.35">
      <c r="A164" s="118" t="s">
        <v>610</v>
      </c>
      <c r="B164" s="118" t="s">
        <v>503</v>
      </c>
      <c r="C164" s="118" t="s">
        <v>611</v>
      </c>
      <c r="D164" s="201">
        <v>12.836</v>
      </c>
      <c r="E164" s="202">
        <v>3121</v>
      </c>
      <c r="F164" s="163"/>
      <c r="G164" s="164"/>
      <c r="H164" s="165"/>
    </row>
    <row r="165" spans="1:8" ht="15.5" x14ac:dyDescent="0.35">
      <c r="A165" s="203" t="s">
        <v>612</v>
      </c>
      <c r="B165" s="203" t="s">
        <v>613</v>
      </c>
      <c r="C165" s="118"/>
      <c r="D165" s="201">
        <v>0</v>
      </c>
      <c r="E165" s="202">
        <v>0</v>
      </c>
      <c r="F165" s="163"/>
      <c r="G165" s="164"/>
      <c r="H165" s="165"/>
    </row>
    <row r="166" spans="1:8" ht="15.5" x14ac:dyDescent="0.35">
      <c r="A166" s="118" t="s">
        <v>614</v>
      </c>
      <c r="B166" s="118" t="s">
        <v>613</v>
      </c>
      <c r="C166" s="118" t="s">
        <v>615</v>
      </c>
      <c r="D166" s="201">
        <v>9.3030000000000008</v>
      </c>
      <c r="E166" s="202">
        <v>2362</v>
      </c>
      <c r="F166" s="163"/>
      <c r="G166" s="164"/>
      <c r="H166" s="165"/>
    </row>
    <row r="167" spans="1:8" ht="15.5" x14ac:dyDescent="0.35">
      <c r="A167" s="118" t="s">
        <v>616</v>
      </c>
      <c r="B167" s="118" t="s">
        <v>613</v>
      </c>
      <c r="C167" s="118" t="s">
        <v>617</v>
      </c>
      <c r="D167" s="201">
        <v>10.282999999999999</v>
      </c>
      <c r="E167" s="202">
        <v>2640</v>
      </c>
      <c r="F167" s="163"/>
      <c r="G167" s="164"/>
      <c r="H167" s="165"/>
    </row>
    <row r="168" spans="1:8" ht="15.5" x14ac:dyDescent="0.35">
      <c r="A168" s="118" t="s">
        <v>618</v>
      </c>
      <c r="B168" s="118" t="s">
        <v>613</v>
      </c>
      <c r="C168" s="118" t="s">
        <v>619</v>
      </c>
      <c r="D168" s="201">
        <v>19.445</v>
      </c>
      <c r="E168" s="202">
        <v>4828</v>
      </c>
      <c r="F168" s="163"/>
      <c r="G168" s="164"/>
      <c r="H168" s="165"/>
    </row>
    <row r="169" spans="1:8" ht="15.5" x14ac:dyDescent="0.35">
      <c r="A169" s="118" t="s">
        <v>620</v>
      </c>
      <c r="B169" s="118" t="s">
        <v>613</v>
      </c>
      <c r="C169" s="118" t="s">
        <v>621</v>
      </c>
      <c r="D169" s="201">
        <v>13.4</v>
      </c>
      <c r="E169" s="202">
        <v>3309</v>
      </c>
      <c r="F169" s="163"/>
      <c r="G169" s="164"/>
      <c r="H169" s="165"/>
    </row>
    <row r="170" spans="1:8" ht="15.5" x14ac:dyDescent="0.35">
      <c r="A170" s="118" t="s">
        <v>622</v>
      </c>
      <c r="B170" s="118" t="s">
        <v>613</v>
      </c>
      <c r="C170" s="118" t="s">
        <v>623</v>
      </c>
      <c r="D170" s="201">
        <v>26.762</v>
      </c>
      <c r="E170" s="202">
        <v>6373</v>
      </c>
      <c r="F170" s="163"/>
      <c r="G170" s="164"/>
      <c r="H170" s="165"/>
    </row>
    <row r="171" spans="1:8" ht="15.5" x14ac:dyDescent="0.35">
      <c r="A171" s="118" t="s">
        <v>624</v>
      </c>
      <c r="B171" s="118" t="s">
        <v>613</v>
      </c>
      <c r="C171" s="118" t="s">
        <v>625</v>
      </c>
      <c r="D171" s="201">
        <v>9.532</v>
      </c>
      <c r="E171" s="202">
        <v>2398</v>
      </c>
      <c r="F171" s="163"/>
      <c r="G171" s="164"/>
      <c r="H171" s="165"/>
    </row>
    <row r="172" spans="1:8" ht="15.5" x14ac:dyDescent="0.35">
      <c r="A172" s="118" t="s">
        <v>626</v>
      </c>
      <c r="B172" s="118" t="s">
        <v>613</v>
      </c>
      <c r="C172" s="118" t="s">
        <v>627</v>
      </c>
      <c r="D172" s="201">
        <v>10.651999999999999</v>
      </c>
      <c r="E172" s="202">
        <v>2814</v>
      </c>
      <c r="F172" s="163"/>
      <c r="G172" s="164"/>
      <c r="H172" s="165"/>
    </row>
    <row r="173" spans="1:8" ht="15.5" x14ac:dyDescent="0.35">
      <c r="A173" s="118" t="s">
        <v>628</v>
      </c>
      <c r="B173" s="118" t="s">
        <v>613</v>
      </c>
      <c r="C173" s="118" t="s">
        <v>629</v>
      </c>
      <c r="D173" s="201">
        <v>14.932</v>
      </c>
      <c r="E173" s="202">
        <v>3720</v>
      </c>
      <c r="F173" s="163"/>
      <c r="G173" s="164"/>
      <c r="H173" s="165"/>
    </row>
    <row r="174" spans="1:8" ht="15.5" x14ac:dyDescent="0.35">
      <c r="A174" s="118" t="s">
        <v>630</v>
      </c>
      <c r="B174" s="118" t="s">
        <v>613</v>
      </c>
      <c r="C174" s="118" t="s">
        <v>631</v>
      </c>
      <c r="D174" s="201">
        <v>17.042999999999999</v>
      </c>
      <c r="E174" s="202">
        <v>3722</v>
      </c>
      <c r="F174" s="163"/>
      <c r="G174" s="164"/>
      <c r="H174" s="165"/>
    </row>
    <row r="175" spans="1:8" ht="15.5" x14ac:dyDescent="0.35">
      <c r="A175" s="118" t="s">
        <v>632</v>
      </c>
      <c r="B175" s="118" t="s">
        <v>613</v>
      </c>
      <c r="C175" s="118" t="s">
        <v>633</v>
      </c>
      <c r="D175" s="201">
        <v>9.6180000000000003</v>
      </c>
      <c r="E175" s="202">
        <v>2905</v>
      </c>
      <c r="F175" s="163"/>
      <c r="G175" s="164"/>
      <c r="H175" s="165"/>
    </row>
    <row r="176" spans="1:8" ht="15.5" x14ac:dyDescent="0.35">
      <c r="A176" s="118" t="s">
        <v>634</v>
      </c>
      <c r="B176" s="118" t="s">
        <v>613</v>
      </c>
      <c r="C176" s="118" t="s">
        <v>635</v>
      </c>
      <c r="D176" s="201">
        <v>9.4719999999999995</v>
      </c>
      <c r="E176" s="202">
        <v>2784</v>
      </c>
      <c r="F176" s="163"/>
      <c r="G176" s="164"/>
      <c r="H176" s="165"/>
    </row>
    <row r="177" spans="1:8" ht="15.5" x14ac:dyDescent="0.35">
      <c r="A177" s="118" t="s">
        <v>636</v>
      </c>
      <c r="B177" s="118" t="s">
        <v>613</v>
      </c>
      <c r="C177" s="118" t="s">
        <v>637</v>
      </c>
      <c r="D177" s="201">
        <v>17.832000000000001</v>
      </c>
      <c r="E177" s="202">
        <v>3866</v>
      </c>
      <c r="F177" s="163"/>
      <c r="G177" s="164"/>
      <c r="H177" s="165"/>
    </row>
    <row r="178" spans="1:8" ht="15.5" x14ac:dyDescent="0.35">
      <c r="A178" s="118" t="s">
        <v>638</v>
      </c>
      <c r="B178" s="118" t="s">
        <v>613</v>
      </c>
      <c r="C178" s="118" t="s">
        <v>639</v>
      </c>
      <c r="D178" s="201">
        <v>8.2110000000000003</v>
      </c>
      <c r="E178" s="202">
        <v>2153</v>
      </c>
      <c r="F178" s="163"/>
      <c r="G178" s="164"/>
      <c r="H178" s="165"/>
    </row>
    <row r="179" spans="1:8" ht="15.5" x14ac:dyDescent="0.35">
      <c r="A179" s="118" t="s">
        <v>640</v>
      </c>
      <c r="B179" s="118" t="s">
        <v>613</v>
      </c>
      <c r="C179" s="118" t="s">
        <v>641</v>
      </c>
      <c r="D179" s="201">
        <v>22.006</v>
      </c>
      <c r="E179" s="202">
        <v>4989</v>
      </c>
      <c r="F179" s="163"/>
      <c r="G179" s="164"/>
      <c r="H179" s="165"/>
    </row>
    <row r="180" spans="1:8" ht="15.5" x14ac:dyDescent="0.35">
      <c r="A180" s="118" t="s">
        <v>642</v>
      </c>
      <c r="B180" s="118" t="s">
        <v>613</v>
      </c>
      <c r="C180" s="118" t="s">
        <v>643</v>
      </c>
      <c r="D180" s="201">
        <v>10.018000000000001</v>
      </c>
      <c r="E180" s="202">
        <v>2647</v>
      </c>
      <c r="F180" s="163"/>
      <c r="G180" s="164"/>
      <c r="H180" s="165"/>
    </row>
    <row r="181" spans="1:8" ht="15.5" x14ac:dyDescent="0.35">
      <c r="A181" s="118" t="s">
        <v>644</v>
      </c>
      <c r="B181" s="118" t="s">
        <v>613</v>
      </c>
      <c r="C181" s="118" t="s">
        <v>645</v>
      </c>
      <c r="D181" s="201">
        <v>17.835999999999999</v>
      </c>
      <c r="E181" s="202">
        <v>4038</v>
      </c>
      <c r="F181" s="163"/>
      <c r="G181" s="164"/>
      <c r="H181" s="165"/>
    </row>
    <row r="182" spans="1:8" ht="15.5" x14ac:dyDescent="0.35">
      <c r="A182" s="118" t="s">
        <v>646</v>
      </c>
      <c r="B182" s="118" t="s">
        <v>613</v>
      </c>
      <c r="C182" s="118" t="s">
        <v>647</v>
      </c>
      <c r="D182" s="201">
        <v>11.754</v>
      </c>
      <c r="E182" s="202">
        <v>2668</v>
      </c>
      <c r="F182" s="163"/>
      <c r="G182" s="164"/>
      <c r="H182" s="165"/>
    </row>
    <row r="183" spans="1:8" ht="15.5" x14ac:dyDescent="0.35">
      <c r="A183" s="118" t="s">
        <v>648</v>
      </c>
      <c r="B183" s="118" t="s">
        <v>613</v>
      </c>
      <c r="C183" s="118" t="s">
        <v>649</v>
      </c>
      <c r="D183" s="201">
        <v>8.2889999999999997</v>
      </c>
      <c r="E183" s="202">
        <v>1993</v>
      </c>
      <c r="F183" s="163"/>
      <c r="G183" s="164"/>
      <c r="H183" s="165"/>
    </row>
    <row r="184" spans="1:8" ht="15.5" x14ac:dyDescent="0.35">
      <c r="A184" s="118" t="s">
        <v>650</v>
      </c>
      <c r="B184" s="118" t="s">
        <v>613</v>
      </c>
      <c r="C184" s="118" t="s">
        <v>651</v>
      </c>
      <c r="D184" s="201">
        <v>14.032</v>
      </c>
      <c r="E184" s="202">
        <v>3211</v>
      </c>
      <c r="F184" s="163"/>
      <c r="G184" s="164"/>
      <c r="H184" s="165"/>
    </row>
    <row r="185" spans="1:8" ht="15.5" x14ac:dyDescent="0.35">
      <c r="A185" s="118" t="s">
        <v>652</v>
      </c>
      <c r="B185" s="118" t="s">
        <v>613</v>
      </c>
      <c r="C185" s="118" t="s">
        <v>653</v>
      </c>
      <c r="D185" s="201">
        <v>11.423999999999999</v>
      </c>
      <c r="E185" s="202">
        <v>3169</v>
      </c>
      <c r="F185" s="163"/>
      <c r="G185" s="164"/>
      <c r="H185" s="165"/>
    </row>
    <row r="186" spans="1:8" ht="15.5" x14ac:dyDescent="0.35">
      <c r="A186" s="118" t="s">
        <v>654</v>
      </c>
      <c r="B186" s="118" t="s">
        <v>613</v>
      </c>
      <c r="C186" s="118" t="s">
        <v>655</v>
      </c>
      <c r="D186" s="201">
        <v>9.7110000000000003</v>
      </c>
      <c r="E186" s="202">
        <v>2724</v>
      </c>
      <c r="F186" s="163"/>
      <c r="G186" s="164"/>
      <c r="H186" s="165"/>
    </row>
    <row r="187" spans="1:8" ht="15.5" x14ac:dyDescent="0.35">
      <c r="A187" s="118" t="s">
        <v>656</v>
      </c>
      <c r="B187" s="118" t="s">
        <v>613</v>
      </c>
      <c r="C187" s="118" t="s">
        <v>657</v>
      </c>
      <c r="D187" s="201">
        <v>5.7389999999999999</v>
      </c>
      <c r="E187" s="202">
        <v>1739</v>
      </c>
      <c r="F187" s="163"/>
      <c r="G187" s="164"/>
      <c r="H187" s="165"/>
    </row>
    <row r="188" spans="1:8" ht="15.5" x14ac:dyDescent="0.35">
      <c r="A188" s="118" t="s">
        <v>658</v>
      </c>
      <c r="B188" s="118" t="s">
        <v>613</v>
      </c>
      <c r="C188" s="118" t="s">
        <v>659</v>
      </c>
      <c r="D188" s="201">
        <v>9.782</v>
      </c>
      <c r="E188" s="202">
        <v>2910</v>
      </c>
      <c r="F188" s="163"/>
      <c r="G188" s="164"/>
      <c r="H188" s="165"/>
    </row>
    <row r="189" spans="1:8" ht="15.5" x14ac:dyDescent="0.35">
      <c r="A189" s="118" t="s">
        <v>660</v>
      </c>
      <c r="B189" s="118" t="s">
        <v>613</v>
      </c>
      <c r="C189" s="118" t="s">
        <v>661</v>
      </c>
      <c r="D189" s="201">
        <v>10.16</v>
      </c>
      <c r="E189" s="202">
        <v>2505</v>
      </c>
      <c r="F189" s="163"/>
      <c r="G189" s="164"/>
      <c r="H189" s="165"/>
    </row>
    <row r="190" spans="1:8" ht="15.5" x14ac:dyDescent="0.35">
      <c r="A190" s="118" t="s">
        <v>662</v>
      </c>
      <c r="B190" s="118" t="s">
        <v>613</v>
      </c>
      <c r="C190" s="118" t="s">
        <v>663</v>
      </c>
      <c r="D190" s="201">
        <v>10.199</v>
      </c>
      <c r="E190" s="202">
        <v>2309</v>
      </c>
      <c r="F190" s="163"/>
      <c r="G190" s="164"/>
      <c r="H190" s="165"/>
    </row>
    <row r="191" spans="1:8" ht="15.5" x14ac:dyDescent="0.35">
      <c r="A191" s="118" t="s">
        <v>664</v>
      </c>
      <c r="B191" s="118" t="s">
        <v>613</v>
      </c>
      <c r="C191" s="118" t="s">
        <v>665</v>
      </c>
      <c r="D191" s="201">
        <v>22.626000000000001</v>
      </c>
      <c r="E191" s="202">
        <v>5308</v>
      </c>
      <c r="F191" s="163"/>
      <c r="G191" s="164"/>
      <c r="H191" s="165"/>
    </row>
    <row r="192" spans="1:8" ht="15.5" x14ac:dyDescent="0.35">
      <c r="A192" s="118" t="s">
        <v>666</v>
      </c>
      <c r="B192" s="118" t="s">
        <v>613</v>
      </c>
      <c r="C192" s="118" t="s">
        <v>667</v>
      </c>
      <c r="D192" s="201">
        <v>10.266999999999999</v>
      </c>
      <c r="E192" s="202">
        <v>2519</v>
      </c>
      <c r="F192" s="163"/>
      <c r="G192" s="164"/>
      <c r="H192" s="165"/>
    </row>
    <row r="193" spans="1:8" ht="15.5" x14ac:dyDescent="0.35">
      <c r="A193" s="118" t="s">
        <v>668</v>
      </c>
      <c r="B193" s="118" t="s">
        <v>613</v>
      </c>
      <c r="C193" s="118" t="s">
        <v>669</v>
      </c>
      <c r="D193" s="201">
        <v>14.515000000000001</v>
      </c>
      <c r="E193" s="202">
        <v>3278</v>
      </c>
      <c r="F193" s="163"/>
      <c r="G193" s="164"/>
      <c r="H193" s="165"/>
    </row>
    <row r="194" spans="1:8" ht="15.5" x14ac:dyDescent="0.35">
      <c r="A194" s="118" t="s">
        <v>670</v>
      </c>
      <c r="B194" s="118" t="s">
        <v>613</v>
      </c>
      <c r="C194" s="118" t="s">
        <v>671</v>
      </c>
      <c r="D194" s="201">
        <v>10.602</v>
      </c>
      <c r="E194" s="202">
        <v>2553</v>
      </c>
      <c r="F194" s="163"/>
      <c r="G194" s="164"/>
      <c r="H194" s="165"/>
    </row>
    <row r="195" spans="1:8" ht="15.5" x14ac:dyDescent="0.35">
      <c r="A195" s="118" t="s">
        <v>672</v>
      </c>
      <c r="B195" s="118" t="s">
        <v>613</v>
      </c>
      <c r="C195" s="118" t="s">
        <v>673</v>
      </c>
      <c r="D195" s="201">
        <v>11.257</v>
      </c>
      <c r="E195" s="202">
        <v>2708</v>
      </c>
      <c r="F195" s="163"/>
      <c r="G195" s="164"/>
      <c r="H195" s="165"/>
    </row>
    <row r="196" spans="1:8" ht="15.5" x14ac:dyDescent="0.35">
      <c r="A196" s="118" t="s">
        <v>674</v>
      </c>
      <c r="B196" s="118" t="s">
        <v>613</v>
      </c>
      <c r="C196" s="118" t="s">
        <v>675</v>
      </c>
      <c r="D196" s="201">
        <v>21.074000000000002</v>
      </c>
      <c r="E196" s="202">
        <v>4642</v>
      </c>
      <c r="F196" s="163"/>
      <c r="G196" s="164"/>
      <c r="H196" s="165"/>
    </row>
    <row r="197" spans="1:8" ht="15.5" x14ac:dyDescent="0.35">
      <c r="A197" s="118" t="s">
        <v>676</v>
      </c>
      <c r="B197" s="118" t="s">
        <v>613</v>
      </c>
      <c r="C197" s="118" t="s">
        <v>677</v>
      </c>
      <c r="D197" s="201">
        <v>11.065</v>
      </c>
      <c r="E197" s="202">
        <v>2649</v>
      </c>
      <c r="F197" s="163"/>
      <c r="G197" s="164"/>
      <c r="H197" s="165"/>
    </row>
    <row r="198" spans="1:8" ht="15.5" x14ac:dyDescent="0.35">
      <c r="A198" s="118" t="s">
        <v>678</v>
      </c>
      <c r="B198" s="118" t="s">
        <v>613</v>
      </c>
      <c r="C198" s="118" t="s">
        <v>679</v>
      </c>
      <c r="D198" s="201">
        <v>13.064</v>
      </c>
      <c r="E198" s="202">
        <v>3088</v>
      </c>
      <c r="F198" s="163"/>
      <c r="G198" s="164"/>
      <c r="H198" s="165"/>
    </row>
    <row r="199" spans="1:8" ht="15.5" x14ac:dyDescent="0.35">
      <c r="A199" s="118" t="s">
        <v>680</v>
      </c>
      <c r="B199" s="118" t="s">
        <v>613</v>
      </c>
      <c r="C199" s="118" t="s">
        <v>681</v>
      </c>
      <c r="D199" s="201">
        <v>7.17</v>
      </c>
      <c r="E199" s="202">
        <v>2173</v>
      </c>
      <c r="F199" s="163"/>
      <c r="G199" s="164"/>
      <c r="H199" s="165"/>
    </row>
    <row r="200" spans="1:8" ht="15.5" x14ac:dyDescent="0.35">
      <c r="A200" s="118" t="s">
        <v>682</v>
      </c>
      <c r="B200" s="118" t="s">
        <v>613</v>
      </c>
      <c r="C200" s="118" t="s">
        <v>683</v>
      </c>
      <c r="D200" s="201">
        <v>11.821</v>
      </c>
      <c r="E200" s="202">
        <v>3414</v>
      </c>
      <c r="F200" s="163"/>
      <c r="G200" s="164"/>
      <c r="H200" s="165"/>
    </row>
    <row r="201" spans="1:8" ht="15.5" x14ac:dyDescent="0.35">
      <c r="A201" s="118" t="s">
        <v>684</v>
      </c>
      <c r="B201" s="118" t="s">
        <v>613</v>
      </c>
      <c r="C201" s="118" t="s">
        <v>685</v>
      </c>
      <c r="D201" s="201">
        <v>7.2089999999999996</v>
      </c>
      <c r="E201" s="202">
        <v>2406</v>
      </c>
      <c r="F201" s="163"/>
      <c r="G201" s="164"/>
      <c r="H201" s="165"/>
    </row>
    <row r="202" spans="1:8" ht="15.5" x14ac:dyDescent="0.35">
      <c r="A202" s="118" t="s">
        <v>686</v>
      </c>
      <c r="B202" s="118" t="s">
        <v>613</v>
      </c>
      <c r="C202" s="118" t="s">
        <v>687</v>
      </c>
      <c r="D202" s="201">
        <v>13.416</v>
      </c>
      <c r="E202" s="202">
        <v>4451</v>
      </c>
      <c r="F202" s="163"/>
      <c r="G202" s="164"/>
      <c r="H202" s="165"/>
    </row>
    <row r="203" spans="1:8" ht="15.5" x14ac:dyDescent="0.35">
      <c r="A203" s="118" t="s">
        <v>688</v>
      </c>
      <c r="B203" s="118" t="s">
        <v>613</v>
      </c>
      <c r="C203" s="118" t="s">
        <v>689</v>
      </c>
      <c r="D203" s="201">
        <v>10.515000000000001</v>
      </c>
      <c r="E203" s="202">
        <v>3391</v>
      </c>
      <c r="F203" s="163"/>
      <c r="G203" s="164"/>
      <c r="H203" s="165"/>
    </row>
    <row r="204" spans="1:8" ht="15.5" x14ac:dyDescent="0.35">
      <c r="A204" s="118" t="s">
        <v>690</v>
      </c>
      <c r="B204" s="118" t="s">
        <v>613</v>
      </c>
      <c r="C204" s="118" t="s">
        <v>691</v>
      </c>
      <c r="D204" s="201">
        <v>16.96</v>
      </c>
      <c r="E204" s="202">
        <v>3850</v>
      </c>
      <c r="F204" s="163"/>
      <c r="G204" s="164"/>
      <c r="H204" s="165"/>
    </row>
    <row r="205" spans="1:8" ht="15.5" x14ac:dyDescent="0.35">
      <c r="A205" s="118" t="s">
        <v>692</v>
      </c>
      <c r="B205" s="118" t="s">
        <v>613</v>
      </c>
      <c r="C205" s="118" t="s">
        <v>693</v>
      </c>
      <c r="D205" s="201">
        <v>17.042000000000002</v>
      </c>
      <c r="E205" s="202">
        <v>3843</v>
      </c>
      <c r="F205" s="163"/>
      <c r="G205" s="164"/>
      <c r="H205" s="165"/>
    </row>
    <row r="206" spans="1:8" ht="15.5" x14ac:dyDescent="0.35">
      <c r="A206" s="118" t="s">
        <v>694</v>
      </c>
      <c r="B206" s="118" t="s">
        <v>613</v>
      </c>
      <c r="C206" s="118" t="s">
        <v>695</v>
      </c>
      <c r="D206" s="201">
        <v>15.407999999999999</v>
      </c>
      <c r="E206" s="202">
        <v>3635</v>
      </c>
      <c r="F206" s="163"/>
      <c r="G206" s="164"/>
      <c r="H206" s="165"/>
    </row>
    <row r="207" spans="1:8" ht="15.5" x14ac:dyDescent="0.35">
      <c r="A207" s="118" t="s">
        <v>696</v>
      </c>
      <c r="B207" s="118" t="s">
        <v>613</v>
      </c>
      <c r="C207" s="118" t="s">
        <v>697</v>
      </c>
      <c r="D207" s="201">
        <v>22.035</v>
      </c>
      <c r="E207" s="202">
        <v>4930</v>
      </c>
      <c r="F207" s="163"/>
      <c r="G207" s="164"/>
      <c r="H207" s="165"/>
    </row>
    <row r="208" spans="1:8" ht="15.5" x14ac:dyDescent="0.35">
      <c r="A208" s="118" t="s">
        <v>698</v>
      </c>
      <c r="B208" s="118" t="s">
        <v>613</v>
      </c>
      <c r="C208" s="118" t="s">
        <v>699</v>
      </c>
      <c r="D208" s="201">
        <v>12.81</v>
      </c>
      <c r="E208" s="202">
        <v>2816</v>
      </c>
      <c r="F208" s="163"/>
      <c r="G208" s="164"/>
      <c r="H208" s="165"/>
    </row>
    <row r="209" spans="1:8" ht="15.5" x14ac:dyDescent="0.35">
      <c r="A209" s="118" t="s">
        <v>700</v>
      </c>
      <c r="B209" s="118" t="s">
        <v>613</v>
      </c>
      <c r="C209" s="118" t="s">
        <v>701</v>
      </c>
      <c r="D209" s="201">
        <v>23.628</v>
      </c>
      <c r="E209" s="202">
        <v>5792</v>
      </c>
      <c r="F209" s="163"/>
      <c r="G209" s="164"/>
      <c r="H209" s="165"/>
    </row>
    <row r="210" spans="1:8" ht="15.5" x14ac:dyDescent="0.35">
      <c r="A210" s="118" t="s">
        <v>702</v>
      </c>
      <c r="B210" s="118" t="s">
        <v>613</v>
      </c>
      <c r="C210" s="118" t="s">
        <v>703</v>
      </c>
      <c r="D210" s="201">
        <v>14.618</v>
      </c>
      <c r="E210" s="202">
        <v>3141</v>
      </c>
      <c r="F210" s="163"/>
      <c r="G210" s="164"/>
      <c r="H210" s="165"/>
    </row>
    <row r="211" spans="1:8" ht="15.5" x14ac:dyDescent="0.35">
      <c r="A211" s="118" t="s">
        <v>704</v>
      </c>
      <c r="B211" s="118" t="s">
        <v>613</v>
      </c>
      <c r="C211" s="118" t="s">
        <v>705</v>
      </c>
      <c r="D211" s="201">
        <v>14.868</v>
      </c>
      <c r="E211" s="202">
        <v>3106</v>
      </c>
      <c r="F211" s="163"/>
      <c r="G211" s="164"/>
      <c r="H211" s="165"/>
    </row>
    <row r="212" spans="1:8" ht="15.5" x14ac:dyDescent="0.35">
      <c r="A212" s="118" t="s">
        <v>706</v>
      </c>
      <c r="B212" s="118" t="s">
        <v>613</v>
      </c>
      <c r="C212" s="118" t="s">
        <v>707</v>
      </c>
      <c r="D212" s="201">
        <v>10.776</v>
      </c>
      <c r="E212" s="202">
        <v>2900</v>
      </c>
      <c r="F212" s="163"/>
      <c r="G212" s="164"/>
      <c r="H212" s="165"/>
    </row>
    <row r="213" spans="1:8" ht="15.5" x14ac:dyDescent="0.35">
      <c r="A213" s="203" t="s">
        <v>708</v>
      </c>
      <c r="B213" s="203" t="s">
        <v>709</v>
      </c>
      <c r="C213" s="118"/>
      <c r="D213" s="201">
        <v>0</v>
      </c>
      <c r="E213" s="202">
        <v>0</v>
      </c>
      <c r="F213" s="163"/>
      <c r="G213" s="164"/>
      <c r="H213" s="165"/>
    </row>
    <row r="214" spans="1:8" ht="15.5" x14ac:dyDescent="0.35">
      <c r="A214" s="118" t="s">
        <v>710</v>
      </c>
      <c r="B214" s="118" t="s">
        <v>709</v>
      </c>
      <c r="C214" s="118" t="s">
        <v>711</v>
      </c>
      <c r="D214" s="201">
        <v>5.7560000000000002</v>
      </c>
      <c r="E214" s="202">
        <v>1496</v>
      </c>
      <c r="F214" s="163"/>
      <c r="G214" s="164"/>
      <c r="H214" s="165"/>
    </row>
    <row r="215" spans="1:8" ht="15.5" x14ac:dyDescent="0.35">
      <c r="A215" s="118" t="s">
        <v>712</v>
      </c>
      <c r="B215" s="118" t="s">
        <v>709</v>
      </c>
      <c r="C215" s="118" t="s">
        <v>713</v>
      </c>
      <c r="D215" s="201">
        <v>5.0529999999999999</v>
      </c>
      <c r="E215" s="202">
        <v>1542</v>
      </c>
      <c r="F215" s="163"/>
      <c r="G215" s="164"/>
      <c r="H215" s="165"/>
    </row>
    <row r="216" spans="1:8" ht="15.5" x14ac:dyDescent="0.35">
      <c r="A216" s="118" t="s">
        <v>714</v>
      </c>
      <c r="B216" s="118" t="s">
        <v>709</v>
      </c>
      <c r="C216" s="118" t="s">
        <v>715</v>
      </c>
      <c r="D216" s="201">
        <v>4.5279999999999996</v>
      </c>
      <c r="E216" s="202">
        <v>1442</v>
      </c>
      <c r="F216" s="163"/>
      <c r="G216" s="164"/>
      <c r="H216" s="165"/>
    </row>
    <row r="217" spans="1:8" ht="15.5" x14ac:dyDescent="0.35">
      <c r="A217" s="118" t="s">
        <v>716</v>
      </c>
      <c r="B217" s="118" t="s">
        <v>709</v>
      </c>
      <c r="C217" s="118" t="s">
        <v>717</v>
      </c>
      <c r="D217" s="201">
        <v>4.3609999999999998</v>
      </c>
      <c r="E217" s="202">
        <v>1107</v>
      </c>
      <c r="F217" s="163"/>
      <c r="G217" s="164"/>
      <c r="H217" s="165"/>
    </row>
    <row r="218" spans="1:8" ht="15.5" x14ac:dyDescent="0.35">
      <c r="A218" s="118" t="s">
        <v>718</v>
      </c>
      <c r="B218" s="118" t="s">
        <v>709</v>
      </c>
      <c r="C218" s="118" t="s">
        <v>719</v>
      </c>
      <c r="D218" s="201">
        <v>6.3259999999999996</v>
      </c>
      <c r="E218" s="202">
        <v>1903</v>
      </c>
      <c r="F218" s="163"/>
      <c r="G218" s="164"/>
      <c r="H218" s="165"/>
    </row>
    <row r="219" spans="1:8" ht="15.5" x14ac:dyDescent="0.35">
      <c r="A219" s="118" t="s">
        <v>720</v>
      </c>
      <c r="B219" s="118" t="s">
        <v>709</v>
      </c>
      <c r="C219" s="118" t="s">
        <v>721</v>
      </c>
      <c r="D219" s="201">
        <v>4.1580000000000004</v>
      </c>
      <c r="E219" s="202">
        <v>1389</v>
      </c>
      <c r="F219" s="163"/>
      <c r="G219" s="164"/>
      <c r="H219" s="165"/>
    </row>
    <row r="220" spans="1:8" ht="15.5" x14ac:dyDescent="0.35">
      <c r="A220" s="118" t="s">
        <v>722</v>
      </c>
      <c r="B220" s="118" t="s">
        <v>709</v>
      </c>
      <c r="C220" s="118" t="s">
        <v>723</v>
      </c>
      <c r="D220" s="201">
        <v>4.6390000000000002</v>
      </c>
      <c r="E220" s="202">
        <v>1536</v>
      </c>
      <c r="F220" s="163"/>
      <c r="G220" s="164"/>
      <c r="H220" s="165"/>
    </row>
    <row r="221" spans="1:8" ht="15.5" x14ac:dyDescent="0.35">
      <c r="A221" s="118" t="s">
        <v>724</v>
      </c>
      <c r="B221" s="118" t="s">
        <v>709</v>
      </c>
      <c r="C221" s="118" t="s">
        <v>725</v>
      </c>
      <c r="D221" s="201">
        <v>4.7350000000000003</v>
      </c>
      <c r="E221" s="202">
        <v>1506</v>
      </c>
      <c r="F221" s="163"/>
      <c r="G221" s="164"/>
      <c r="H221" s="165"/>
    </row>
    <row r="222" spans="1:8" ht="15.5" x14ac:dyDescent="0.35">
      <c r="A222" s="118" t="s">
        <v>726</v>
      </c>
      <c r="B222" s="118" t="s">
        <v>709</v>
      </c>
      <c r="C222" s="118" t="s">
        <v>727</v>
      </c>
      <c r="D222" s="201">
        <v>3.786</v>
      </c>
      <c r="E222" s="202">
        <v>995</v>
      </c>
      <c r="F222" s="163"/>
      <c r="G222" s="164"/>
      <c r="H222" s="165"/>
    </row>
    <row r="223" spans="1:8" ht="15.5" x14ac:dyDescent="0.35">
      <c r="A223" s="118" t="s">
        <v>728</v>
      </c>
      <c r="B223" s="118" t="s">
        <v>709</v>
      </c>
      <c r="C223" s="118" t="s">
        <v>729</v>
      </c>
      <c r="D223" s="201">
        <v>3.7040000000000002</v>
      </c>
      <c r="E223" s="202">
        <v>1093</v>
      </c>
      <c r="F223" s="163"/>
      <c r="G223" s="164"/>
      <c r="H223" s="165"/>
    </row>
    <row r="224" spans="1:8" ht="15.5" x14ac:dyDescent="0.35">
      <c r="A224" s="118" t="s">
        <v>730</v>
      </c>
      <c r="B224" s="118" t="s">
        <v>709</v>
      </c>
      <c r="C224" s="118" t="s">
        <v>731</v>
      </c>
      <c r="D224" s="201">
        <v>11.025</v>
      </c>
      <c r="E224" s="202">
        <v>2454</v>
      </c>
      <c r="F224" s="163"/>
      <c r="G224" s="164"/>
      <c r="H224" s="165"/>
    </row>
    <row r="225" spans="1:8" ht="15.5" x14ac:dyDescent="0.35">
      <c r="A225" s="118" t="s">
        <v>732</v>
      </c>
      <c r="B225" s="118" t="s">
        <v>709</v>
      </c>
      <c r="C225" s="118" t="s">
        <v>733</v>
      </c>
      <c r="D225" s="201">
        <v>11.611000000000001</v>
      </c>
      <c r="E225" s="202">
        <v>2748</v>
      </c>
      <c r="F225" s="163"/>
      <c r="G225" s="164"/>
      <c r="H225" s="165"/>
    </row>
    <row r="226" spans="1:8" ht="15.5" x14ac:dyDescent="0.35">
      <c r="A226" s="118" t="s">
        <v>734</v>
      </c>
      <c r="B226" s="118" t="s">
        <v>709</v>
      </c>
      <c r="C226" s="118" t="s">
        <v>735</v>
      </c>
      <c r="D226" s="201">
        <v>9.3659999999999997</v>
      </c>
      <c r="E226" s="202">
        <v>2466</v>
      </c>
      <c r="F226" s="163"/>
      <c r="G226" s="164"/>
      <c r="H226" s="165"/>
    </row>
    <row r="227" spans="1:8" ht="15.5" x14ac:dyDescent="0.35">
      <c r="A227" s="118" t="s">
        <v>736</v>
      </c>
      <c r="B227" s="118" t="s">
        <v>709</v>
      </c>
      <c r="C227" s="118" t="s">
        <v>737</v>
      </c>
      <c r="D227" s="201">
        <v>7.5759999999999996</v>
      </c>
      <c r="E227" s="202">
        <v>2100</v>
      </c>
      <c r="F227" s="163"/>
      <c r="G227" s="164"/>
      <c r="H227" s="165"/>
    </row>
    <row r="228" spans="1:8" ht="15.5" x14ac:dyDescent="0.35">
      <c r="A228" s="118" t="s">
        <v>738</v>
      </c>
      <c r="B228" s="118" t="s">
        <v>709</v>
      </c>
      <c r="C228" s="118" t="s">
        <v>739</v>
      </c>
      <c r="D228" s="201">
        <v>4.96</v>
      </c>
      <c r="E228" s="202">
        <v>1339</v>
      </c>
      <c r="F228" s="163"/>
      <c r="G228" s="164"/>
      <c r="H228" s="165"/>
    </row>
    <row r="229" spans="1:8" ht="15.5" x14ac:dyDescent="0.35">
      <c r="A229" s="118" t="s">
        <v>740</v>
      </c>
      <c r="B229" s="118" t="s">
        <v>709</v>
      </c>
      <c r="C229" s="118" t="s">
        <v>741</v>
      </c>
      <c r="D229" s="201">
        <v>6.16</v>
      </c>
      <c r="E229" s="202">
        <v>1596</v>
      </c>
      <c r="F229" s="163"/>
      <c r="G229" s="164"/>
      <c r="H229" s="165"/>
    </row>
    <row r="230" spans="1:8" ht="15.5" x14ac:dyDescent="0.35">
      <c r="A230" s="118" t="s">
        <v>742</v>
      </c>
      <c r="B230" s="118" t="s">
        <v>709</v>
      </c>
      <c r="C230" s="118" t="s">
        <v>743</v>
      </c>
      <c r="D230" s="201">
        <v>16.829999999999998</v>
      </c>
      <c r="E230" s="202">
        <v>4263</v>
      </c>
      <c r="F230" s="163"/>
      <c r="G230" s="164"/>
      <c r="H230" s="165"/>
    </row>
    <row r="231" spans="1:8" ht="15.5" x14ac:dyDescent="0.35">
      <c r="A231" s="118" t="s">
        <v>744</v>
      </c>
      <c r="B231" s="118" t="s">
        <v>709</v>
      </c>
      <c r="C231" s="118" t="s">
        <v>745</v>
      </c>
      <c r="D231" s="201">
        <v>4.5590000000000002</v>
      </c>
      <c r="E231" s="202">
        <v>1319</v>
      </c>
      <c r="F231" s="163"/>
      <c r="G231" s="164"/>
      <c r="H231" s="165"/>
    </row>
    <row r="232" spans="1:8" ht="15.5" x14ac:dyDescent="0.35">
      <c r="A232" s="118" t="s">
        <v>746</v>
      </c>
      <c r="B232" s="118" t="s">
        <v>709</v>
      </c>
      <c r="C232" s="118" t="s">
        <v>747</v>
      </c>
      <c r="D232" s="201">
        <v>5.46</v>
      </c>
      <c r="E232" s="202">
        <v>1421</v>
      </c>
      <c r="F232" s="163"/>
      <c r="G232" s="164"/>
      <c r="H232" s="165"/>
    </row>
    <row r="233" spans="1:8" ht="15.5" x14ac:dyDescent="0.35">
      <c r="A233" s="118" t="s">
        <v>748</v>
      </c>
      <c r="B233" s="118" t="s">
        <v>709</v>
      </c>
      <c r="C233" s="118" t="s">
        <v>749</v>
      </c>
      <c r="D233" s="201">
        <v>18.387</v>
      </c>
      <c r="E233" s="202">
        <v>3883</v>
      </c>
      <c r="F233" s="163"/>
      <c r="G233" s="164"/>
      <c r="H233" s="165"/>
    </row>
    <row r="234" spans="1:8" ht="15.5" x14ac:dyDescent="0.35">
      <c r="A234" s="118" t="s">
        <v>750</v>
      </c>
      <c r="B234" s="118" t="s">
        <v>709</v>
      </c>
      <c r="C234" s="118" t="s">
        <v>751</v>
      </c>
      <c r="D234" s="201">
        <v>16.399000000000001</v>
      </c>
      <c r="E234" s="202">
        <v>3658</v>
      </c>
      <c r="F234" s="163"/>
      <c r="G234" s="164"/>
      <c r="H234" s="165"/>
    </row>
    <row r="235" spans="1:8" ht="15.5" x14ac:dyDescent="0.35">
      <c r="A235" s="118" t="s">
        <v>752</v>
      </c>
      <c r="B235" s="118" t="s">
        <v>709</v>
      </c>
      <c r="C235" s="118" t="s">
        <v>753</v>
      </c>
      <c r="D235" s="201">
        <v>7.4020000000000001</v>
      </c>
      <c r="E235" s="202">
        <v>1676</v>
      </c>
      <c r="F235" s="163"/>
      <c r="G235" s="164"/>
      <c r="H235" s="165"/>
    </row>
    <row r="236" spans="1:8" ht="15.5" x14ac:dyDescent="0.35">
      <c r="A236" s="118" t="s">
        <v>754</v>
      </c>
      <c r="B236" s="118" t="s">
        <v>709</v>
      </c>
      <c r="C236" s="118" t="s">
        <v>755</v>
      </c>
      <c r="D236" s="201">
        <v>10.701000000000001</v>
      </c>
      <c r="E236" s="202">
        <v>2304</v>
      </c>
      <c r="F236" s="163"/>
      <c r="G236" s="164"/>
      <c r="H236" s="165"/>
    </row>
    <row r="237" spans="1:8" ht="15.5" x14ac:dyDescent="0.35">
      <c r="A237" s="118" t="s">
        <v>756</v>
      </c>
      <c r="B237" s="118" t="s">
        <v>709</v>
      </c>
      <c r="C237" s="118" t="s">
        <v>757</v>
      </c>
      <c r="D237" s="201">
        <v>8.5129999999999999</v>
      </c>
      <c r="E237" s="202">
        <v>1849</v>
      </c>
      <c r="F237" s="163"/>
      <c r="G237" s="164"/>
      <c r="H237" s="165"/>
    </row>
    <row r="238" spans="1:8" ht="15.5" x14ac:dyDescent="0.35">
      <c r="A238" s="118" t="s">
        <v>758</v>
      </c>
      <c r="B238" s="118" t="s">
        <v>709</v>
      </c>
      <c r="C238" s="118" t="s">
        <v>759</v>
      </c>
      <c r="D238" s="201">
        <v>7.4509999999999996</v>
      </c>
      <c r="E238" s="202">
        <v>2089</v>
      </c>
      <c r="F238" s="163"/>
      <c r="G238" s="164"/>
      <c r="H238" s="165"/>
    </row>
    <row r="239" spans="1:8" ht="15.5" x14ac:dyDescent="0.35">
      <c r="A239" s="118" t="s">
        <v>760</v>
      </c>
      <c r="B239" s="118" t="s">
        <v>709</v>
      </c>
      <c r="C239" s="118" t="s">
        <v>761</v>
      </c>
      <c r="D239" s="201">
        <v>27.436</v>
      </c>
      <c r="E239" s="202">
        <v>5515</v>
      </c>
      <c r="F239" s="163"/>
      <c r="G239" s="164"/>
      <c r="H239" s="165"/>
    </row>
    <row r="240" spans="1:8" ht="15.5" x14ac:dyDescent="0.35">
      <c r="A240" s="118" t="s">
        <v>762</v>
      </c>
      <c r="B240" s="118" t="s">
        <v>709</v>
      </c>
      <c r="C240" s="118" t="s">
        <v>763</v>
      </c>
      <c r="D240" s="201">
        <v>19.829000000000001</v>
      </c>
      <c r="E240" s="202">
        <v>4414</v>
      </c>
      <c r="F240" s="163"/>
      <c r="G240" s="164"/>
      <c r="H240" s="165"/>
    </row>
    <row r="241" spans="1:8" ht="15.5" x14ac:dyDescent="0.35">
      <c r="A241" s="118" t="s">
        <v>764</v>
      </c>
      <c r="B241" s="118" t="s">
        <v>709</v>
      </c>
      <c r="C241" s="118" t="s">
        <v>765</v>
      </c>
      <c r="D241" s="201">
        <v>8.7230000000000008</v>
      </c>
      <c r="E241" s="202">
        <v>2201</v>
      </c>
      <c r="F241" s="163"/>
      <c r="G241" s="164"/>
      <c r="H241" s="165"/>
    </row>
    <row r="242" spans="1:8" ht="15.5" x14ac:dyDescent="0.35">
      <c r="A242" s="118" t="s">
        <v>766</v>
      </c>
      <c r="B242" s="118" t="s">
        <v>709</v>
      </c>
      <c r="C242" s="118" t="s">
        <v>767</v>
      </c>
      <c r="D242" s="201">
        <v>7.7610000000000001</v>
      </c>
      <c r="E242" s="202">
        <v>2044</v>
      </c>
      <c r="F242" s="163"/>
      <c r="G242" s="164"/>
      <c r="H242" s="165"/>
    </row>
    <row r="243" spans="1:8" ht="15.5" x14ac:dyDescent="0.35">
      <c r="A243" s="118" t="s">
        <v>768</v>
      </c>
      <c r="B243" s="118" t="s">
        <v>709</v>
      </c>
      <c r="C243" s="118" t="s">
        <v>769</v>
      </c>
      <c r="D243" s="201">
        <v>9.3870000000000005</v>
      </c>
      <c r="E243" s="202">
        <v>2196</v>
      </c>
      <c r="F243" s="163"/>
      <c r="G243" s="164"/>
      <c r="H243" s="165"/>
    </row>
    <row r="244" spans="1:8" ht="15.5" x14ac:dyDescent="0.35">
      <c r="A244" s="118" t="s">
        <v>770</v>
      </c>
      <c r="B244" s="118" t="s">
        <v>709</v>
      </c>
      <c r="C244" s="118" t="s">
        <v>771</v>
      </c>
      <c r="D244" s="201">
        <v>11.507</v>
      </c>
      <c r="E244" s="202">
        <v>2795</v>
      </c>
      <c r="F244" s="163"/>
      <c r="G244" s="164"/>
      <c r="H244" s="165"/>
    </row>
    <row r="245" spans="1:8" ht="15.5" x14ac:dyDescent="0.35">
      <c r="A245" s="118" t="s">
        <v>772</v>
      </c>
      <c r="B245" s="118" t="s">
        <v>709</v>
      </c>
      <c r="C245" s="118" t="s">
        <v>773</v>
      </c>
      <c r="D245" s="201">
        <v>12.696</v>
      </c>
      <c r="E245" s="202">
        <v>2960</v>
      </c>
      <c r="F245" s="163"/>
      <c r="G245" s="164"/>
      <c r="H245" s="165"/>
    </row>
    <row r="246" spans="1:8" ht="15.5" x14ac:dyDescent="0.35">
      <c r="A246" s="118" t="s">
        <v>774</v>
      </c>
      <c r="B246" s="118" t="s">
        <v>709</v>
      </c>
      <c r="C246" s="118" t="s">
        <v>775</v>
      </c>
      <c r="D246" s="201">
        <v>4.1769999999999996</v>
      </c>
      <c r="E246" s="202">
        <v>1118</v>
      </c>
      <c r="F246" s="163"/>
      <c r="G246" s="164"/>
      <c r="H246" s="165"/>
    </row>
    <row r="247" spans="1:8" ht="15.5" x14ac:dyDescent="0.35">
      <c r="A247" s="118" t="s">
        <v>776</v>
      </c>
      <c r="B247" s="118" t="s">
        <v>709</v>
      </c>
      <c r="C247" s="118" t="s">
        <v>777</v>
      </c>
      <c r="D247" s="201">
        <v>5.8680000000000003</v>
      </c>
      <c r="E247" s="202">
        <v>1305</v>
      </c>
      <c r="F247" s="163"/>
      <c r="G247" s="164"/>
      <c r="H247" s="165"/>
    </row>
    <row r="248" spans="1:8" ht="15.5" x14ac:dyDescent="0.35">
      <c r="A248" s="118" t="s">
        <v>778</v>
      </c>
      <c r="B248" s="118" t="s">
        <v>709</v>
      </c>
      <c r="C248" s="118" t="s">
        <v>779</v>
      </c>
      <c r="D248" s="201">
        <v>21.030999999999999</v>
      </c>
      <c r="E248" s="202">
        <v>4374</v>
      </c>
      <c r="F248" s="163"/>
      <c r="G248" s="164"/>
      <c r="H248" s="165"/>
    </row>
    <row r="249" spans="1:8" ht="15.5" x14ac:dyDescent="0.35">
      <c r="A249" s="118" t="s">
        <v>780</v>
      </c>
      <c r="B249" s="118" t="s">
        <v>709</v>
      </c>
      <c r="C249" s="118" t="s">
        <v>781</v>
      </c>
      <c r="D249" s="201">
        <v>14.068</v>
      </c>
      <c r="E249" s="202">
        <v>3304</v>
      </c>
      <c r="F249" s="163"/>
      <c r="G249" s="164"/>
      <c r="H249" s="165"/>
    </row>
    <row r="250" spans="1:8" ht="15.5" x14ac:dyDescent="0.35">
      <c r="A250" s="118" t="s">
        <v>782</v>
      </c>
      <c r="B250" s="118" t="s">
        <v>709</v>
      </c>
      <c r="C250" s="118" t="s">
        <v>783</v>
      </c>
      <c r="D250" s="201">
        <v>10.137</v>
      </c>
      <c r="E250" s="202">
        <v>2375</v>
      </c>
      <c r="F250" s="163"/>
      <c r="G250" s="164"/>
      <c r="H250" s="165"/>
    </row>
    <row r="251" spans="1:8" ht="15.5" x14ac:dyDescent="0.35">
      <c r="A251" s="118" t="s">
        <v>784</v>
      </c>
      <c r="B251" s="118" t="s">
        <v>709</v>
      </c>
      <c r="C251" s="118" t="s">
        <v>785</v>
      </c>
      <c r="D251" s="201">
        <v>10.492000000000001</v>
      </c>
      <c r="E251" s="202">
        <v>3511</v>
      </c>
      <c r="F251" s="163"/>
      <c r="G251" s="164"/>
      <c r="H251" s="165"/>
    </row>
    <row r="252" spans="1:8" ht="15.5" x14ac:dyDescent="0.35">
      <c r="A252" s="118" t="s">
        <v>786</v>
      </c>
      <c r="B252" s="118" t="s">
        <v>709</v>
      </c>
      <c r="C252" s="118" t="s">
        <v>787</v>
      </c>
      <c r="D252" s="201">
        <v>10.11</v>
      </c>
      <c r="E252" s="202">
        <v>3349</v>
      </c>
      <c r="F252" s="163"/>
      <c r="G252" s="164"/>
      <c r="H252" s="165"/>
    </row>
    <row r="253" spans="1:8" ht="15.5" x14ac:dyDescent="0.35">
      <c r="A253" s="118" t="s">
        <v>788</v>
      </c>
      <c r="B253" s="118" t="s">
        <v>709</v>
      </c>
      <c r="C253" s="118" t="s">
        <v>789</v>
      </c>
      <c r="D253" s="201">
        <v>12.593999999999999</v>
      </c>
      <c r="E253" s="202">
        <v>3693</v>
      </c>
      <c r="F253" s="163"/>
      <c r="G253" s="164"/>
      <c r="H253" s="165"/>
    </row>
    <row r="254" spans="1:8" ht="15.5" x14ac:dyDescent="0.35">
      <c r="A254" s="118" t="s">
        <v>790</v>
      </c>
      <c r="B254" s="118" t="s">
        <v>709</v>
      </c>
      <c r="C254" s="118" t="s">
        <v>791</v>
      </c>
      <c r="D254" s="201">
        <v>11.56</v>
      </c>
      <c r="E254" s="202">
        <v>2626</v>
      </c>
      <c r="F254" s="163"/>
      <c r="G254" s="164"/>
      <c r="H254" s="165"/>
    </row>
    <row r="255" spans="1:8" ht="15.5" x14ac:dyDescent="0.35">
      <c r="A255" s="118" t="s">
        <v>792</v>
      </c>
      <c r="B255" s="118" t="s">
        <v>709</v>
      </c>
      <c r="C255" s="118" t="s">
        <v>793</v>
      </c>
      <c r="D255" s="201">
        <v>5.2320000000000002</v>
      </c>
      <c r="E255" s="202">
        <v>1250</v>
      </c>
      <c r="F255" s="163"/>
      <c r="G255" s="164"/>
      <c r="H255" s="165"/>
    </row>
    <row r="256" spans="1:8" ht="15.5" x14ac:dyDescent="0.35">
      <c r="A256" s="118" t="s">
        <v>794</v>
      </c>
      <c r="B256" s="118" t="s">
        <v>709</v>
      </c>
      <c r="C256" s="118" t="s">
        <v>795</v>
      </c>
      <c r="D256" s="201">
        <v>15.875</v>
      </c>
      <c r="E256" s="202">
        <v>3822</v>
      </c>
      <c r="F256" s="163"/>
      <c r="G256" s="164"/>
      <c r="H256" s="165"/>
    </row>
    <row r="257" spans="1:8" ht="15.5" x14ac:dyDescent="0.35">
      <c r="A257" s="118" t="s">
        <v>796</v>
      </c>
      <c r="B257" s="118" t="s">
        <v>709</v>
      </c>
      <c r="C257" s="118" t="s">
        <v>797</v>
      </c>
      <c r="D257" s="201">
        <v>6.8380000000000001</v>
      </c>
      <c r="E257" s="202">
        <v>1495</v>
      </c>
      <c r="F257" s="163"/>
      <c r="G257" s="164"/>
      <c r="H257" s="165"/>
    </row>
    <row r="258" spans="1:8" ht="15.5" x14ac:dyDescent="0.35">
      <c r="A258" s="118" t="s">
        <v>798</v>
      </c>
      <c r="B258" s="118" t="s">
        <v>709</v>
      </c>
      <c r="C258" s="118" t="s">
        <v>799</v>
      </c>
      <c r="D258" s="201">
        <v>8.2010000000000005</v>
      </c>
      <c r="E258" s="202">
        <v>1939</v>
      </c>
      <c r="F258" s="163"/>
      <c r="G258" s="164"/>
      <c r="H258" s="165"/>
    </row>
    <row r="259" spans="1:8" ht="15.5" x14ac:dyDescent="0.35">
      <c r="A259" s="118" t="s">
        <v>800</v>
      </c>
      <c r="B259" s="118" t="s">
        <v>709</v>
      </c>
      <c r="C259" s="118" t="s">
        <v>801</v>
      </c>
      <c r="D259" s="201">
        <v>8.9570000000000007</v>
      </c>
      <c r="E259" s="202">
        <v>2306</v>
      </c>
      <c r="F259" s="163"/>
      <c r="G259" s="164"/>
      <c r="H259" s="165"/>
    </row>
    <row r="260" spans="1:8" ht="15.5" x14ac:dyDescent="0.35">
      <c r="A260" s="118" t="s">
        <v>802</v>
      </c>
      <c r="B260" s="118" t="s">
        <v>709</v>
      </c>
      <c r="C260" s="118" t="s">
        <v>803</v>
      </c>
      <c r="D260" s="201">
        <v>15.119</v>
      </c>
      <c r="E260" s="202">
        <v>3523</v>
      </c>
      <c r="F260" s="163"/>
      <c r="G260" s="164"/>
      <c r="H260" s="165"/>
    </row>
    <row r="261" spans="1:8" ht="15.5" x14ac:dyDescent="0.35">
      <c r="A261" s="118" t="s">
        <v>804</v>
      </c>
      <c r="B261" s="118" t="s">
        <v>709</v>
      </c>
      <c r="C261" s="118" t="s">
        <v>805</v>
      </c>
      <c r="D261" s="201">
        <v>5.3550000000000004</v>
      </c>
      <c r="E261" s="202">
        <v>1690</v>
      </c>
      <c r="F261" s="163"/>
      <c r="G261" s="164"/>
      <c r="H261" s="165"/>
    </row>
    <row r="262" spans="1:8" ht="15.5" x14ac:dyDescent="0.35">
      <c r="A262" s="118" t="s">
        <v>806</v>
      </c>
      <c r="B262" s="118" t="s">
        <v>709</v>
      </c>
      <c r="C262" s="118" t="s">
        <v>807</v>
      </c>
      <c r="D262" s="201">
        <v>6.6859999999999999</v>
      </c>
      <c r="E262" s="202">
        <v>2045</v>
      </c>
      <c r="F262" s="163"/>
      <c r="G262" s="164"/>
      <c r="H262" s="165"/>
    </row>
    <row r="263" spans="1:8" ht="15.5" x14ac:dyDescent="0.35">
      <c r="A263" s="118" t="s">
        <v>808</v>
      </c>
      <c r="B263" s="118" t="s">
        <v>709</v>
      </c>
      <c r="C263" s="118" t="s">
        <v>809</v>
      </c>
      <c r="D263" s="201">
        <v>9.8789999999999996</v>
      </c>
      <c r="E263" s="202">
        <v>2639</v>
      </c>
      <c r="F263" s="163"/>
      <c r="G263" s="164"/>
      <c r="H263" s="165"/>
    </row>
    <row r="264" spans="1:8" ht="15.5" x14ac:dyDescent="0.35">
      <c r="A264" s="118" t="s">
        <v>810</v>
      </c>
      <c r="B264" s="118" t="s">
        <v>709</v>
      </c>
      <c r="C264" s="118" t="s">
        <v>811</v>
      </c>
      <c r="D264" s="201">
        <v>5.5119999999999996</v>
      </c>
      <c r="E264" s="202">
        <v>1557</v>
      </c>
      <c r="F264" s="163"/>
      <c r="G264" s="164"/>
      <c r="H264" s="165"/>
    </row>
    <row r="265" spans="1:8" ht="15.5" x14ac:dyDescent="0.35">
      <c r="A265" s="118" t="s">
        <v>812</v>
      </c>
      <c r="B265" s="118" t="s">
        <v>709</v>
      </c>
      <c r="C265" s="118" t="s">
        <v>813</v>
      </c>
      <c r="D265" s="201">
        <v>22.026</v>
      </c>
      <c r="E265" s="202">
        <v>5159</v>
      </c>
      <c r="F265" s="163"/>
      <c r="G265" s="164"/>
      <c r="H265" s="165"/>
    </row>
    <row r="266" spans="1:8" ht="15.5" x14ac:dyDescent="0.35">
      <c r="A266" s="118" t="s">
        <v>814</v>
      </c>
      <c r="B266" s="118" t="s">
        <v>709</v>
      </c>
      <c r="C266" s="118" t="s">
        <v>815</v>
      </c>
      <c r="D266" s="201">
        <v>5.4189999999999996</v>
      </c>
      <c r="E266" s="202">
        <v>1448</v>
      </c>
      <c r="F266" s="163"/>
      <c r="G266" s="164"/>
      <c r="H266" s="165"/>
    </row>
    <row r="267" spans="1:8" ht="15.5" x14ac:dyDescent="0.35">
      <c r="A267" s="118" t="s">
        <v>816</v>
      </c>
      <c r="B267" s="118" t="s">
        <v>709</v>
      </c>
      <c r="C267" s="118" t="s">
        <v>817</v>
      </c>
      <c r="D267" s="201">
        <v>5.3369999999999997</v>
      </c>
      <c r="E267" s="202">
        <v>1489</v>
      </c>
      <c r="F267" s="163"/>
      <c r="G267" s="164"/>
      <c r="H267" s="165"/>
    </row>
    <row r="268" spans="1:8" ht="15.5" x14ac:dyDescent="0.35">
      <c r="A268" s="118" t="s">
        <v>818</v>
      </c>
      <c r="B268" s="118" t="s">
        <v>709</v>
      </c>
      <c r="C268" s="118" t="s">
        <v>819</v>
      </c>
      <c r="D268" s="201">
        <v>5.7320000000000002</v>
      </c>
      <c r="E268" s="202">
        <v>1444</v>
      </c>
      <c r="F268" s="163"/>
      <c r="G268" s="164"/>
      <c r="H268" s="165"/>
    </row>
    <row r="269" spans="1:8" ht="15.5" x14ac:dyDescent="0.35">
      <c r="A269" s="118" t="s">
        <v>820</v>
      </c>
      <c r="B269" s="118" t="s">
        <v>709</v>
      </c>
      <c r="C269" s="118" t="s">
        <v>821</v>
      </c>
      <c r="D269" s="201">
        <v>8.9909999999999997</v>
      </c>
      <c r="E269" s="202">
        <v>2333</v>
      </c>
      <c r="F269" s="163"/>
      <c r="G269" s="164"/>
      <c r="H269" s="165"/>
    </row>
    <row r="270" spans="1:8" ht="15.5" x14ac:dyDescent="0.35">
      <c r="A270" s="118" t="s">
        <v>822</v>
      </c>
      <c r="B270" s="118" t="s">
        <v>709</v>
      </c>
      <c r="C270" s="118" t="s">
        <v>823</v>
      </c>
      <c r="D270" s="201">
        <v>9.5050000000000008</v>
      </c>
      <c r="E270" s="202">
        <v>2269</v>
      </c>
      <c r="F270" s="163"/>
      <c r="G270" s="164"/>
      <c r="H270" s="165"/>
    </row>
    <row r="271" spans="1:8" ht="15.5" x14ac:dyDescent="0.35">
      <c r="A271" s="203" t="s">
        <v>824</v>
      </c>
      <c r="B271" s="203" t="s">
        <v>825</v>
      </c>
      <c r="C271" s="118"/>
      <c r="D271" s="201">
        <v>0</v>
      </c>
      <c r="E271" s="202">
        <v>0</v>
      </c>
      <c r="F271" s="163"/>
      <c r="G271" s="164"/>
      <c r="H271" s="165"/>
    </row>
    <row r="272" spans="1:8" ht="15.5" x14ac:dyDescent="0.35">
      <c r="A272" s="118" t="s">
        <v>826</v>
      </c>
      <c r="B272" s="118" t="s">
        <v>825</v>
      </c>
      <c r="C272" s="118" t="s">
        <v>827</v>
      </c>
      <c r="D272" s="201">
        <v>8.0519999999999996</v>
      </c>
      <c r="E272" s="202">
        <v>1947</v>
      </c>
      <c r="F272" s="163"/>
      <c r="G272" s="164"/>
      <c r="H272" s="165"/>
    </row>
    <row r="273" spans="1:8" ht="15.5" x14ac:dyDescent="0.35">
      <c r="A273" s="118" t="s">
        <v>828</v>
      </c>
      <c r="B273" s="118" t="s">
        <v>825</v>
      </c>
      <c r="C273" s="118" t="s">
        <v>829</v>
      </c>
      <c r="D273" s="201">
        <v>8.0760000000000005</v>
      </c>
      <c r="E273" s="202">
        <v>2025</v>
      </c>
      <c r="F273" s="163"/>
      <c r="G273" s="164"/>
      <c r="H273" s="165"/>
    </row>
    <row r="274" spans="1:8" ht="15.5" x14ac:dyDescent="0.35">
      <c r="A274" s="118" t="s">
        <v>830</v>
      </c>
      <c r="B274" s="118" t="s">
        <v>825</v>
      </c>
      <c r="C274" s="118" t="s">
        <v>831</v>
      </c>
      <c r="D274" s="201">
        <v>13.454000000000001</v>
      </c>
      <c r="E274" s="202">
        <v>3069</v>
      </c>
      <c r="F274" s="163"/>
      <c r="G274" s="164"/>
      <c r="H274" s="165"/>
    </row>
    <row r="275" spans="1:8" ht="15.5" x14ac:dyDescent="0.35">
      <c r="A275" s="118" t="s">
        <v>832</v>
      </c>
      <c r="B275" s="118" t="s">
        <v>825</v>
      </c>
      <c r="C275" s="118" t="s">
        <v>833</v>
      </c>
      <c r="D275" s="201">
        <v>8.1470000000000002</v>
      </c>
      <c r="E275" s="202">
        <v>1863</v>
      </c>
      <c r="F275" s="163"/>
      <c r="G275" s="164"/>
      <c r="H275" s="165"/>
    </row>
    <row r="276" spans="1:8" ht="15.5" x14ac:dyDescent="0.35">
      <c r="A276" s="118" t="s">
        <v>834</v>
      </c>
      <c r="B276" s="118" t="s">
        <v>825</v>
      </c>
      <c r="C276" s="118" t="s">
        <v>835</v>
      </c>
      <c r="D276" s="201">
        <v>22.363</v>
      </c>
      <c r="E276" s="202">
        <v>5041</v>
      </c>
      <c r="F276" s="163"/>
      <c r="G276" s="164"/>
      <c r="H276" s="165"/>
    </row>
    <row r="277" spans="1:8" ht="15.5" x14ac:dyDescent="0.35">
      <c r="A277" s="118" t="s">
        <v>836</v>
      </c>
      <c r="B277" s="118" t="s">
        <v>825</v>
      </c>
      <c r="C277" s="118" t="s">
        <v>837</v>
      </c>
      <c r="D277" s="201">
        <v>5.5209999999999999</v>
      </c>
      <c r="E277" s="202">
        <v>1477</v>
      </c>
      <c r="F277" s="163"/>
      <c r="G277" s="164"/>
      <c r="H277" s="165"/>
    </row>
    <row r="278" spans="1:8" ht="15.5" x14ac:dyDescent="0.35">
      <c r="A278" s="118" t="s">
        <v>838</v>
      </c>
      <c r="B278" s="118" t="s">
        <v>825</v>
      </c>
      <c r="C278" s="118" t="s">
        <v>839</v>
      </c>
      <c r="D278" s="201">
        <v>20.879000000000001</v>
      </c>
      <c r="E278" s="202">
        <v>5038</v>
      </c>
      <c r="F278" s="163"/>
      <c r="G278" s="164"/>
      <c r="H278" s="165"/>
    </row>
    <row r="279" spans="1:8" ht="15.5" x14ac:dyDescent="0.35">
      <c r="A279" s="118" t="s">
        <v>840</v>
      </c>
      <c r="B279" s="118" t="s">
        <v>825</v>
      </c>
      <c r="C279" s="118" t="s">
        <v>841</v>
      </c>
      <c r="D279" s="201">
        <v>11.226000000000001</v>
      </c>
      <c r="E279" s="202">
        <v>3478</v>
      </c>
      <c r="F279" s="163"/>
      <c r="G279" s="164"/>
      <c r="H279" s="165"/>
    </row>
    <row r="280" spans="1:8" ht="15.5" x14ac:dyDescent="0.35">
      <c r="A280" s="118" t="s">
        <v>842</v>
      </c>
      <c r="B280" s="118" t="s">
        <v>825</v>
      </c>
      <c r="C280" s="118" t="s">
        <v>843</v>
      </c>
      <c r="D280" s="201">
        <v>6.87</v>
      </c>
      <c r="E280" s="202">
        <v>1740</v>
      </c>
      <c r="F280" s="163"/>
      <c r="G280" s="164"/>
      <c r="H280" s="165"/>
    </row>
    <row r="281" spans="1:8" ht="15.5" x14ac:dyDescent="0.35">
      <c r="A281" s="118" t="s">
        <v>844</v>
      </c>
      <c r="B281" s="118" t="s">
        <v>825</v>
      </c>
      <c r="C281" s="118" t="s">
        <v>845</v>
      </c>
      <c r="D281" s="201">
        <v>20.619</v>
      </c>
      <c r="E281" s="202">
        <v>4643</v>
      </c>
      <c r="F281" s="163"/>
      <c r="G281" s="164"/>
      <c r="H281" s="165"/>
    </row>
    <row r="282" spans="1:8" ht="15.5" x14ac:dyDescent="0.35">
      <c r="A282" s="118" t="s">
        <v>846</v>
      </c>
      <c r="B282" s="118" t="s">
        <v>825</v>
      </c>
      <c r="C282" s="118" t="s">
        <v>847</v>
      </c>
      <c r="D282" s="201">
        <v>9.4979999999999993</v>
      </c>
      <c r="E282" s="202">
        <v>2317</v>
      </c>
      <c r="F282" s="163"/>
      <c r="G282" s="164"/>
      <c r="H282" s="165"/>
    </row>
    <row r="283" spans="1:8" ht="15.5" x14ac:dyDescent="0.35">
      <c r="A283" s="118" t="s">
        <v>848</v>
      </c>
      <c r="B283" s="118" t="s">
        <v>825</v>
      </c>
      <c r="C283" s="118" t="s">
        <v>849</v>
      </c>
      <c r="D283" s="201">
        <v>14.569000000000001</v>
      </c>
      <c r="E283" s="202">
        <v>3783</v>
      </c>
      <c r="F283" s="163"/>
      <c r="G283" s="164"/>
      <c r="H283" s="165"/>
    </row>
    <row r="284" spans="1:8" ht="15.5" x14ac:dyDescent="0.35">
      <c r="A284" s="118" t="s">
        <v>850</v>
      </c>
      <c r="B284" s="118" t="s">
        <v>825</v>
      </c>
      <c r="C284" s="118" t="s">
        <v>851</v>
      </c>
      <c r="D284" s="201">
        <v>15.654999999999999</v>
      </c>
      <c r="E284" s="202">
        <v>4487</v>
      </c>
      <c r="F284" s="163"/>
      <c r="G284" s="164"/>
      <c r="H284" s="165"/>
    </row>
    <row r="285" spans="1:8" ht="15.5" x14ac:dyDescent="0.35">
      <c r="A285" s="118" t="s">
        <v>852</v>
      </c>
      <c r="B285" s="118" t="s">
        <v>825</v>
      </c>
      <c r="C285" s="118" t="s">
        <v>853</v>
      </c>
      <c r="D285" s="201">
        <v>9.5180000000000007</v>
      </c>
      <c r="E285" s="202">
        <v>2199</v>
      </c>
      <c r="F285" s="163"/>
      <c r="G285" s="164"/>
      <c r="H285" s="165"/>
    </row>
    <row r="286" spans="1:8" ht="15.5" x14ac:dyDescent="0.35">
      <c r="A286" s="118" t="s">
        <v>854</v>
      </c>
      <c r="B286" s="118" t="s">
        <v>825</v>
      </c>
      <c r="C286" s="118" t="s">
        <v>855</v>
      </c>
      <c r="D286" s="201">
        <v>23.216999999999999</v>
      </c>
      <c r="E286" s="202">
        <v>5511</v>
      </c>
      <c r="F286" s="163"/>
      <c r="G286" s="164"/>
      <c r="H286" s="165"/>
    </row>
    <row r="287" spans="1:8" ht="15.5" x14ac:dyDescent="0.35">
      <c r="A287" s="118" t="s">
        <v>856</v>
      </c>
      <c r="B287" s="118" t="s">
        <v>825</v>
      </c>
      <c r="C287" s="118" t="s">
        <v>857</v>
      </c>
      <c r="D287" s="201">
        <v>5.7409999999999997</v>
      </c>
      <c r="E287" s="202">
        <v>1437</v>
      </c>
      <c r="F287" s="163"/>
      <c r="G287" s="164"/>
      <c r="H287" s="165"/>
    </row>
    <row r="288" spans="1:8" ht="15.5" x14ac:dyDescent="0.35">
      <c r="A288" s="118" t="s">
        <v>858</v>
      </c>
      <c r="B288" s="118" t="s">
        <v>825</v>
      </c>
      <c r="C288" s="118" t="s">
        <v>859</v>
      </c>
      <c r="D288" s="201">
        <v>14.837</v>
      </c>
      <c r="E288" s="202">
        <v>3658</v>
      </c>
      <c r="F288" s="163"/>
      <c r="G288" s="164"/>
      <c r="H288" s="165"/>
    </row>
    <row r="289" spans="1:8" ht="15.5" x14ac:dyDescent="0.35">
      <c r="A289" s="118" t="s">
        <v>860</v>
      </c>
      <c r="B289" s="118" t="s">
        <v>825</v>
      </c>
      <c r="C289" s="118" t="s">
        <v>861</v>
      </c>
      <c r="D289" s="201">
        <v>7.5439999999999996</v>
      </c>
      <c r="E289" s="202">
        <v>1761</v>
      </c>
      <c r="F289" s="163"/>
      <c r="G289" s="164"/>
      <c r="H289" s="165"/>
    </row>
    <row r="290" spans="1:8" ht="15.5" x14ac:dyDescent="0.35">
      <c r="A290" s="118" t="s">
        <v>862</v>
      </c>
      <c r="B290" s="118" t="s">
        <v>825</v>
      </c>
      <c r="C290" s="118" t="s">
        <v>863</v>
      </c>
      <c r="D290" s="201">
        <v>12.554</v>
      </c>
      <c r="E290" s="202">
        <v>2864</v>
      </c>
      <c r="F290" s="163"/>
      <c r="G290" s="164"/>
      <c r="H290" s="165"/>
    </row>
    <row r="291" spans="1:8" ht="15.5" x14ac:dyDescent="0.35">
      <c r="A291" s="118" t="s">
        <v>864</v>
      </c>
      <c r="B291" s="118" t="s">
        <v>825</v>
      </c>
      <c r="C291" s="118" t="s">
        <v>865</v>
      </c>
      <c r="D291" s="201">
        <v>18.760000000000002</v>
      </c>
      <c r="E291" s="202">
        <v>4433</v>
      </c>
      <c r="F291" s="163"/>
      <c r="G291" s="164"/>
      <c r="H291" s="165"/>
    </row>
    <row r="292" spans="1:8" ht="15.5" x14ac:dyDescent="0.35">
      <c r="A292" s="118" t="s">
        <v>866</v>
      </c>
      <c r="B292" s="118" t="s">
        <v>825</v>
      </c>
      <c r="C292" s="118" t="s">
        <v>867</v>
      </c>
      <c r="D292" s="201">
        <v>7.2530000000000001</v>
      </c>
      <c r="E292" s="202">
        <v>1751</v>
      </c>
      <c r="F292" s="163"/>
      <c r="G292" s="164"/>
      <c r="H292" s="165"/>
    </row>
    <row r="293" spans="1:8" ht="15.5" x14ac:dyDescent="0.35">
      <c r="A293" s="118" t="s">
        <v>868</v>
      </c>
      <c r="B293" s="118" t="s">
        <v>825</v>
      </c>
      <c r="C293" s="118" t="s">
        <v>869</v>
      </c>
      <c r="D293" s="201">
        <v>9.8539999999999992</v>
      </c>
      <c r="E293" s="202">
        <v>2453</v>
      </c>
      <c r="F293" s="163"/>
      <c r="G293" s="164"/>
      <c r="H293" s="165"/>
    </row>
    <row r="294" spans="1:8" ht="15.5" x14ac:dyDescent="0.35">
      <c r="A294" s="118" t="s">
        <v>870</v>
      </c>
      <c r="B294" s="118" t="s">
        <v>825</v>
      </c>
      <c r="C294" s="118" t="s">
        <v>871</v>
      </c>
      <c r="D294" s="201">
        <v>5.9</v>
      </c>
      <c r="E294" s="202">
        <v>1304</v>
      </c>
      <c r="F294" s="163"/>
      <c r="G294" s="164"/>
      <c r="H294" s="165"/>
    </row>
    <row r="295" spans="1:8" ht="15.5" x14ac:dyDescent="0.35">
      <c r="A295" s="118" t="s">
        <v>872</v>
      </c>
      <c r="B295" s="118" t="s">
        <v>825</v>
      </c>
      <c r="C295" s="118" t="s">
        <v>873</v>
      </c>
      <c r="D295" s="201">
        <v>12.093999999999999</v>
      </c>
      <c r="E295" s="202">
        <v>3109</v>
      </c>
      <c r="F295" s="163"/>
      <c r="G295" s="164"/>
      <c r="H295" s="165"/>
    </row>
    <row r="296" spans="1:8" ht="15.5" x14ac:dyDescent="0.35">
      <c r="A296" s="118" t="s">
        <v>874</v>
      </c>
      <c r="B296" s="118" t="s">
        <v>825</v>
      </c>
      <c r="C296" s="118" t="s">
        <v>875</v>
      </c>
      <c r="D296" s="201">
        <v>18.766999999999999</v>
      </c>
      <c r="E296" s="202">
        <v>4152</v>
      </c>
      <c r="F296" s="163"/>
      <c r="G296" s="164"/>
      <c r="H296" s="165"/>
    </row>
    <row r="297" spans="1:8" ht="15.5" x14ac:dyDescent="0.35">
      <c r="A297" s="118" t="s">
        <v>876</v>
      </c>
      <c r="B297" s="118" t="s">
        <v>825</v>
      </c>
      <c r="C297" s="118" t="s">
        <v>877</v>
      </c>
      <c r="D297" s="201">
        <v>9.7609999999999992</v>
      </c>
      <c r="E297" s="202">
        <v>2759</v>
      </c>
      <c r="F297" s="163"/>
      <c r="G297" s="164"/>
      <c r="H297" s="165"/>
    </row>
    <row r="298" spans="1:8" ht="15.5" x14ac:dyDescent="0.35">
      <c r="A298" s="118" t="s">
        <v>878</v>
      </c>
      <c r="B298" s="118" t="s">
        <v>825</v>
      </c>
      <c r="C298" s="118" t="s">
        <v>879</v>
      </c>
      <c r="D298" s="201">
        <v>12.445</v>
      </c>
      <c r="E298" s="202">
        <v>3098</v>
      </c>
      <c r="F298" s="163"/>
      <c r="G298" s="164"/>
      <c r="H298" s="165"/>
    </row>
    <row r="299" spans="1:8" ht="15.5" x14ac:dyDescent="0.35">
      <c r="A299" s="118" t="s">
        <v>880</v>
      </c>
      <c r="B299" s="118" t="s">
        <v>825</v>
      </c>
      <c r="C299" s="118" t="s">
        <v>881</v>
      </c>
      <c r="D299" s="201">
        <v>5.9080000000000004</v>
      </c>
      <c r="E299" s="202">
        <v>1735</v>
      </c>
      <c r="F299" s="163"/>
      <c r="G299" s="164"/>
      <c r="H299" s="165"/>
    </row>
    <row r="300" spans="1:8" ht="15.5" x14ac:dyDescent="0.35">
      <c r="A300" s="118" t="s">
        <v>882</v>
      </c>
      <c r="B300" s="118" t="s">
        <v>825</v>
      </c>
      <c r="C300" s="118" t="s">
        <v>883</v>
      </c>
      <c r="D300" s="201">
        <v>5.915</v>
      </c>
      <c r="E300" s="202">
        <v>1506</v>
      </c>
      <c r="F300" s="163"/>
      <c r="G300" s="164"/>
      <c r="H300" s="165"/>
    </row>
    <row r="301" spans="1:8" ht="15.5" x14ac:dyDescent="0.35">
      <c r="A301" s="118" t="s">
        <v>884</v>
      </c>
      <c r="B301" s="118" t="s">
        <v>825</v>
      </c>
      <c r="C301" s="118" t="s">
        <v>885</v>
      </c>
      <c r="D301" s="201">
        <v>15.885999999999999</v>
      </c>
      <c r="E301" s="202">
        <v>3560</v>
      </c>
      <c r="F301" s="163"/>
      <c r="G301" s="164"/>
      <c r="H301" s="165"/>
    </row>
    <row r="302" spans="1:8" ht="15.5" x14ac:dyDescent="0.35">
      <c r="A302" s="118" t="s">
        <v>886</v>
      </c>
      <c r="B302" s="118" t="s">
        <v>825</v>
      </c>
      <c r="C302" s="118" t="s">
        <v>887</v>
      </c>
      <c r="D302" s="201">
        <v>12.973000000000001</v>
      </c>
      <c r="E302" s="202">
        <v>3020</v>
      </c>
      <c r="F302" s="163"/>
      <c r="G302" s="164"/>
      <c r="H302" s="165"/>
    </row>
    <row r="303" spans="1:8" ht="15.5" x14ac:dyDescent="0.35">
      <c r="A303" s="118" t="s">
        <v>888</v>
      </c>
      <c r="B303" s="118" t="s">
        <v>825</v>
      </c>
      <c r="C303" s="118" t="s">
        <v>889</v>
      </c>
      <c r="D303" s="201">
        <v>25.126999999999999</v>
      </c>
      <c r="E303" s="202">
        <v>5470</v>
      </c>
      <c r="F303" s="163"/>
      <c r="G303" s="164"/>
      <c r="H303" s="165"/>
    </row>
    <row r="304" spans="1:8" ht="15.5" x14ac:dyDescent="0.35">
      <c r="A304" s="118" t="s">
        <v>890</v>
      </c>
      <c r="B304" s="118" t="s">
        <v>825</v>
      </c>
      <c r="C304" s="118" t="s">
        <v>891</v>
      </c>
      <c r="D304" s="201">
        <v>16.977</v>
      </c>
      <c r="E304" s="202">
        <v>3565</v>
      </c>
      <c r="F304" s="163"/>
      <c r="G304" s="164"/>
      <c r="H304" s="165"/>
    </row>
    <row r="305" spans="1:8" ht="15.5" x14ac:dyDescent="0.35">
      <c r="A305" s="118" t="s">
        <v>892</v>
      </c>
      <c r="B305" s="118" t="s">
        <v>825</v>
      </c>
      <c r="C305" s="118" t="s">
        <v>893</v>
      </c>
      <c r="D305" s="201">
        <v>17.866</v>
      </c>
      <c r="E305" s="202">
        <v>4262</v>
      </c>
      <c r="F305" s="163"/>
      <c r="G305" s="164"/>
      <c r="H305" s="165"/>
    </row>
    <row r="306" spans="1:8" ht="15.5" x14ac:dyDescent="0.35">
      <c r="A306" s="118" t="s">
        <v>894</v>
      </c>
      <c r="B306" s="118" t="s">
        <v>825</v>
      </c>
      <c r="C306" s="118" t="s">
        <v>895</v>
      </c>
      <c r="D306" s="201">
        <v>12.404999999999999</v>
      </c>
      <c r="E306" s="202">
        <v>3165</v>
      </c>
      <c r="F306" s="163"/>
      <c r="G306" s="164"/>
      <c r="H306" s="165"/>
    </row>
    <row r="307" spans="1:8" ht="15.5" x14ac:dyDescent="0.35">
      <c r="A307" s="118" t="s">
        <v>896</v>
      </c>
      <c r="B307" s="118" t="s">
        <v>825</v>
      </c>
      <c r="C307" s="118" t="s">
        <v>897</v>
      </c>
      <c r="D307" s="201">
        <v>22.234000000000002</v>
      </c>
      <c r="E307" s="202">
        <v>4742</v>
      </c>
      <c r="F307" s="163"/>
      <c r="G307" s="164"/>
      <c r="H307" s="165"/>
    </row>
    <row r="308" spans="1:8" ht="15.5" x14ac:dyDescent="0.35">
      <c r="A308" s="118" t="s">
        <v>898</v>
      </c>
      <c r="B308" s="118" t="s">
        <v>825</v>
      </c>
      <c r="C308" s="118" t="s">
        <v>899</v>
      </c>
      <c r="D308" s="201">
        <v>20.276</v>
      </c>
      <c r="E308" s="202">
        <v>5410</v>
      </c>
      <c r="F308" s="163"/>
      <c r="G308" s="164"/>
      <c r="H308" s="165"/>
    </row>
    <row r="309" spans="1:8" ht="15.5" x14ac:dyDescent="0.35">
      <c r="A309" s="118" t="s">
        <v>900</v>
      </c>
      <c r="B309" s="118" t="s">
        <v>825</v>
      </c>
      <c r="C309" s="118" t="s">
        <v>901</v>
      </c>
      <c r="D309" s="201">
        <v>17.457999999999998</v>
      </c>
      <c r="E309" s="202">
        <v>4414</v>
      </c>
      <c r="F309" s="163"/>
      <c r="G309" s="164"/>
      <c r="H309" s="165"/>
    </row>
    <row r="310" spans="1:8" ht="15.5" x14ac:dyDescent="0.35">
      <c r="A310" s="118" t="s">
        <v>902</v>
      </c>
      <c r="B310" s="118" t="s">
        <v>825</v>
      </c>
      <c r="C310" s="118" t="s">
        <v>903</v>
      </c>
      <c r="D310" s="201">
        <v>18.462</v>
      </c>
      <c r="E310" s="202">
        <v>3941</v>
      </c>
      <c r="F310" s="163"/>
      <c r="G310" s="164"/>
      <c r="H310" s="165"/>
    </row>
    <row r="311" spans="1:8" ht="15.5" x14ac:dyDescent="0.35">
      <c r="A311" s="118" t="s">
        <v>904</v>
      </c>
      <c r="B311" s="118" t="s">
        <v>825</v>
      </c>
      <c r="C311" s="118" t="s">
        <v>905</v>
      </c>
      <c r="D311" s="201">
        <v>10.835000000000001</v>
      </c>
      <c r="E311" s="202">
        <v>2960</v>
      </c>
      <c r="F311" s="163"/>
      <c r="G311" s="164"/>
      <c r="H311" s="165"/>
    </row>
    <row r="312" spans="1:8" ht="15.5" x14ac:dyDescent="0.35">
      <c r="A312" s="118" t="s">
        <v>906</v>
      </c>
      <c r="B312" s="118" t="s">
        <v>825</v>
      </c>
      <c r="C312" s="118" t="s">
        <v>907</v>
      </c>
      <c r="D312" s="201">
        <v>9.81</v>
      </c>
      <c r="E312" s="202">
        <v>2758</v>
      </c>
      <c r="F312" s="163"/>
      <c r="G312" s="164"/>
      <c r="H312" s="165"/>
    </row>
    <row r="313" spans="1:8" ht="15.5" x14ac:dyDescent="0.35">
      <c r="A313" s="118" t="s">
        <v>908</v>
      </c>
      <c r="B313" s="118" t="s">
        <v>825</v>
      </c>
      <c r="C313" s="118" t="s">
        <v>909</v>
      </c>
      <c r="D313" s="201">
        <v>24.318000000000001</v>
      </c>
      <c r="E313" s="202">
        <v>7451</v>
      </c>
      <c r="F313" s="163"/>
      <c r="G313" s="164"/>
      <c r="H313" s="165"/>
    </row>
    <row r="314" spans="1:8" ht="15.5" x14ac:dyDescent="0.35">
      <c r="A314" s="118" t="s">
        <v>910</v>
      </c>
      <c r="B314" s="118" t="s">
        <v>825</v>
      </c>
      <c r="C314" s="118" t="s">
        <v>911</v>
      </c>
      <c r="D314" s="201">
        <v>8.5809999999999995</v>
      </c>
      <c r="E314" s="202">
        <v>2225</v>
      </c>
      <c r="F314" s="163"/>
      <c r="G314" s="164"/>
      <c r="H314" s="165"/>
    </row>
    <row r="315" spans="1:8" ht="15.5" x14ac:dyDescent="0.35">
      <c r="A315" s="118" t="s">
        <v>912</v>
      </c>
      <c r="B315" s="118" t="s">
        <v>825</v>
      </c>
      <c r="C315" s="118" t="s">
        <v>913</v>
      </c>
      <c r="D315" s="201">
        <v>7.2830000000000004</v>
      </c>
      <c r="E315" s="202">
        <v>2046</v>
      </c>
      <c r="F315" s="163"/>
      <c r="G315" s="164"/>
      <c r="H315" s="165"/>
    </row>
    <row r="316" spans="1:8" ht="15.5" x14ac:dyDescent="0.35">
      <c r="A316" s="118" t="s">
        <v>914</v>
      </c>
      <c r="B316" s="118" t="s">
        <v>825</v>
      </c>
      <c r="C316" s="118" t="s">
        <v>915</v>
      </c>
      <c r="D316" s="201">
        <v>29.074999999999999</v>
      </c>
      <c r="E316" s="202">
        <v>6970</v>
      </c>
      <c r="F316" s="163"/>
      <c r="G316" s="164"/>
      <c r="H316" s="165"/>
    </row>
    <row r="317" spans="1:8" ht="15.5" x14ac:dyDescent="0.35">
      <c r="A317" s="118" t="s">
        <v>916</v>
      </c>
      <c r="B317" s="118" t="s">
        <v>825</v>
      </c>
      <c r="C317" s="118" t="s">
        <v>917</v>
      </c>
      <c r="D317" s="201">
        <v>26.571000000000002</v>
      </c>
      <c r="E317" s="202">
        <v>6064</v>
      </c>
      <c r="F317" s="163"/>
      <c r="G317" s="164"/>
      <c r="H317" s="165"/>
    </row>
    <row r="318" spans="1:8" ht="15.5" x14ac:dyDescent="0.35">
      <c r="A318" s="118" t="s">
        <v>918</v>
      </c>
      <c r="B318" s="118" t="s">
        <v>825</v>
      </c>
      <c r="C318" s="118" t="s">
        <v>919</v>
      </c>
      <c r="D318" s="201">
        <v>21.757000000000001</v>
      </c>
      <c r="E318" s="202">
        <v>5486</v>
      </c>
      <c r="F318" s="163"/>
      <c r="G318" s="164"/>
      <c r="H318" s="165"/>
    </row>
    <row r="319" spans="1:8" ht="15.5" x14ac:dyDescent="0.35">
      <c r="A319" s="118" t="s">
        <v>920</v>
      </c>
      <c r="B319" s="118" t="s">
        <v>825</v>
      </c>
      <c r="C319" s="118" t="s">
        <v>921</v>
      </c>
      <c r="D319" s="201">
        <v>7.5309999999999997</v>
      </c>
      <c r="E319" s="202">
        <v>1762</v>
      </c>
      <c r="F319" s="163"/>
      <c r="G319" s="164"/>
      <c r="H319" s="165"/>
    </row>
    <row r="320" spans="1:8" ht="15.5" x14ac:dyDescent="0.35">
      <c r="A320" s="118" t="s">
        <v>922</v>
      </c>
      <c r="B320" s="118" t="s">
        <v>825</v>
      </c>
      <c r="C320" s="118" t="s">
        <v>923</v>
      </c>
      <c r="D320" s="201">
        <v>21.843</v>
      </c>
      <c r="E320" s="202">
        <v>4780</v>
      </c>
      <c r="F320" s="163"/>
      <c r="G320" s="164"/>
      <c r="H320" s="165"/>
    </row>
    <row r="321" spans="1:8" ht="15.5" x14ac:dyDescent="0.35">
      <c r="A321" s="118" t="s">
        <v>924</v>
      </c>
      <c r="B321" s="118" t="s">
        <v>825</v>
      </c>
      <c r="C321" s="118" t="s">
        <v>925</v>
      </c>
      <c r="D321" s="201">
        <v>6.351</v>
      </c>
      <c r="E321" s="202">
        <v>1840</v>
      </c>
      <c r="F321" s="163"/>
      <c r="G321" s="164"/>
      <c r="H321" s="165"/>
    </row>
    <row r="322" spans="1:8" ht="15.5" x14ac:dyDescent="0.35">
      <c r="A322" s="118" t="s">
        <v>926</v>
      </c>
      <c r="B322" s="118" t="s">
        <v>825</v>
      </c>
      <c r="C322" s="118" t="s">
        <v>927</v>
      </c>
      <c r="D322" s="201">
        <v>5.3230000000000004</v>
      </c>
      <c r="E322" s="202">
        <v>1522</v>
      </c>
      <c r="F322" s="163"/>
      <c r="G322" s="164"/>
      <c r="H322" s="165"/>
    </row>
    <row r="323" spans="1:8" ht="15.5" x14ac:dyDescent="0.35">
      <c r="A323" s="118" t="s">
        <v>928</v>
      </c>
      <c r="B323" s="118" t="s">
        <v>825</v>
      </c>
      <c r="C323" s="118" t="s">
        <v>929</v>
      </c>
      <c r="D323" s="201">
        <v>10.063000000000001</v>
      </c>
      <c r="E323" s="202">
        <v>2560</v>
      </c>
      <c r="F323" s="163"/>
      <c r="G323" s="164"/>
      <c r="H323" s="165"/>
    </row>
    <row r="324" spans="1:8" ht="15.5" x14ac:dyDescent="0.35">
      <c r="A324" s="118" t="s">
        <v>930</v>
      </c>
      <c r="B324" s="118" t="s">
        <v>825</v>
      </c>
      <c r="C324" s="118" t="s">
        <v>931</v>
      </c>
      <c r="D324" s="201">
        <v>22.638000000000002</v>
      </c>
      <c r="E324" s="202">
        <v>5459</v>
      </c>
      <c r="F324" s="163"/>
      <c r="G324" s="164"/>
      <c r="H324" s="165"/>
    </row>
    <row r="325" spans="1:8" ht="15.5" x14ac:dyDescent="0.35">
      <c r="A325" s="118" t="s">
        <v>932</v>
      </c>
      <c r="B325" s="118" t="s">
        <v>825</v>
      </c>
      <c r="C325" s="118" t="s">
        <v>933</v>
      </c>
      <c r="D325" s="201">
        <v>7.83</v>
      </c>
      <c r="E325" s="202">
        <v>2074</v>
      </c>
      <c r="F325" s="163"/>
      <c r="G325" s="164"/>
      <c r="H325" s="165"/>
    </row>
    <row r="326" spans="1:8" ht="15.5" x14ac:dyDescent="0.35">
      <c r="A326" s="118" t="s">
        <v>934</v>
      </c>
      <c r="B326" s="118" t="s">
        <v>825</v>
      </c>
      <c r="C326" s="118" t="s">
        <v>935</v>
      </c>
      <c r="D326" s="201">
        <v>23.253</v>
      </c>
      <c r="E326" s="202">
        <v>5344</v>
      </c>
      <c r="F326" s="163"/>
      <c r="G326" s="164"/>
      <c r="H326" s="165"/>
    </row>
    <row r="327" spans="1:8" ht="15.5" x14ac:dyDescent="0.35">
      <c r="A327" s="118" t="s">
        <v>936</v>
      </c>
      <c r="B327" s="118" t="s">
        <v>825</v>
      </c>
      <c r="C327" s="118" t="s">
        <v>937</v>
      </c>
      <c r="D327" s="201">
        <v>5.19</v>
      </c>
      <c r="E327" s="202">
        <v>1796</v>
      </c>
      <c r="F327" s="163"/>
      <c r="G327" s="164"/>
      <c r="H327" s="165"/>
    </row>
    <row r="328" spans="1:8" ht="15.5" x14ac:dyDescent="0.35">
      <c r="A328" s="118" t="s">
        <v>938</v>
      </c>
      <c r="B328" s="118" t="s">
        <v>825</v>
      </c>
      <c r="C328" s="118" t="s">
        <v>939</v>
      </c>
      <c r="D328" s="201">
        <v>4.6239999999999997</v>
      </c>
      <c r="E328" s="202">
        <v>1149</v>
      </c>
      <c r="F328" s="163"/>
      <c r="G328" s="164"/>
      <c r="H328" s="165"/>
    </row>
    <row r="329" spans="1:8" ht="15.5" x14ac:dyDescent="0.35">
      <c r="A329" s="118" t="s">
        <v>940</v>
      </c>
      <c r="B329" s="118" t="s">
        <v>825</v>
      </c>
      <c r="C329" s="118" t="s">
        <v>941</v>
      </c>
      <c r="D329" s="201">
        <v>25.202999999999999</v>
      </c>
      <c r="E329" s="202">
        <v>5593</v>
      </c>
      <c r="F329" s="163"/>
      <c r="G329" s="164"/>
      <c r="H329" s="165"/>
    </row>
    <row r="330" spans="1:8" ht="15.5" x14ac:dyDescent="0.35">
      <c r="A330" s="118" t="s">
        <v>942</v>
      </c>
      <c r="B330" s="118" t="s">
        <v>825</v>
      </c>
      <c r="C330" s="118" t="s">
        <v>943</v>
      </c>
      <c r="D330" s="201">
        <v>8.0220000000000002</v>
      </c>
      <c r="E330" s="202">
        <v>2013</v>
      </c>
      <c r="F330" s="163"/>
      <c r="G330" s="164"/>
      <c r="H330" s="165"/>
    </row>
    <row r="331" spans="1:8" ht="15.5" x14ac:dyDescent="0.35">
      <c r="A331" s="118" t="s">
        <v>944</v>
      </c>
      <c r="B331" s="118" t="s">
        <v>825</v>
      </c>
      <c r="C331" s="118" t="s">
        <v>945</v>
      </c>
      <c r="D331" s="201">
        <v>20.003</v>
      </c>
      <c r="E331" s="202">
        <v>4495</v>
      </c>
      <c r="F331" s="163"/>
      <c r="G331" s="164"/>
      <c r="H331" s="165"/>
    </row>
    <row r="332" spans="1:8" ht="15.5" x14ac:dyDescent="0.35">
      <c r="A332" s="118" t="s">
        <v>946</v>
      </c>
      <c r="B332" s="118" t="s">
        <v>825</v>
      </c>
      <c r="C332" s="118" t="s">
        <v>947</v>
      </c>
      <c r="D332" s="201">
        <v>15.298999999999999</v>
      </c>
      <c r="E332" s="202">
        <v>3601</v>
      </c>
      <c r="F332" s="163"/>
      <c r="G332" s="164"/>
      <c r="H332" s="165"/>
    </row>
    <row r="333" spans="1:8" ht="15.5" x14ac:dyDescent="0.35">
      <c r="A333" s="203" t="s">
        <v>948</v>
      </c>
      <c r="B333" s="203" t="s">
        <v>949</v>
      </c>
      <c r="C333" s="118"/>
      <c r="D333" s="201">
        <v>0</v>
      </c>
      <c r="E333" s="202">
        <v>0</v>
      </c>
      <c r="F333" s="163"/>
      <c r="G333" s="164"/>
      <c r="H333" s="165"/>
    </row>
    <row r="334" spans="1:8" ht="15.5" x14ac:dyDescent="0.35">
      <c r="A334" s="118" t="s">
        <v>950</v>
      </c>
      <c r="B334" s="118" t="s">
        <v>949</v>
      </c>
      <c r="C334" s="118" t="s">
        <v>951</v>
      </c>
      <c r="D334" s="201">
        <v>4.07</v>
      </c>
      <c r="E334" s="202">
        <v>1322</v>
      </c>
      <c r="F334" s="163"/>
      <c r="G334" s="164"/>
      <c r="H334" s="165"/>
    </row>
    <row r="335" spans="1:8" ht="15.5" x14ac:dyDescent="0.35">
      <c r="A335" s="118" t="s">
        <v>952</v>
      </c>
      <c r="B335" s="118" t="s">
        <v>949</v>
      </c>
      <c r="C335" s="118" t="s">
        <v>953</v>
      </c>
      <c r="D335" s="201">
        <v>2.5150000000000001</v>
      </c>
      <c r="E335" s="202">
        <v>693</v>
      </c>
      <c r="F335" s="163"/>
      <c r="G335" s="164"/>
      <c r="H335" s="165"/>
    </row>
    <row r="336" spans="1:8" ht="15.5" x14ac:dyDescent="0.35">
      <c r="A336" s="118" t="s">
        <v>954</v>
      </c>
      <c r="B336" s="118" t="s">
        <v>949</v>
      </c>
      <c r="C336" s="118" t="s">
        <v>955</v>
      </c>
      <c r="D336" s="201">
        <v>3.528</v>
      </c>
      <c r="E336" s="202">
        <v>879</v>
      </c>
      <c r="F336" s="163"/>
      <c r="G336" s="164"/>
      <c r="H336" s="165"/>
    </row>
    <row r="337" spans="1:8" ht="15.5" x14ac:dyDescent="0.35">
      <c r="A337" s="118" t="s">
        <v>956</v>
      </c>
      <c r="B337" s="118" t="s">
        <v>949</v>
      </c>
      <c r="C337" s="118" t="s">
        <v>957</v>
      </c>
      <c r="D337" s="201">
        <v>2.431</v>
      </c>
      <c r="E337" s="202">
        <v>312</v>
      </c>
      <c r="F337" s="163"/>
      <c r="G337" s="164"/>
      <c r="H337" s="165"/>
    </row>
    <row r="338" spans="1:8" ht="15.5" x14ac:dyDescent="0.35">
      <c r="A338" s="118" t="s">
        <v>958</v>
      </c>
      <c r="B338" s="118" t="s">
        <v>949</v>
      </c>
      <c r="C338" s="118" t="s">
        <v>959</v>
      </c>
      <c r="D338" s="201">
        <v>1.464</v>
      </c>
      <c r="E338" s="202">
        <v>277</v>
      </c>
      <c r="F338" s="163"/>
      <c r="G338" s="164"/>
      <c r="H338" s="165"/>
    </row>
    <row r="339" spans="1:8" ht="15.5" x14ac:dyDescent="0.35">
      <c r="A339" s="118" t="s">
        <v>960</v>
      </c>
      <c r="B339" s="118" t="s">
        <v>949</v>
      </c>
      <c r="C339" s="118" t="s">
        <v>961</v>
      </c>
      <c r="D339" s="201">
        <v>4.6020000000000003</v>
      </c>
      <c r="E339" s="202">
        <v>1233</v>
      </c>
      <c r="F339" s="163"/>
      <c r="G339" s="164"/>
      <c r="H339" s="165"/>
    </row>
    <row r="340" spans="1:8" ht="15.5" x14ac:dyDescent="0.35">
      <c r="A340" s="118" t="s">
        <v>962</v>
      </c>
      <c r="B340" s="118" t="s">
        <v>949</v>
      </c>
      <c r="C340" s="118" t="s">
        <v>963</v>
      </c>
      <c r="D340" s="201">
        <v>3.56</v>
      </c>
      <c r="E340" s="202">
        <v>961</v>
      </c>
      <c r="F340" s="163"/>
      <c r="G340" s="164"/>
      <c r="H340" s="165"/>
    </row>
    <row r="341" spans="1:8" ht="15.5" x14ac:dyDescent="0.35">
      <c r="A341" s="118" t="s">
        <v>964</v>
      </c>
      <c r="B341" s="118" t="s">
        <v>949</v>
      </c>
      <c r="C341" s="118" t="s">
        <v>965</v>
      </c>
      <c r="D341" s="201">
        <v>3.6970000000000001</v>
      </c>
      <c r="E341" s="202">
        <v>821</v>
      </c>
      <c r="F341" s="163"/>
      <c r="G341" s="164"/>
      <c r="H341" s="165"/>
    </row>
    <row r="342" spans="1:8" ht="15.5" x14ac:dyDescent="0.35">
      <c r="A342" s="118" t="s">
        <v>966</v>
      </c>
      <c r="B342" s="118" t="s">
        <v>949</v>
      </c>
      <c r="C342" s="118" t="s">
        <v>967</v>
      </c>
      <c r="D342" s="201">
        <v>3.7730000000000001</v>
      </c>
      <c r="E342" s="202">
        <v>934</v>
      </c>
      <c r="F342" s="163"/>
      <c r="G342" s="164"/>
      <c r="H342" s="165"/>
    </row>
    <row r="343" spans="1:8" ht="15.5" x14ac:dyDescent="0.35">
      <c r="A343" s="118" t="s">
        <v>968</v>
      </c>
      <c r="B343" s="118" t="s">
        <v>949</v>
      </c>
      <c r="C343" s="118" t="s">
        <v>969</v>
      </c>
      <c r="D343" s="201">
        <v>5.4279999999999999</v>
      </c>
      <c r="E343" s="202">
        <v>1272</v>
      </c>
      <c r="F343" s="163"/>
      <c r="G343" s="164"/>
      <c r="H343" s="165"/>
    </row>
    <row r="344" spans="1:8" ht="15.5" x14ac:dyDescent="0.35">
      <c r="A344" s="118" t="s">
        <v>970</v>
      </c>
      <c r="B344" s="118" t="s">
        <v>949</v>
      </c>
      <c r="C344" s="118" t="s">
        <v>971</v>
      </c>
      <c r="D344" s="201">
        <v>5.0469999999999997</v>
      </c>
      <c r="E344" s="202">
        <v>1365</v>
      </c>
      <c r="F344" s="163"/>
      <c r="G344" s="164"/>
      <c r="H344" s="165"/>
    </row>
    <row r="345" spans="1:8" ht="15.5" x14ac:dyDescent="0.35">
      <c r="A345" s="118" t="s">
        <v>972</v>
      </c>
      <c r="B345" s="118" t="s">
        <v>949</v>
      </c>
      <c r="C345" s="118" t="s">
        <v>973</v>
      </c>
      <c r="D345" s="201">
        <v>1.0980000000000001</v>
      </c>
      <c r="E345" s="202">
        <v>329</v>
      </c>
      <c r="F345" s="163"/>
      <c r="G345" s="164"/>
      <c r="H345" s="165"/>
    </row>
    <row r="346" spans="1:8" ht="15.5" x14ac:dyDescent="0.35">
      <c r="A346" s="118" t="s">
        <v>974</v>
      </c>
      <c r="B346" s="118" t="s">
        <v>949</v>
      </c>
      <c r="C346" s="118" t="s">
        <v>975</v>
      </c>
      <c r="D346" s="201">
        <v>3.8239999999999998</v>
      </c>
      <c r="E346" s="202">
        <v>1168</v>
      </c>
      <c r="F346" s="163"/>
      <c r="G346" s="164"/>
      <c r="H346" s="165"/>
    </row>
    <row r="347" spans="1:8" ht="15.5" x14ac:dyDescent="0.35">
      <c r="A347" s="118" t="s">
        <v>976</v>
      </c>
      <c r="B347" s="118" t="s">
        <v>949</v>
      </c>
      <c r="C347" s="118" t="s">
        <v>977</v>
      </c>
      <c r="D347" s="201">
        <v>5.0869999999999997</v>
      </c>
      <c r="E347" s="202">
        <v>1365</v>
      </c>
      <c r="F347" s="163"/>
      <c r="G347" s="164"/>
      <c r="H347" s="165"/>
    </row>
    <row r="348" spans="1:8" ht="15.5" x14ac:dyDescent="0.35">
      <c r="A348" s="118" t="s">
        <v>978</v>
      </c>
      <c r="B348" s="118" t="s">
        <v>949</v>
      </c>
      <c r="C348" s="118" t="s">
        <v>979</v>
      </c>
      <c r="D348" s="201">
        <v>2.153</v>
      </c>
      <c r="E348" s="202">
        <v>388</v>
      </c>
      <c r="F348" s="163"/>
      <c r="G348" s="164"/>
      <c r="H348" s="165"/>
    </row>
    <row r="349" spans="1:8" ht="15.5" x14ac:dyDescent="0.35">
      <c r="A349" s="118" t="s">
        <v>980</v>
      </c>
      <c r="B349" s="118" t="s">
        <v>949</v>
      </c>
      <c r="C349" s="118" t="s">
        <v>981</v>
      </c>
      <c r="D349" s="201">
        <v>2.0990000000000002</v>
      </c>
      <c r="E349" s="202">
        <v>480</v>
      </c>
      <c r="F349" s="163"/>
      <c r="G349" s="164"/>
      <c r="H349" s="165"/>
    </row>
    <row r="350" spans="1:8" ht="15.5" x14ac:dyDescent="0.35">
      <c r="A350" s="118" t="s">
        <v>982</v>
      </c>
      <c r="B350" s="118" t="s">
        <v>949</v>
      </c>
      <c r="C350" s="118" t="s">
        <v>983</v>
      </c>
      <c r="D350" s="201">
        <v>4.0519999999999996</v>
      </c>
      <c r="E350" s="202">
        <v>1173</v>
      </c>
      <c r="F350" s="163"/>
      <c r="G350" s="164"/>
      <c r="H350" s="165"/>
    </row>
    <row r="351" spans="1:8" ht="15.5" x14ac:dyDescent="0.35">
      <c r="A351" s="118" t="s">
        <v>984</v>
      </c>
      <c r="B351" s="118" t="s">
        <v>949</v>
      </c>
      <c r="C351" s="118" t="s">
        <v>985</v>
      </c>
      <c r="D351" s="201">
        <v>7.5119999999999996</v>
      </c>
      <c r="E351" s="202">
        <v>1800</v>
      </c>
      <c r="F351" s="163"/>
      <c r="G351" s="164"/>
      <c r="H351" s="165"/>
    </row>
    <row r="352" spans="1:8" ht="15.5" x14ac:dyDescent="0.35">
      <c r="A352" s="118" t="s">
        <v>986</v>
      </c>
      <c r="B352" s="118" t="s">
        <v>949</v>
      </c>
      <c r="C352" s="118" t="s">
        <v>987</v>
      </c>
      <c r="D352" s="201">
        <v>3.0640000000000001</v>
      </c>
      <c r="E352" s="202">
        <v>785</v>
      </c>
      <c r="F352" s="163"/>
      <c r="G352" s="164"/>
      <c r="H352" s="165"/>
    </row>
    <row r="353" spans="1:8" ht="15.5" x14ac:dyDescent="0.35">
      <c r="A353" s="118" t="s">
        <v>988</v>
      </c>
      <c r="B353" s="118" t="s">
        <v>949</v>
      </c>
      <c r="C353" s="118" t="s">
        <v>989</v>
      </c>
      <c r="D353" s="201">
        <v>4.3739999999999997</v>
      </c>
      <c r="E353" s="202">
        <v>1637</v>
      </c>
      <c r="F353" s="163"/>
      <c r="G353" s="164"/>
      <c r="H353" s="165"/>
    </row>
    <row r="354" spans="1:8" ht="15.5" x14ac:dyDescent="0.35">
      <c r="A354" s="118" t="s">
        <v>990</v>
      </c>
      <c r="B354" s="118" t="s">
        <v>949</v>
      </c>
      <c r="C354" s="118" t="s">
        <v>991</v>
      </c>
      <c r="D354" s="201">
        <v>2.92</v>
      </c>
      <c r="E354" s="202">
        <v>794</v>
      </c>
      <c r="F354" s="163"/>
      <c r="G354" s="164"/>
      <c r="H354" s="165"/>
    </row>
    <row r="355" spans="1:8" ht="15.5" x14ac:dyDescent="0.35">
      <c r="A355" s="118" t="s">
        <v>992</v>
      </c>
      <c r="B355" s="118" t="s">
        <v>949</v>
      </c>
      <c r="C355" s="118" t="s">
        <v>993</v>
      </c>
      <c r="D355" s="201">
        <v>3.6760000000000002</v>
      </c>
      <c r="E355" s="202">
        <v>769</v>
      </c>
      <c r="F355" s="163"/>
      <c r="G355" s="164"/>
      <c r="H355" s="165"/>
    </row>
    <row r="356" spans="1:8" ht="15.5" x14ac:dyDescent="0.35">
      <c r="A356" s="118" t="s">
        <v>994</v>
      </c>
      <c r="B356" s="118" t="s">
        <v>949</v>
      </c>
      <c r="C356" s="118" t="s">
        <v>995</v>
      </c>
      <c r="D356" s="201">
        <v>4.4509999999999996</v>
      </c>
      <c r="E356" s="202">
        <v>1276</v>
      </c>
      <c r="F356" s="163"/>
      <c r="G356" s="164"/>
      <c r="H356" s="165"/>
    </row>
    <row r="357" spans="1:8" ht="15.5" x14ac:dyDescent="0.35">
      <c r="A357" s="118" t="s">
        <v>996</v>
      </c>
      <c r="B357" s="118" t="s">
        <v>949</v>
      </c>
      <c r="C357" s="118" t="s">
        <v>997</v>
      </c>
      <c r="D357" s="201">
        <v>2.8210000000000002</v>
      </c>
      <c r="E357" s="202">
        <v>804</v>
      </c>
      <c r="F357" s="163"/>
      <c r="G357" s="164"/>
      <c r="H357" s="165"/>
    </row>
    <row r="358" spans="1:8" ht="15.5" x14ac:dyDescent="0.35">
      <c r="A358" s="118" t="s">
        <v>998</v>
      </c>
      <c r="B358" s="118" t="s">
        <v>949</v>
      </c>
      <c r="C358" s="118" t="s">
        <v>999</v>
      </c>
      <c r="D358" s="201">
        <v>1.526</v>
      </c>
      <c r="E358" s="202">
        <v>466</v>
      </c>
      <c r="F358" s="163"/>
      <c r="G358" s="164"/>
      <c r="H358" s="165"/>
    </row>
    <row r="359" spans="1:8" ht="15.5" x14ac:dyDescent="0.35">
      <c r="A359" s="118" t="s">
        <v>1000</v>
      </c>
      <c r="B359" s="118" t="s">
        <v>949</v>
      </c>
      <c r="C359" s="118" t="s">
        <v>1001</v>
      </c>
      <c r="D359" s="201">
        <v>2.7250000000000001</v>
      </c>
      <c r="E359" s="202">
        <v>691</v>
      </c>
      <c r="F359" s="163"/>
      <c r="G359" s="164"/>
      <c r="H359" s="165"/>
    </row>
    <row r="360" spans="1:8" ht="15.5" x14ac:dyDescent="0.35">
      <c r="A360" s="118" t="s">
        <v>1002</v>
      </c>
      <c r="B360" s="118" t="s">
        <v>949</v>
      </c>
      <c r="C360" s="118" t="s">
        <v>1003</v>
      </c>
      <c r="D360" s="201">
        <v>3.8820000000000001</v>
      </c>
      <c r="E360" s="202">
        <v>976</v>
      </c>
      <c r="F360" s="163"/>
      <c r="G360" s="164"/>
      <c r="H360" s="165"/>
    </row>
    <row r="361" spans="1:8" ht="15.5" x14ac:dyDescent="0.35">
      <c r="A361" s="118" t="s">
        <v>1004</v>
      </c>
      <c r="B361" s="118" t="s">
        <v>949</v>
      </c>
      <c r="C361" s="118" t="s">
        <v>1005</v>
      </c>
      <c r="D361" s="201">
        <v>3.323</v>
      </c>
      <c r="E361" s="202">
        <v>899</v>
      </c>
      <c r="F361" s="163"/>
      <c r="G361" s="164"/>
      <c r="H361" s="165"/>
    </row>
    <row r="362" spans="1:8" ht="15.5" x14ac:dyDescent="0.35">
      <c r="A362" s="118" t="s">
        <v>1006</v>
      </c>
      <c r="B362" s="118" t="s">
        <v>949</v>
      </c>
      <c r="C362" s="118" t="s">
        <v>1007</v>
      </c>
      <c r="D362" s="201">
        <v>3.3530000000000002</v>
      </c>
      <c r="E362" s="202">
        <v>1100</v>
      </c>
      <c r="F362" s="163"/>
      <c r="G362" s="164"/>
      <c r="H362" s="165"/>
    </row>
    <row r="363" spans="1:8" ht="15.5" x14ac:dyDescent="0.35">
      <c r="A363" s="118" t="s">
        <v>1008</v>
      </c>
      <c r="B363" s="118" t="s">
        <v>949</v>
      </c>
      <c r="C363" s="118" t="s">
        <v>1009</v>
      </c>
      <c r="D363" s="201">
        <v>3.9369999999999998</v>
      </c>
      <c r="E363" s="202">
        <v>971</v>
      </c>
      <c r="F363" s="163"/>
      <c r="G363" s="164"/>
      <c r="H363" s="165"/>
    </row>
    <row r="364" spans="1:8" ht="15.5" x14ac:dyDescent="0.35">
      <c r="A364" s="118" t="s">
        <v>1010</v>
      </c>
      <c r="B364" s="118" t="s">
        <v>949</v>
      </c>
      <c r="C364" s="118" t="s">
        <v>1011</v>
      </c>
      <c r="D364" s="201">
        <v>3.2370000000000001</v>
      </c>
      <c r="E364" s="202">
        <v>833</v>
      </c>
      <c r="F364" s="163"/>
      <c r="G364" s="164"/>
      <c r="H364" s="165"/>
    </row>
    <row r="365" spans="1:8" ht="15.5" x14ac:dyDescent="0.35">
      <c r="A365" s="118" t="s">
        <v>1012</v>
      </c>
      <c r="B365" s="118" t="s">
        <v>949</v>
      </c>
      <c r="C365" s="118" t="s">
        <v>1013</v>
      </c>
      <c r="D365" s="201">
        <v>3.621</v>
      </c>
      <c r="E365" s="202">
        <v>644</v>
      </c>
      <c r="F365" s="163"/>
      <c r="G365" s="164"/>
      <c r="H365" s="165"/>
    </row>
    <row r="366" spans="1:8" ht="15.5" x14ac:dyDescent="0.35">
      <c r="A366" s="118" t="s">
        <v>1014</v>
      </c>
      <c r="B366" s="118" t="s">
        <v>949</v>
      </c>
      <c r="C366" s="118" t="s">
        <v>1015</v>
      </c>
      <c r="D366" s="201">
        <v>2.19</v>
      </c>
      <c r="E366" s="202">
        <v>603</v>
      </c>
      <c r="F366" s="163"/>
      <c r="G366" s="164"/>
      <c r="H366" s="165"/>
    </row>
    <row r="367" spans="1:8" ht="15.5" x14ac:dyDescent="0.35">
      <c r="A367" s="118" t="s">
        <v>1016</v>
      </c>
      <c r="B367" s="118" t="s">
        <v>949</v>
      </c>
      <c r="C367" s="118" t="s">
        <v>1017</v>
      </c>
      <c r="D367" s="201">
        <v>2.6680000000000001</v>
      </c>
      <c r="E367" s="202">
        <v>465</v>
      </c>
      <c r="F367" s="163"/>
      <c r="G367" s="164"/>
      <c r="H367" s="165"/>
    </row>
    <row r="368" spans="1:8" ht="15.5" x14ac:dyDescent="0.35">
      <c r="A368" s="118" t="s">
        <v>1018</v>
      </c>
      <c r="B368" s="118" t="s">
        <v>949</v>
      </c>
      <c r="C368" s="118" t="s">
        <v>1019</v>
      </c>
      <c r="D368" s="201">
        <v>2.0790000000000002</v>
      </c>
      <c r="E368" s="202">
        <v>506</v>
      </c>
      <c r="F368" s="163"/>
      <c r="G368" s="164"/>
      <c r="H368" s="165"/>
    </row>
    <row r="369" spans="1:8" ht="15.5" x14ac:dyDescent="0.35">
      <c r="A369" s="118" t="s">
        <v>1020</v>
      </c>
      <c r="B369" s="118" t="s">
        <v>949</v>
      </c>
      <c r="C369" s="118" t="s">
        <v>1021</v>
      </c>
      <c r="D369" s="201">
        <v>2.1640000000000001</v>
      </c>
      <c r="E369" s="202">
        <v>525</v>
      </c>
      <c r="F369" s="163"/>
      <c r="G369" s="164"/>
      <c r="H369" s="165"/>
    </row>
    <row r="370" spans="1:8" ht="15.5" x14ac:dyDescent="0.35">
      <c r="A370" s="118" t="s">
        <v>1022</v>
      </c>
      <c r="B370" s="118" t="s">
        <v>949</v>
      </c>
      <c r="C370" s="118" t="s">
        <v>1023</v>
      </c>
      <c r="D370" s="201">
        <v>5.1929999999999996</v>
      </c>
      <c r="E370" s="202">
        <v>1143</v>
      </c>
      <c r="F370" s="163"/>
      <c r="G370" s="164"/>
      <c r="H370" s="165"/>
    </row>
    <row r="371" spans="1:8" ht="15.5" x14ac:dyDescent="0.35">
      <c r="A371" s="118" t="s">
        <v>1024</v>
      </c>
      <c r="B371" s="118" t="s">
        <v>949</v>
      </c>
      <c r="C371" s="118" t="s">
        <v>1025</v>
      </c>
      <c r="D371" s="201">
        <v>3.1269999999999998</v>
      </c>
      <c r="E371" s="202">
        <v>847</v>
      </c>
      <c r="F371" s="163"/>
      <c r="G371" s="164"/>
      <c r="H371" s="165"/>
    </row>
    <row r="372" spans="1:8" ht="15.5" x14ac:dyDescent="0.35">
      <c r="A372" s="118" t="s">
        <v>1026</v>
      </c>
      <c r="B372" s="118" t="s">
        <v>949</v>
      </c>
      <c r="C372" s="118" t="s">
        <v>1027</v>
      </c>
      <c r="D372" s="201">
        <v>3.456</v>
      </c>
      <c r="E372" s="202">
        <v>848</v>
      </c>
      <c r="F372" s="163"/>
      <c r="G372" s="164"/>
      <c r="H372" s="165"/>
    </row>
    <row r="373" spans="1:8" ht="15.5" x14ac:dyDescent="0.35">
      <c r="A373" s="118" t="s">
        <v>1028</v>
      </c>
      <c r="B373" s="118" t="s">
        <v>949</v>
      </c>
      <c r="C373" s="118" t="s">
        <v>1029</v>
      </c>
      <c r="D373" s="201">
        <v>3.169</v>
      </c>
      <c r="E373" s="202">
        <v>701</v>
      </c>
      <c r="F373" s="163"/>
      <c r="G373" s="164"/>
      <c r="H373" s="165"/>
    </row>
    <row r="374" spans="1:8" ht="15.5" x14ac:dyDescent="0.35">
      <c r="A374" s="118" t="s">
        <v>1030</v>
      </c>
      <c r="B374" s="118" t="s">
        <v>949</v>
      </c>
      <c r="C374" s="118" t="s">
        <v>1031</v>
      </c>
      <c r="D374" s="201">
        <v>1.653</v>
      </c>
      <c r="E374" s="202">
        <v>362</v>
      </c>
      <c r="F374" s="163"/>
      <c r="G374" s="164"/>
      <c r="H374" s="165"/>
    </row>
    <row r="375" spans="1:8" ht="15.5" x14ac:dyDescent="0.35">
      <c r="A375" s="118" t="s">
        <v>1032</v>
      </c>
      <c r="B375" s="118" t="s">
        <v>949</v>
      </c>
      <c r="C375" s="118" t="s">
        <v>1033</v>
      </c>
      <c r="D375" s="201">
        <v>5.2619999999999996</v>
      </c>
      <c r="E375" s="202">
        <v>1752</v>
      </c>
      <c r="F375" s="163"/>
      <c r="G375" s="164"/>
      <c r="H375" s="165"/>
    </row>
    <row r="376" spans="1:8" ht="15.5" x14ac:dyDescent="0.35">
      <c r="A376" s="118" t="s">
        <v>1034</v>
      </c>
      <c r="B376" s="118" t="s">
        <v>949</v>
      </c>
      <c r="C376" s="118" t="s">
        <v>1035</v>
      </c>
      <c r="D376" s="201">
        <v>2.8340000000000001</v>
      </c>
      <c r="E376" s="202">
        <v>753</v>
      </c>
      <c r="F376" s="163"/>
      <c r="G376" s="164"/>
      <c r="H376" s="165"/>
    </row>
    <row r="377" spans="1:8" ht="15.5" x14ac:dyDescent="0.35">
      <c r="A377" s="118" t="s">
        <v>1036</v>
      </c>
      <c r="B377" s="118" t="s">
        <v>949</v>
      </c>
      <c r="C377" s="118" t="s">
        <v>1037</v>
      </c>
      <c r="D377" s="201">
        <v>3.5880000000000001</v>
      </c>
      <c r="E377" s="202">
        <v>943</v>
      </c>
      <c r="F377" s="163"/>
      <c r="G377" s="164"/>
      <c r="H377" s="165"/>
    </row>
    <row r="378" spans="1:8" ht="15.5" x14ac:dyDescent="0.35">
      <c r="A378" s="118" t="s">
        <v>1038</v>
      </c>
      <c r="B378" s="118" t="s">
        <v>949</v>
      </c>
      <c r="C378" s="118" t="s">
        <v>1039</v>
      </c>
      <c r="D378" s="201">
        <v>2.6859999999999999</v>
      </c>
      <c r="E378" s="202">
        <v>701</v>
      </c>
      <c r="F378" s="163"/>
      <c r="G378" s="164"/>
      <c r="H378" s="165"/>
    </row>
    <row r="379" spans="1:8" ht="15.5" x14ac:dyDescent="0.35">
      <c r="A379" s="118" t="s">
        <v>1040</v>
      </c>
      <c r="B379" s="118" t="s">
        <v>949</v>
      </c>
      <c r="C379" s="118" t="s">
        <v>1041</v>
      </c>
      <c r="D379" s="201">
        <v>1.897</v>
      </c>
      <c r="E379" s="202">
        <v>529</v>
      </c>
      <c r="F379" s="163"/>
      <c r="G379" s="164"/>
      <c r="H379" s="165"/>
    </row>
    <row r="380" spans="1:8" ht="15.5" x14ac:dyDescent="0.35">
      <c r="A380" s="118" t="s">
        <v>1042</v>
      </c>
      <c r="B380" s="118" t="s">
        <v>949</v>
      </c>
      <c r="C380" s="118" t="s">
        <v>1043</v>
      </c>
      <c r="D380" s="201">
        <v>2.0419999999999998</v>
      </c>
      <c r="E380" s="202">
        <v>422</v>
      </c>
      <c r="F380" s="163"/>
      <c r="G380" s="164"/>
      <c r="H380" s="165"/>
    </row>
    <row r="381" spans="1:8" ht="15.5" x14ac:dyDescent="0.35">
      <c r="A381" s="118" t="s">
        <v>1044</v>
      </c>
      <c r="B381" s="118" t="s">
        <v>949</v>
      </c>
      <c r="C381" s="118" t="s">
        <v>1045</v>
      </c>
      <c r="D381" s="201">
        <v>1.155</v>
      </c>
      <c r="E381" s="202">
        <v>302</v>
      </c>
      <c r="F381" s="163"/>
      <c r="G381" s="164"/>
      <c r="H381" s="165"/>
    </row>
    <row r="382" spans="1:8" ht="15.5" x14ac:dyDescent="0.35">
      <c r="A382" s="118" t="s">
        <v>1046</v>
      </c>
      <c r="B382" s="118" t="s">
        <v>949</v>
      </c>
      <c r="C382" s="118" t="s">
        <v>1047</v>
      </c>
      <c r="D382" s="201">
        <v>4.4249999999999998</v>
      </c>
      <c r="E382" s="202">
        <v>1206</v>
      </c>
      <c r="F382" s="163"/>
      <c r="G382" s="164"/>
      <c r="H382" s="165"/>
    </row>
    <row r="383" spans="1:8" ht="15.5" x14ac:dyDescent="0.35">
      <c r="A383" s="118" t="s">
        <v>1048</v>
      </c>
      <c r="B383" s="118" t="s">
        <v>949</v>
      </c>
      <c r="C383" s="118" t="s">
        <v>1049</v>
      </c>
      <c r="D383" s="201">
        <v>3.153</v>
      </c>
      <c r="E383" s="202">
        <v>882</v>
      </c>
      <c r="F383" s="163"/>
      <c r="G383" s="164"/>
      <c r="H383" s="165"/>
    </row>
    <row r="384" spans="1:8" ht="15.5" x14ac:dyDescent="0.35">
      <c r="A384" s="118" t="s">
        <v>1050</v>
      </c>
      <c r="B384" s="118" t="s">
        <v>949</v>
      </c>
      <c r="C384" s="118" t="s">
        <v>1051</v>
      </c>
      <c r="D384" s="201">
        <v>2.8250000000000002</v>
      </c>
      <c r="E384" s="202">
        <v>859</v>
      </c>
      <c r="F384" s="163"/>
      <c r="G384" s="164"/>
      <c r="H384" s="165"/>
    </row>
    <row r="385" spans="1:8" ht="15.5" x14ac:dyDescent="0.35">
      <c r="A385" s="118" t="s">
        <v>1052</v>
      </c>
      <c r="B385" s="118" t="s">
        <v>949</v>
      </c>
      <c r="C385" s="118" t="s">
        <v>1053</v>
      </c>
      <c r="D385" s="201">
        <v>2.6339999999999999</v>
      </c>
      <c r="E385" s="202">
        <v>762</v>
      </c>
      <c r="F385" s="163"/>
      <c r="G385" s="164"/>
      <c r="H385" s="165"/>
    </row>
    <row r="386" spans="1:8" ht="15.5" x14ac:dyDescent="0.35">
      <c r="A386" s="118" t="s">
        <v>1054</v>
      </c>
      <c r="B386" s="118" t="s">
        <v>949</v>
      </c>
      <c r="C386" s="118" t="s">
        <v>1055</v>
      </c>
      <c r="D386" s="201">
        <v>3.177</v>
      </c>
      <c r="E386" s="202">
        <v>1001</v>
      </c>
      <c r="F386" s="163"/>
      <c r="G386" s="164"/>
      <c r="H386" s="165"/>
    </row>
    <row r="387" spans="1:8" ht="15.5" x14ac:dyDescent="0.35">
      <c r="A387" s="118" t="s">
        <v>1056</v>
      </c>
      <c r="B387" s="118" t="s">
        <v>949</v>
      </c>
      <c r="C387" s="118" t="s">
        <v>1057</v>
      </c>
      <c r="D387" s="201">
        <v>3.5680000000000001</v>
      </c>
      <c r="E387" s="202">
        <v>993</v>
      </c>
      <c r="F387" s="163"/>
      <c r="G387" s="164"/>
      <c r="H387" s="165"/>
    </row>
    <row r="388" spans="1:8" ht="15.5" x14ac:dyDescent="0.35">
      <c r="A388" s="118" t="s">
        <v>1058</v>
      </c>
      <c r="B388" s="118" t="s">
        <v>949</v>
      </c>
      <c r="C388" s="118" t="s">
        <v>1059</v>
      </c>
      <c r="D388" s="201">
        <v>3.7109999999999999</v>
      </c>
      <c r="E388" s="202">
        <v>962</v>
      </c>
      <c r="F388" s="163"/>
      <c r="G388" s="164"/>
      <c r="H388" s="165"/>
    </row>
    <row r="389" spans="1:8" ht="15.5" x14ac:dyDescent="0.35">
      <c r="A389" s="118" t="s">
        <v>1060</v>
      </c>
      <c r="B389" s="118" t="s">
        <v>949</v>
      </c>
      <c r="C389" s="118" t="s">
        <v>1061</v>
      </c>
      <c r="D389" s="201">
        <v>5.8109999999999999</v>
      </c>
      <c r="E389" s="202">
        <v>1488</v>
      </c>
      <c r="F389" s="163"/>
      <c r="G389" s="164"/>
      <c r="H389" s="165"/>
    </row>
    <row r="390" spans="1:8" ht="15.5" x14ac:dyDescent="0.35">
      <c r="A390" s="118" t="s">
        <v>1062</v>
      </c>
      <c r="B390" s="118" t="s">
        <v>949</v>
      </c>
      <c r="C390" s="118" t="s">
        <v>1063</v>
      </c>
      <c r="D390" s="201">
        <v>2.173</v>
      </c>
      <c r="E390" s="202">
        <v>383</v>
      </c>
      <c r="F390" s="163"/>
      <c r="G390" s="164"/>
      <c r="H390" s="165"/>
    </row>
    <row r="391" spans="1:8" ht="15.5" x14ac:dyDescent="0.35">
      <c r="A391" s="118" t="s">
        <v>1064</v>
      </c>
      <c r="B391" s="118" t="s">
        <v>949</v>
      </c>
      <c r="C391" s="118" t="s">
        <v>1065</v>
      </c>
      <c r="D391" s="201">
        <v>2.2120000000000002</v>
      </c>
      <c r="E391" s="202">
        <v>309</v>
      </c>
      <c r="F391" s="163"/>
      <c r="G391" s="164"/>
      <c r="H391" s="165"/>
    </row>
    <row r="392" spans="1:8" ht="15.5" x14ac:dyDescent="0.35">
      <c r="A392" s="118" t="s">
        <v>1066</v>
      </c>
      <c r="B392" s="118" t="s">
        <v>949</v>
      </c>
      <c r="C392" s="118" t="s">
        <v>1067</v>
      </c>
      <c r="D392" s="201">
        <v>1.9259999999999999</v>
      </c>
      <c r="E392" s="202">
        <v>567</v>
      </c>
      <c r="F392" s="163"/>
      <c r="G392" s="164"/>
      <c r="H392" s="165"/>
    </row>
    <row r="393" spans="1:8" ht="15.5" x14ac:dyDescent="0.35">
      <c r="A393" s="118" t="s">
        <v>1068</v>
      </c>
      <c r="B393" s="118" t="s">
        <v>949</v>
      </c>
      <c r="C393" s="118" t="s">
        <v>1069</v>
      </c>
      <c r="D393" s="201">
        <v>2.1720000000000002</v>
      </c>
      <c r="E393" s="202">
        <v>660</v>
      </c>
      <c r="F393" s="163"/>
      <c r="G393" s="164"/>
      <c r="H393" s="165"/>
    </row>
    <row r="394" spans="1:8" ht="15.5" x14ac:dyDescent="0.35">
      <c r="A394" s="118" t="s">
        <v>1070</v>
      </c>
      <c r="B394" s="118" t="s">
        <v>949</v>
      </c>
      <c r="C394" s="118" t="s">
        <v>1071</v>
      </c>
      <c r="D394" s="201">
        <v>4.8259999999999996</v>
      </c>
      <c r="E394" s="202">
        <v>1243</v>
      </c>
      <c r="F394" s="163"/>
      <c r="G394" s="164"/>
      <c r="H394" s="165"/>
    </row>
    <row r="395" spans="1:8" ht="15.5" x14ac:dyDescent="0.35">
      <c r="A395" s="118" t="s">
        <v>1072</v>
      </c>
      <c r="B395" s="118" t="s">
        <v>949</v>
      </c>
      <c r="C395" s="118" t="s">
        <v>1073</v>
      </c>
      <c r="D395" s="201">
        <v>3.7829999999999999</v>
      </c>
      <c r="E395" s="202">
        <v>1016</v>
      </c>
      <c r="F395" s="163"/>
      <c r="G395" s="164"/>
      <c r="H395" s="165"/>
    </row>
    <row r="396" spans="1:8" ht="15.5" x14ac:dyDescent="0.35">
      <c r="A396" s="118" t="s">
        <v>1074</v>
      </c>
      <c r="B396" s="118" t="s">
        <v>949</v>
      </c>
      <c r="C396" s="118" t="s">
        <v>1075</v>
      </c>
      <c r="D396" s="201">
        <v>5.3570000000000002</v>
      </c>
      <c r="E396" s="202">
        <v>1198</v>
      </c>
      <c r="F396" s="163"/>
      <c r="G396" s="164"/>
      <c r="H396" s="165"/>
    </row>
    <row r="397" spans="1:8" ht="15.5" x14ac:dyDescent="0.35">
      <c r="A397" s="118" t="s">
        <v>1076</v>
      </c>
      <c r="B397" s="118" t="s">
        <v>949</v>
      </c>
      <c r="C397" s="118" t="s">
        <v>1077</v>
      </c>
      <c r="D397" s="201">
        <v>3.097</v>
      </c>
      <c r="E397" s="202">
        <v>805</v>
      </c>
      <c r="F397" s="163"/>
      <c r="G397" s="164"/>
      <c r="H397" s="165"/>
    </row>
    <row r="398" spans="1:8" ht="15.5" x14ac:dyDescent="0.35">
      <c r="A398" s="118" t="s">
        <v>1078</v>
      </c>
      <c r="B398" s="118" t="s">
        <v>949</v>
      </c>
      <c r="C398" s="118" t="s">
        <v>1079</v>
      </c>
      <c r="D398" s="201">
        <v>1.7190000000000001</v>
      </c>
      <c r="E398" s="202">
        <v>475</v>
      </c>
      <c r="F398" s="163"/>
      <c r="G398" s="164"/>
      <c r="H398" s="165"/>
    </row>
    <row r="399" spans="1:8" ht="15.5" x14ac:dyDescent="0.35">
      <c r="A399" s="118" t="s">
        <v>1080</v>
      </c>
      <c r="B399" s="118" t="s">
        <v>949</v>
      </c>
      <c r="C399" s="118" t="s">
        <v>1081</v>
      </c>
      <c r="D399" s="201">
        <v>3.048</v>
      </c>
      <c r="E399" s="202">
        <v>846</v>
      </c>
      <c r="F399" s="163"/>
      <c r="G399" s="164"/>
      <c r="H399" s="165"/>
    </row>
    <row r="400" spans="1:8" ht="15.5" x14ac:dyDescent="0.35">
      <c r="A400" s="118" t="s">
        <v>1082</v>
      </c>
      <c r="B400" s="118" t="s">
        <v>949</v>
      </c>
      <c r="C400" s="118" t="s">
        <v>1083</v>
      </c>
      <c r="D400" s="201">
        <v>4.452</v>
      </c>
      <c r="E400" s="202">
        <v>1038</v>
      </c>
      <c r="F400" s="163"/>
      <c r="G400" s="164"/>
      <c r="H400" s="165"/>
    </row>
    <row r="401" spans="1:8" ht="15.5" x14ac:dyDescent="0.35">
      <c r="A401" s="118" t="s">
        <v>1084</v>
      </c>
      <c r="B401" s="118" t="s">
        <v>949</v>
      </c>
      <c r="C401" s="118" t="s">
        <v>1085</v>
      </c>
      <c r="D401" s="201">
        <v>2.17</v>
      </c>
      <c r="E401" s="202">
        <v>565</v>
      </c>
      <c r="F401" s="163"/>
      <c r="G401" s="164"/>
      <c r="H401" s="165"/>
    </row>
    <row r="402" spans="1:8" ht="15.5" x14ac:dyDescent="0.35">
      <c r="A402" s="118" t="s">
        <v>1086</v>
      </c>
      <c r="B402" s="118" t="s">
        <v>949</v>
      </c>
      <c r="C402" s="118" t="s">
        <v>1087</v>
      </c>
      <c r="D402" s="201">
        <v>2.0630000000000002</v>
      </c>
      <c r="E402" s="202">
        <v>553</v>
      </c>
      <c r="F402" s="163"/>
      <c r="G402" s="164"/>
      <c r="H402" s="165"/>
    </row>
    <row r="403" spans="1:8" ht="15.5" x14ac:dyDescent="0.35">
      <c r="A403" s="118" t="s">
        <v>1088</v>
      </c>
      <c r="B403" s="118" t="s">
        <v>949</v>
      </c>
      <c r="C403" s="118" t="s">
        <v>1089</v>
      </c>
      <c r="D403" s="201">
        <v>4.7450000000000001</v>
      </c>
      <c r="E403" s="202">
        <v>1374</v>
      </c>
      <c r="F403" s="163"/>
      <c r="G403" s="164"/>
      <c r="H403" s="165"/>
    </row>
    <row r="404" spans="1:8" ht="15.5" x14ac:dyDescent="0.35">
      <c r="A404" s="118" t="s">
        <v>1090</v>
      </c>
      <c r="B404" s="118" t="s">
        <v>949</v>
      </c>
      <c r="C404" s="118" t="s">
        <v>1091</v>
      </c>
      <c r="D404" s="201">
        <v>4.1050000000000004</v>
      </c>
      <c r="E404" s="202">
        <v>990</v>
      </c>
      <c r="F404" s="163"/>
      <c r="G404" s="164"/>
      <c r="H404" s="165"/>
    </row>
    <row r="405" spans="1:8" ht="15.5" x14ac:dyDescent="0.35">
      <c r="A405" s="118" t="s">
        <v>1092</v>
      </c>
      <c r="B405" s="118" t="s">
        <v>949</v>
      </c>
      <c r="C405" s="118" t="s">
        <v>1093</v>
      </c>
      <c r="D405" s="201">
        <v>1.6259999999999999</v>
      </c>
      <c r="E405" s="202">
        <v>357</v>
      </c>
      <c r="F405" s="163"/>
      <c r="G405" s="164"/>
      <c r="H405" s="165"/>
    </row>
    <row r="406" spans="1:8" ht="15.5" x14ac:dyDescent="0.35">
      <c r="A406" s="118" t="s">
        <v>1094</v>
      </c>
      <c r="B406" s="118" t="s">
        <v>949</v>
      </c>
      <c r="C406" s="118" t="s">
        <v>1095</v>
      </c>
      <c r="D406" s="201">
        <v>4.47</v>
      </c>
      <c r="E406" s="202">
        <v>1560</v>
      </c>
      <c r="F406" s="163"/>
      <c r="G406" s="164"/>
      <c r="H406" s="165"/>
    </row>
    <row r="407" spans="1:8" ht="15.5" x14ac:dyDescent="0.35">
      <c r="A407" s="118" t="s">
        <v>1096</v>
      </c>
      <c r="B407" s="118" t="s">
        <v>949</v>
      </c>
      <c r="C407" s="118" t="s">
        <v>1097</v>
      </c>
      <c r="D407" s="201">
        <v>1.9930000000000001</v>
      </c>
      <c r="E407" s="202">
        <v>538</v>
      </c>
      <c r="F407" s="163"/>
      <c r="G407" s="164"/>
      <c r="H407" s="165"/>
    </row>
    <row r="408" spans="1:8" ht="15.5" x14ac:dyDescent="0.35">
      <c r="A408" s="118" t="s">
        <v>1098</v>
      </c>
      <c r="B408" s="118" t="s">
        <v>949</v>
      </c>
      <c r="C408" s="118" t="s">
        <v>1099</v>
      </c>
      <c r="D408" s="201">
        <v>4.7009999999999996</v>
      </c>
      <c r="E408" s="202">
        <v>1257</v>
      </c>
      <c r="F408" s="163"/>
      <c r="G408" s="164"/>
      <c r="H408" s="165"/>
    </row>
    <row r="409" spans="1:8" ht="15.5" x14ac:dyDescent="0.35">
      <c r="A409" s="203" t="s">
        <v>1100</v>
      </c>
      <c r="B409" s="203" t="s">
        <v>1101</v>
      </c>
      <c r="C409" s="118"/>
      <c r="D409" s="201">
        <v>0</v>
      </c>
      <c r="E409" s="202">
        <v>0</v>
      </c>
      <c r="F409" s="163"/>
      <c r="G409" s="164"/>
      <c r="H409" s="165"/>
    </row>
    <row r="410" spans="1:8" ht="15.5" x14ac:dyDescent="0.35">
      <c r="A410" s="118" t="s">
        <v>1102</v>
      </c>
      <c r="B410" s="118" t="s">
        <v>1101</v>
      </c>
      <c r="C410" s="118" t="s">
        <v>1103</v>
      </c>
      <c r="D410" s="201">
        <v>8.4719999999999995</v>
      </c>
      <c r="E410" s="202">
        <v>2231</v>
      </c>
      <c r="F410" s="163"/>
      <c r="G410" s="164"/>
      <c r="H410" s="165"/>
    </row>
    <row r="411" spans="1:8" ht="15.5" x14ac:dyDescent="0.35">
      <c r="A411" s="118" t="s">
        <v>1104</v>
      </c>
      <c r="B411" s="118" t="s">
        <v>1101</v>
      </c>
      <c r="C411" s="118" t="s">
        <v>1105</v>
      </c>
      <c r="D411" s="201">
        <v>17.2</v>
      </c>
      <c r="E411" s="202">
        <v>3816</v>
      </c>
      <c r="F411" s="163"/>
      <c r="G411" s="164"/>
      <c r="H411" s="165"/>
    </row>
    <row r="412" spans="1:8" ht="15.5" x14ac:dyDescent="0.35">
      <c r="A412" s="118" t="s">
        <v>1106</v>
      </c>
      <c r="B412" s="118" t="s">
        <v>1101</v>
      </c>
      <c r="C412" s="118" t="s">
        <v>1107</v>
      </c>
      <c r="D412" s="201">
        <v>14.206</v>
      </c>
      <c r="E412" s="202">
        <v>3438</v>
      </c>
      <c r="F412" s="163"/>
      <c r="G412" s="164"/>
      <c r="H412" s="165"/>
    </row>
    <row r="413" spans="1:8" ht="15.5" x14ac:dyDescent="0.35">
      <c r="A413" s="118" t="s">
        <v>1108</v>
      </c>
      <c r="B413" s="118" t="s">
        <v>1101</v>
      </c>
      <c r="C413" s="118" t="s">
        <v>1109</v>
      </c>
      <c r="D413" s="201">
        <v>10.673</v>
      </c>
      <c r="E413" s="202">
        <v>2531</v>
      </c>
      <c r="F413" s="163"/>
      <c r="G413" s="164"/>
      <c r="H413" s="165"/>
    </row>
    <row r="414" spans="1:8" ht="15.5" x14ac:dyDescent="0.35">
      <c r="A414" s="118" t="s">
        <v>1110</v>
      </c>
      <c r="B414" s="118" t="s">
        <v>1101</v>
      </c>
      <c r="C414" s="118" t="s">
        <v>1111</v>
      </c>
      <c r="D414" s="201">
        <v>14.462999999999999</v>
      </c>
      <c r="E414" s="202">
        <v>3377</v>
      </c>
      <c r="F414" s="163"/>
      <c r="G414" s="164"/>
      <c r="H414" s="165"/>
    </row>
    <row r="415" spans="1:8" ht="15.5" x14ac:dyDescent="0.35">
      <c r="A415" s="118" t="s">
        <v>1112</v>
      </c>
      <c r="B415" s="118" t="s">
        <v>1101</v>
      </c>
      <c r="C415" s="118" t="s">
        <v>1113</v>
      </c>
      <c r="D415" s="201">
        <v>9.6660000000000004</v>
      </c>
      <c r="E415" s="202">
        <v>2167</v>
      </c>
      <c r="F415" s="163"/>
      <c r="G415" s="164"/>
      <c r="H415" s="165"/>
    </row>
    <row r="416" spans="1:8" ht="15.5" x14ac:dyDescent="0.35">
      <c r="A416" s="118" t="s">
        <v>1114</v>
      </c>
      <c r="B416" s="118" t="s">
        <v>1101</v>
      </c>
      <c r="C416" s="118" t="s">
        <v>1115</v>
      </c>
      <c r="D416" s="201">
        <v>9.4329999999999998</v>
      </c>
      <c r="E416" s="202">
        <v>2014</v>
      </c>
      <c r="F416" s="163"/>
      <c r="G416" s="164"/>
      <c r="H416" s="165"/>
    </row>
    <row r="417" spans="1:8" ht="15.5" x14ac:dyDescent="0.35">
      <c r="A417" s="118" t="s">
        <v>1116</v>
      </c>
      <c r="B417" s="118" t="s">
        <v>1101</v>
      </c>
      <c r="C417" s="118" t="s">
        <v>1117</v>
      </c>
      <c r="D417" s="201">
        <v>13.904999999999999</v>
      </c>
      <c r="E417" s="202">
        <v>3040</v>
      </c>
      <c r="F417" s="163"/>
      <c r="G417" s="164"/>
      <c r="H417" s="165"/>
    </row>
    <row r="418" spans="1:8" ht="15.5" x14ac:dyDescent="0.35">
      <c r="A418" s="118" t="s">
        <v>1118</v>
      </c>
      <c r="B418" s="118" t="s">
        <v>1101</v>
      </c>
      <c r="C418" s="118" t="s">
        <v>1119</v>
      </c>
      <c r="D418" s="201">
        <v>16.195</v>
      </c>
      <c r="E418" s="202">
        <v>3766</v>
      </c>
      <c r="F418" s="163"/>
      <c r="G418" s="164"/>
      <c r="H418" s="165"/>
    </row>
    <row r="419" spans="1:8" ht="15.5" x14ac:dyDescent="0.35">
      <c r="A419" s="118" t="s">
        <v>1120</v>
      </c>
      <c r="B419" s="118" t="s">
        <v>1101</v>
      </c>
      <c r="C419" s="118" t="s">
        <v>1121</v>
      </c>
      <c r="D419" s="201">
        <v>10.682</v>
      </c>
      <c r="E419" s="202">
        <v>2597</v>
      </c>
      <c r="F419" s="163"/>
      <c r="G419" s="164"/>
      <c r="H419" s="165"/>
    </row>
    <row r="420" spans="1:8" ht="15.5" x14ac:dyDescent="0.35">
      <c r="A420" s="118" t="s">
        <v>1122</v>
      </c>
      <c r="B420" s="118" t="s">
        <v>1101</v>
      </c>
      <c r="C420" s="118" t="s">
        <v>1123</v>
      </c>
      <c r="D420" s="201">
        <v>9.952</v>
      </c>
      <c r="E420" s="202">
        <v>2355</v>
      </c>
      <c r="F420" s="163"/>
      <c r="G420" s="164"/>
      <c r="H420" s="165"/>
    </row>
    <row r="421" spans="1:8" ht="15.5" x14ac:dyDescent="0.35">
      <c r="A421" s="118" t="s">
        <v>1124</v>
      </c>
      <c r="B421" s="118" t="s">
        <v>1101</v>
      </c>
      <c r="C421" s="118" t="s">
        <v>1125</v>
      </c>
      <c r="D421" s="201">
        <v>9.7889999999999997</v>
      </c>
      <c r="E421" s="202">
        <v>2778</v>
      </c>
      <c r="F421" s="163"/>
      <c r="G421" s="164"/>
      <c r="H421" s="165"/>
    </row>
    <row r="422" spans="1:8" ht="15.5" x14ac:dyDescent="0.35">
      <c r="A422" s="118" t="s">
        <v>1126</v>
      </c>
      <c r="B422" s="118" t="s">
        <v>1101</v>
      </c>
      <c r="C422" s="118" t="s">
        <v>1127</v>
      </c>
      <c r="D422" s="201">
        <v>5.548</v>
      </c>
      <c r="E422" s="202">
        <v>1409</v>
      </c>
      <c r="F422" s="163"/>
      <c r="G422" s="164"/>
      <c r="H422" s="165"/>
    </row>
    <row r="423" spans="1:8" ht="15.5" x14ac:dyDescent="0.35">
      <c r="A423" s="118" t="s">
        <v>1128</v>
      </c>
      <c r="B423" s="118" t="s">
        <v>1101</v>
      </c>
      <c r="C423" s="118" t="s">
        <v>1129</v>
      </c>
      <c r="D423" s="201">
        <v>14.101000000000001</v>
      </c>
      <c r="E423" s="202">
        <v>3468</v>
      </c>
      <c r="F423" s="163"/>
      <c r="G423" s="164"/>
      <c r="H423" s="165"/>
    </row>
    <row r="424" spans="1:8" ht="15.5" x14ac:dyDescent="0.35">
      <c r="A424" s="118" t="s">
        <v>1130</v>
      </c>
      <c r="B424" s="118" t="s">
        <v>1101</v>
      </c>
      <c r="C424" s="118" t="s">
        <v>1131</v>
      </c>
      <c r="D424" s="201">
        <v>11.907</v>
      </c>
      <c r="E424" s="202">
        <v>2725</v>
      </c>
      <c r="F424" s="163"/>
      <c r="G424" s="164"/>
      <c r="H424" s="165"/>
    </row>
    <row r="425" spans="1:8" ht="15.5" x14ac:dyDescent="0.35">
      <c r="A425" s="118" t="s">
        <v>1132</v>
      </c>
      <c r="B425" s="118" t="s">
        <v>1101</v>
      </c>
      <c r="C425" s="118" t="s">
        <v>1133</v>
      </c>
      <c r="D425" s="201">
        <v>6.0369999999999999</v>
      </c>
      <c r="E425" s="202">
        <v>1491</v>
      </c>
      <c r="F425" s="163"/>
      <c r="G425" s="164"/>
      <c r="H425" s="165"/>
    </row>
    <row r="426" spans="1:8" ht="15.5" x14ac:dyDescent="0.35">
      <c r="A426" s="118" t="s">
        <v>1134</v>
      </c>
      <c r="B426" s="118" t="s">
        <v>1101</v>
      </c>
      <c r="C426" s="118" t="s">
        <v>1135</v>
      </c>
      <c r="D426" s="201">
        <v>11.298999999999999</v>
      </c>
      <c r="E426" s="202">
        <v>2482</v>
      </c>
      <c r="F426" s="163"/>
      <c r="G426" s="164"/>
      <c r="H426" s="165"/>
    </row>
    <row r="427" spans="1:8" ht="15.5" x14ac:dyDescent="0.35">
      <c r="A427" s="118" t="s">
        <v>1136</v>
      </c>
      <c r="B427" s="118" t="s">
        <v>1101</v>
      </c>
      <c r="C427" s="118" t="s">
        <v>1137</v>
      </c>
      <c r="D427" s="201">
        <v>17.515000000000001</v>
      </c>
      <c r="E427" s="202">
        <v>4395</v>
      </c>
      <c r="F427" s="163"/>
      <c r="G427" s="164"/>
      <c r="H427" s="165"/>
    </row>
    <row r="428" spans="1:8" ht="15.5" x14ac:dyDescent="0.35">
      <c r="A428" s="118" t="s">
        <v>1138</v>
      </c>
      <c r="B428" s="118" t="s">
        <v>1101</v>
      </c>
      <c r="C428" s="118" t="s">
        <v>1139</v>
      </c>
      <c r="D428" s="201">
        <v>8.6389999999999993</v>
      </c>
      <c r="E428" s="202">
        <v>2176</v>
      </c>
      <c r="F428" s="163"/>
      <c r="G428" s="164"/>
      <c r="H428" s="165"/>
    </row>
    <row r="429" spans="1:8" ht="15.5" x14ac:dyDescent="0.35">
      <c r="A429" s="118" t="s">
        <v>1140</v>
      </c>
      <c r="B429" s="118" t="s">
        <v>1101</v>
      </c>
      <c r="C429" s="118" t="s">
        <v>1141</v>
      </c>
      <c r="D429" s="201">
        <v>6.4930000000000003</v>
      </c>
      <c r="E429" s="202">
        <v>1932</v>
      </c>
      <c r="F429" s="163"/>
      <c r="G429" s="164"/>
      <c r="H429" s="165"/>
    </row>
    <row r="430" spans="1:8" ht="15.5" x14ac:dyDescent="0.35">
      <c r="A430" s="118" t="s">
        <v>1142</v>
      </c>
      <c r="B430" s="118" t="s">
        <v>1101</v>
      </c>
      <c r="C430" s="118" t="s">
        <v>1143</v>
      </c>
      <c r="D430" s="201">
        <v>17.539000000000001</v>
      </c>
      <c r="E430" s="202">
        <v>3852</v>
      </c>
      <c r="F430" s="163"/>
      <c r="G430" s="164"/>
      <c r="H430" s="165"/>
    </row>
    <row r="431" spans="1:8" ht="15.5" x14ac:dyDescent="0.35">
      <c r="A431" s="118" t="s">
        <v>1144</v>
      </c>
      <c r="B431" s="118" t="s">
        <v>1101</v>
      </c>
      <c r="C431" s="118" t="s">
        <v>1145</v>
      </c>
      <c r="D431" s="201">
        <v>12.571999999999999</v>
      </c>
      <c r="E431" s="202">
        <v>3107</v>
      </c>
      <c r="F431" s="163"/>
      <c r="G431" s="164"/>
      <c r="H431" s="165"/>
    </row>
    <row r="432" spans="1:8" ht="15.5" x14ac:dyDescent="0.35">
      <c r="A432" s="118" t="s">
        <v>1146</v>
      </c>
      <c r="B432" s="118" t="s">
        <v>1101</v>
      </c>
      <c r="C432" s="118" t="s">
        <v>1147</v>
      </c>
      <c r="D432" s="201">
        <v>10.875999999999999</v>
      </c>
      <c r="E432" s="202">
        <v>2744</v>
      </c>
      <c r="F432" s="163"/>
      <c r="G432" s="164"/>
      <c r="H432" s="165"/>
    </row>
    <row r="433" spans="1:8" ht="15.5" x14ac:dyDescent="0.35">
      <c r="A433" s="118" t="s">
        <v>1148</v>
      </c>
      <c r="B433" s="118" t="s">
        <v>1101</v>
      </c>
      <c r="C433" s="118" t="s">
        <v>1149</v>
      </c>
      <c r="D433" s="201">
        <v>10.871</v>
      </c>
      <c r="E433" s="202">
        <v>2451</v>
      </c>
      <c r="F433" s="163"/>
      <c r="G433" s="164"/>
      <c r="H433" s="165"/>
    </row>
    <row r="434" spans="1:8" ht="15.5" x14ac:dyDescent="0.35">
      <c r="A434" s="118" t="s">
        <v>1150</v>
      </c>
      <c r="B434" s="118" t="s">
        <v>1101</v>
      </c>
      <c r="C434" s="118" t="s">
        <v>1151</v>
      </c>
      <c r="D434" s="201">
        <v>16.881</v>
      </c>
      <c r="E434" s="202">
        <v>3699</v>
      </c>
      <c r="F434" s="163"/>
      <c r="G434" s="164"/>
      <c r="H434" s="165"/>
    </row>
    <row r="435" spans="1:8" ht="15.5" x14ac:dyDescent="0.35">
      <c r="A435" s="118" t="s">
        <v>1152</v>
      </c>
      <c r="B435" s="118" t="s">
        <v>1101</v>
      </c>
      <c r="C435" s="118" t="s">
        <v>1153</v>
      </c>
      <c r="D435" s="201">
        <v>19.363</v>
      </c>
      <c r="E435" s="202">
        <v>4895</v>
      </c>
      <c r="F435" s="163"/>
      <c r="G435" s="164"/>
      <c r="H435" s="165"/>
    </row>
    <row r="436" spans="1:8" ht="15.5" x14ac:dyDescent="0.35">
      <c r="A436" s="118" t="s">
        <v>1154</v>
      </c>
      <c r="B436" s="118" t="s">
        <v>1101</v>
      </c>
      <c r="C436" s="118" t="s">
        <v>1155</v>
      </c>
      <c r="D436" s="201">
        <v>11.895</v>
      </c>
      <c r="E436" s="202">
        <v>2848</v>
      </c>
      <c r="F436" s="163"/>
      <c r="G436" s="164"/>
      <c r="H436" s="165"/>
    </row>
    <row r="437" spans="1:8" ht="15.5" x14ac:dyDescent="0.35">
      <c r="A437" s="118" t="s">
        <v>1156</v>
      </c>
      <c r="B437" s="118" t="s">
        <v>1101</v>
      </c>
      <c r="C437" s="118" t="s">
        <v>1157</v>
      </c>
      <c r="D437" s="201">
        <v>8.1270000000000007</v>
      </c>
      <c r="E437" s="202">
        <v>2005</v>
      </c>
      <c r="F437" s="163"/>
      <c r="G437" s="164"/>
      <c r="H437" s="165"/>
    </row>
    <row r="438" spans="1:8" ht="15.5" x14ac:dyDescent="0.35">
      <c r="A438" s="118" t="s">
        <v>1158</v>
      </c>
      <c r="B438" s="118" t="s">
        <v>1101</v>
      </c>
      <c r="C438" s="118" t="s">
        <v>1159</v>
      </c>
      <c r="D438" s="201">
        <v>8.84</v>
      </c>
      <c r="E438" s="202">
        <v>2115</v>
      </c>
      <c r="F438" s="163"/>
      <c r="G438" s="164"/>
      <c r="H438" s="165"/>
    </row>
    <row r="439" spans="1:8" ht="15.5" x14ac:dyDescent="0.35">
      <c r="A439" s="118" t="s">
        <v>1160</v>
      </c>
      <c r="B439" s="118" t="s">
        <v>1101</v>
      </c>
      <c r="C439" s="118" t="s">
        <v>1161</v>
      </c>
      <c r="D439" s="201">
        <v>8.1780000000000008</v>
      </c>
      <c r="E439" s="202">
        <v>2060</v>
      </c>
      <c r="F439" s="163"/>
      <c r="G439" s="164"/>
      <c r="H439" s="165"/>
    </row>
    <row r="440" spans="1:8" ht="15.5" x14ac:dyDescent="0.35">
      <c r="A440" s="118" t="s">
        <v>1162</v>
      </c>
      <c r="B440" s="118" t="s">
        <v>1101</v>
      </c>
      <c r="C440" s="118" t="s">
        <v>1163</v>
      </c>
      <c r="D440" s="201">
        <v>10.853</v>
      </c>
      <c r="E440" s="202">
        <v>3085</v>
      </c>
      <c r="F440" s="163"/>
      <c r="G440" s="164"/>
      <c r="H440" s="165"/>
    </row>
    <row r="441" spans="1:8" ht="15.5" x14ac:dyDescent="0.35">
      <c r="A441" s="118" t="s">
        <v>1164</v>
      </c>
      <c r="B441" s="118" t="s">
        <v>1101</v>
      </c>
      <c r="C441" s="118" t="s">
        <v>1165</v>
      </c>
      <c r="D441" s="201">
        <v>7.99</v>
      </c>
      <c r="E441" s="202">
        <v>1929</v>
      </c>
      <c r="F441" s="163"/>
      <c r="G441" s="164"/>
      <c r="H441" s="165"/>
    </row>
    <row r="442" spans="1:8" ht="15.5" x14ac:dyDescent="0.35">
      <c r="A442" s="118" t="s">
        <v>1166</v>
      </c>
      <c r="B442" s="118" t="s">
        <v>1101</v>
      </c>
      <c r="C442" s="118" t="s">
        <v>1167</v>
      </c>
      <c r="D442" s="201">
        <v>7.5730000000000004</v>
      </c>
      <c r="E442" s="202">
        <v>1734</v>
      </c>
      <c r="F442" s="163"/>
      <c r="G442" s="164"/>
      <c r="H442" s="165"/>
    </row>
    <row r="443" spans="1:8" ht="15.5" x14ac:dyDescent="0.35">
      <c r="A443" s="118" t="s">
        <v>1168</v>
      </c>
      <c r="B443" s="118" t="s">
        <v>1101</v>
      </c>
      <c r="C443" s="118" t="s">
        <v>1169</v>
      </c>
      <c r="D443" s="201">
        <v>12.708</v>
      </c>
      <c r="E443" s="202">
        <v>3260</v>
      </c>
      <c r="F443" s="163"/>
      <c r="G443" s="164"/>
      <c r="H443" s="165"/>
    </row>
    <row r="444" spans="1:8" ht="15.5" x14ac:dyDescent="0.35">
      <c r="A444" s="118" t="s">
        <v>1170</v>
      </c>
      <c r="B444" s="118" t="s">
        <v>1101</v>
      </c>
      <c r="C444" s="118" t="s">
        <v>1171</v>
      </c>
      <c r="D444" s="201">
        <v>13.698</v>
      </c>
      <c r="E444" s="202">
        <v>3177</v>
      </c>
      <c r="F444" s="163"/>
      <c r="G444" s="164"/>
      <c r="H444" s="165"/>
    </row>
    <row r="445" spans="1:8" ht="15.5" x14ac:dyDescent="0.35">
      <c r="A445" s="118" t="s">
        <v>1172</v>
      </c>
      <c r="B445" s="118" t="s">
        <v>1101</v>
      </c>
      <c r="C445" s="118" t="s">
        <v>1173</v>
      </c>
      <c r="D445" s="201">
        <v>10.657</v>
      </c>
      <c r="E445" s="202">
        <v>2595</v>
      </c>
      <c r="F445" s="163"/>
      <c r="G445" s="164"/>
      <c r="H445" s="165"/>
    </row>
    <row r="446" spans="1:8" ht="15.5" x14ac:dyDescent="0.35">
      <c r="A446" s="118" t="s">
        <v>1174</v>
      </c>
      <c r="B446" s="118" t="s">
        <v>1101</v>
      </c>
      <c r="C446" s="118" t="s">
        <v>1175</v>
      </c>
      <c r="D446" s="201">
        <v>11.087999999999999</v>
      </c>
      <c r="E446" s="202">
        <v>2721</v>
      </c>
      <c r="F446" s="163"/>
      <c r="G446" s="164"/>
      <c r="H446" s="165"/>
    </row>
    <row r="447" spans="1:8" ht="15.5" x14ac:dyDescent="0.35">
      <c r="A447" s="118" t="s">
        <v>1176</v>
      </c>
      <c r="B447" s="118" t="s">
        <v>1101</v>
      </c>
      <c r="C447" s="118" t="s">
        <v>1177</v>
      </c>
      <c r="D447" s="201">
        <v>5.7309999999999999</v>
      </c>
      <c r="E447" s="202">
        <v>1302</v>
      </c>
      <c r="F447" s="163"/>
      <c r="G447" s="164"/>
      <c r="H447" s="165"/>
    </row>
    <row r="448" spans="1:8" ht="15.5" x14ac:dyDescent="0.35">
      <c r="A448" s="118" t="s">
        <v>1178</v>
      </c>
      <c r="B448" s="118" t="s">
        <v>1101</v>
      </c>
      <c r="C448" s="118" t="s">
        <v>1179</v>
      </c>
      <c r="D448" s="201">
        <v>13.723000000000001</v>
      </c>
      <c r="E448" s="202">
        <v>3215</v>
      </c>
      <c r="F448" s="163"/>
      <c r="G448" s="164"/>
      <c r="H448" s="165"/>
    </row>
    <row r="449" spans="1:8" ht="15.5" x14ac:dyDescent="0.35">
      <c r="A449" s="118" t="s">
        <v>1180</v>
      </c>
      <c r="B449" s="118" t="s">
        <v>1101</v>
      </c>
      <c r="C449" s="118" t="s">
        <v>1181</v>
      </c>
      <c r="D449" s="201">
        <v>10.768000000000001</v>
      </c>
      <c r="E449" s="202">
        <v>2807</v>
      </c>
      <c r="F449" s="163"/>
      <c r="G449" s="164"/>
      <c r="H449" s="165"/>
    </row>
    <row r="450" spans="1:8" ht="15.5" x14ac:dyDescent="0.35">
      <c r="A450" s="118" t="s">
        <v>1182</v>
      </c>
      <c r="B450" s="118" t="s">
        <v>1101</v>
      </c>
      <c r="C450" s="118" t="s">
        <v>1183</v>
      </c>
      <c r="D450" s="201">
        <v>9.9009999999999998</v>
      </c>
      <c r="E450" s="202">
        <v>3061</v>
      </c>
      <c r="F450" s="163"/>
      <c r="G450" s="164"/>
      <c r="H450" s="165"/>
    </row>
    <row r="451" spans="1:8" ht="15.5" x14ac:dyDescent="0.35">
      <c r="A451" s="118" t="s">
        <v>1184</v>
      </c>
      <c r="B451" s="118" t="s">
        <v>1101</v>
      </c>
      <c r="C451" s="118" t="s">
        <v>1185</v>
      </c>
      <c r="D451" s="201">
        <v>10.679</v>
      </c>
      <c r="E451" s="202">
        <v>2596</v>
      </c>
      <c r="F451" s="163"/>
      <c r="G451" s="164"/>
      <c r="H451" s="165"/>
    </row>
    <row r="452" spans="1:8" ht="15.5" x14ac:dyDescent="0.35">
      <c r="A452" s="118" t="s">
        <v>1186</v>
      </c>
      <c r="B452" s="118" t="s">
        <v>1101</v>
      </c>
      <c r="C452" s="118" t="s">
        <v>1187</v>
      </c>
      <c r="D452" s="201">
        <v>16.183</v>
      </c>
      <c r="E452" s="202">
        <v>4383</v>
      </c>
      <c r="F452" s="163"/>
      <c r="G452" s="164"/>
      <c r="H452" s="165"/>
    </row>
    <row r="453" spans="1:8" ht="15.5" x14ac:dyDescent="0.35">
      <c r="A453" s="118" t="s">
        <v>1188</v>
      </c>
      <c r="B453" s="118" t="s">
        <v>1101</v>
      </c>
      <c r="C453" s="118" t="s">
        <v>1189</v>
      </c>
      <c r="D453" s="201">
        <v>9.3209999999999997</v>
      </c>
      <c r="E453" s="202">
        <v>2293</v>
      </c>
      <c r="F453" s="163"/>
      <c r="G453" s="164"/>
      <c r="H453" s="165"/>
    </row>
    <row r="454" spans="1:8" ht="15.5" x14ac:dyDescent="0.35">
      <c r="A454" s="118" t="s">
        <v>1190</v>
      </c>
      <c r="B454" s="118" t="s">
        <v>1101</v>
      </c>
      <c r="C454" s="118" t="s">
        <v>1191</v>
      </c>
      <c r="D454" s="201">
        <v>11.651999999999999</v>
      </c>
      <c r="E454" s="202">
        <v>2971</v>
      </c>
      <c r="F454" s="163"/>
      <c r="G454" s="164"/>
      <c r="H454" s="165"/>
    </row>
    <row r="455" spans="1:8" ht="15.5" x14ac:dyDescent="0.35">
      <c r="A455" s="118" t="s">
        <v>1192</v>
      </c>
      <c r="B455" s="118" t="s">
        <v>1101</v>
      </c>
      <c r="C455" s="118" t="s">
        <v>1193</v>
      </c>
      <c r="D455" s="201">
        <v>15.238</v>
      </c>
      <c r="E455" s="202">
        <v>3247</v>
      </c>
      <c r="F455" s="163"/>
      <c r="G455" s="164"/>
      <c r="H455" s="165"/>
    </row>
    <row r="456" spans="1:8" ht="15.5" x14ac:dyDescent="0.35">
      <c r="A456" s="118" t="s">
        <v>1194</v>
      </c>
      <c r="B456" s="118" t="s">
        <v>1101</v>
      </c>
      <c r="C456" s="118" t="s">
        <v>1195</v>
      </c>
      <c r="D456" s="201">
        <v>11.864000000000001</v>
      </c>
      <c r="E456" s="202">
        <v>2871</v>
      </c>
      <c r="F456" s="163"/>
      <c r="G456" s="164"/>
      <c r="H456" s="165"/>
    </row>
    <row r="457" spans="1:8" ht="15.5" x14ac:dyDescent="0.35">
      <c r="A457" s="118" t="s">
        <v>1196</v>
      </c>
      <c r="B457" s="118" t="s">
        <v>1101</v>
      </c>
      <c r="C457" s="118" t="s">
        <v>1197</v>
      </c>
      <c r="D457" s="201">
        <v>14.539</v>
      </c>
      <c r="E457" s="202">
        <v>3146</v>
      </c>
      <c r="F457" s="163"/>
      <c r="G457" s="164"/>
      <c r="H457" s="165"/>
    </row>
    <row r="458" spans="1:8" ht="15.5" x14ac:dyDescent="0.35">
      <c r="A458" s="118" t="s">
        <v>1198</v>
      </c>
      <c r="B458" s="118" t="s">
        <v>1101</v>
      </c>
      <c r="C458" s="118" t="s">
        <v>1199</v>
      </c>
      <c r="D458" s="201">
        <v>5.7640000000000002</v>
      </c>
      <c r="E458" s="202">
        <v>1484</v>
      </c>
      <c r="F458" s="163"/>
      <c r="G458" s="164"/>
      <c r="H458" s="165"/>
    </row>
    <row r="459" spans="1:8" ht="15.5" x14ac:dyDescent="0.35">
      <c r="A459" s="118" t="s">
        <v>1200</v>
      </c>
      <c r="B459" s="118" t="s">
        <v>1101</v>
      </c>
      <c r="C459" s="118" t="s">
        <v>1201</v>
      </c>
      <c r="D459" s="201">
        <v>8.6170000000000009</v>
      </c>
      <c r="E459" s="202">
        <v>2310</v>
      </c>
      <c r="F459" s="163"/>
      <c r="G459" s="164"/>
      <c r="H459" s="165"/>
    </row>
    <row r="460" spans="1:8" ht="15.5" x14ac:dyDescent="0.35">
      <c r="A460" s="118" t="s">
        <v>1202</v>
      </c>
      <c r="B460" s="118" t="s">
        <v>1101</v>
      </c>
      <c r="C460" s="118" t="s">
        <v>1203</v>
      </c>
      <c r="D460" s="201">
        <v>17.738</v>
      </c>
      <c r="E460" s="202">
        <v>3189</v>
      </c>
      <c r="F460" s="163"/>
      <c r="G460" s="164"/>
      <c r="H460" s="165"/>
    </row>
    <row r="461" spans="1:8" ht="15.5" x14ac:dyDescent="0.35">
      <c r="A461" s="118" t="s">
        <v>1204</v>
      </c>
      <c r="B461" s="118" t="s">
        <v>1101</v>
      </c>
      <c r="C461" s="118" t="s">
        <v>1205</v>
      </c>
      <c r="D461" s="201">
        <v>16.646000000000001</v>
      </c>
      <c r="E461" s="202">
        <v>4050</v>
      </c>
      <c r="F461" s="163"/>
      <c r="G461" s="164"/>
      <c r="H461" s="165"/>
    </row>
    <row r="462" spans="1:8" ht="15.5" x14ac:dyDescent="0.35">
      <c r="A462" s="118" t="s">
        <v>1206</v>
      </c>
      <c r="B462" s="118" t="s">
        <v>1101</v>
      </c>
      <c r="C462" s="118" t="s">
        <v>1207</v>
      </c>
      <c r="D462" s="201">
        <v>12.115</v>
      </c>
      <c r="E462" s="202">
        <v>2753</v>
      </c>
      <c r="F462" s="163"/>
      <c r="G462" s="164"/>
      <c r="H462" s="165"/>
    </row>
    <row r="463" spans="1:8" ht="15.5" x14ac:dyDescent="0.35">
      <c r="A463" s="118" t="s">
        <v>1208</v>
      </c>
      <c r="B463" s="118" t="s">
        <v>1101</v>
      </c>
      <c r="C463" s="118" t="s">
        <v>1209</v>
      </c>
      <c r="D463" s="201">
        <v>8.5619999999999994</v>
      </c>
      <c r="E463" s="202">
        <v>2553</v>
      </c>
      <c r="F463" s="163"/>
      <c r="G463" s="164"/>
      <c r="H463" s="165"/>
    </row>
    <row r="464" spans="1:8" ht="15.5" x14ac:dyDescent="0.35">
      <c r="A464" s="118" t="s">
        <v>1210</v>
      </c>
      <c r="B464" s="118" t="s">
        <v>1101</v>
      </c>
      <c r="C464" s="118" t="s">
        <v>1211</v>
      </c>
      <c r="D464" s="201">
        <v>15.641999999999999</v>
      </c>
      <c r="E464" s="202">
        <v>3362</v>
      </c>
      <c r="F464" s="163"/>
      <c r="G464" s="164"/>
      <c r="H464" s="165"/>
    </row>
    <row r="465" spans="1:8" ht="15.5" x14ac:dyDescent="0.35">
      <c r="A465" s="118" t="s">
        <v>1212</v>
      </c>
      <c r="B465" s="118" t="s">
        <v>1101</v>
      </c>
      <c r="C465" s="118" t="s">
        <v>1213</v>
      </c>
      <c r="D465" s="201">
        <v>13.117000000000001</v>
      </c>
      <c r="E465" s="202">
        <v>3468</v>
      </c>
      <c r="F465" s="163"/>
      <c r="G465" s="164"/>
      <c r="H465" s="165"/>
    </row>
    <row r="466" spans="1:8" ht="15.5" x14ac:dyDescent="0.35">
      <c r="A466" s="118" t="s">
        <v>1214</v>
      </c>
      <c r="B466" s="118" t="s">
        <v>1101</v>
      </c>
      <c r="C466" s="118" t="s">
        <v>1215</v>
      </c>
      <c r="D466" s="201">
        <v>13.569000000000001</v>
      </c>
      <c r="E466" s="202">
        <v>3122</v>
      </c>
      <c r="F466" s="163"/>
      <c r="G466" s="164"/>
      <c r="H466" s="165"/>
    </row>
    <row r="467" spans="1:8" ht="15.5" x14ac:dyDescent="0.35">
      <c r="A467" s="118" t="s">
        <v>1216</v>
      </c>
      <c r="B467" s="118" t="s">
        <v>1101</v>
      </c>
      <c r="C467" s="118" t="s">
        <v>1217</v>
      </c>
      <c r="D467" s="201">
        <v>12.776999999999999</v>
      </c>
      <c r="E467" s="202">
        <v>3209</v>
      </c>
      <c r="F467" s="163"/>
      <c r="G467" s="164"/>
      <c r="H467" s="165"/>
    </row>
    <row r="468" spans="1:8" ht="15.5" x14ac:dyDescent="0.35">
      <c r="A468" s="118" t="s">
        <v>1218</v>
      </c>
      <c r="B468" s="118" t="s">
        <v>1101</v>
      </c>
      <c r="C468" s="118" t="s">
        <v>1219</v>
      </c>
      <c r="D468" s="201">
        <v>14.387</v>
      </c>
      <c r="E468" s="202">
        <v>3393</v>
      </c>
      <c r="F468" s="163"/>
      <c r="G468" s="164"/>
      <c r="H468" s="165"/>
    </row>
    <row r="469" spans="1:8" ht="15.5" x14ac:dyDescent="0.35">
      <c r="A469" s="118" t="s">
        <v>1220</v>
      </c>
      <c r="B469" s="118" t="s">
        <v>1101</v>
      </c>
      <c r="C469" s="118" t="s">
        <v>1221</v>
      </c>
      <c r="D469" s="201">
        <v>16.425999999999998</v>
      </c>
      <c r="E469" s="202">
        <v>3782</v>
      </c>
      <c r="F469" s="163"/>
      <c r="G469" s="164"/>
      <c r="H469" s="165"/>
    </row>
    <row r="470" spans="1:8" ht="15.5" x14ac:dyDescent="0.35">
      <c r="A470" s="118" t="s">
        <v>1222</v>
      </c>
      <c r="B470" s="118" t="s">
        <v>1101</v>
      </c>
      <c r="C470" s="118" t="s">
        <v>1223</v>
      </c>
      <c r="D470" s="201">
        <v>11.813000000000001</v>
      </c>
      <c r="E470" s="202">
        <v>2535</v>
      </c>
      <c r="F470" s="163"/>
      <c r="G470" s="164"/>
      <c r="H470" s="165"/>
    </row>
    <row r="471" spans="1:8" ht="15.5" x14ac:dyDescent="0.35">
      <c r="A471" s="118" t="s">
        <v>1224</v>
      </c>
      <c r="B471" s="118" t="s">
        <v>1101</v>
      </c>
      <c r="C471" s="118" t="s">
        <v>1225</v>
      </c>
      <c r="D471" s="201">
        <v>15.23</v>
      </c>
      <c r="E471" s="202">
        <v>3631</v>
      </c>
      <c r="F471" s="163"/>
      <c r="G471" s="164"/>
      <c r="H471" s="165"/>
    </row>
    <row r="472" spans="1:8" ht="15.5" x14ac:dyDescent="0.35">
      <c r="A472" s="118" t="s">
        <v>1226</v>
      </c>
      <c r="B472" s="118" t="s">
        <v>1101</v>
      </c>
      <c r="C472" s="118" t="s">
        <v>1227</v>
      </c>
      <c r="D472" s="201">
        <v>14.438000000000001</v>
      </c>
      <c r="E472" s="202">
        <v>3090</v>
      </c>
      <c r="F472" s="163"/>
      <c r="G472" s="164"/>
      <c r="H472" s="165"/>
    </row>
    <row r="473" spans="1:8" ht="15.5" x14ac:dyDescent="0.35">
      <c r="A473" s="118" t="s">
        <v>1228</v>
      </c>
      <c r="B473" s="118" t="s">
        <v>1101</v>
      </c>
      <c r="C473" s="118" t="s">
        <v>1229</v>
      </c>
      <c r="D473" s="201">
        <v>7.1619999999999999</v>
      </c>
      <c r="E473" s="202">
        <v>1959</v>
      </c>
      <c r="F473" s="163"/>
      <c r="G473" s="164"/>
      <c r="H473" s="165"/>
    </row>
    <row r="474" spans="1:8" ht="15.5" x14ac:dyDescent="0.35">
      <c r="A474" s="118" t="s">
        <v>1230</v>
      </c>
      <c r="B474" s="118" t="s">
        <v>1101</v>
      </c>
      <c r="C474" s="118" t="s">
        <v>1231</v>
      </c>
      <c r="D474" s="201">
        <v>11.007999999999999</v>
      </c>
      <c r="E474" s="202">
        <v>2444</v>
      </c>
      <c r="F474" s="163"/>
      <c r="G474" s="164"/>
      <c r="H474" s="165"/>
    </row>
    <row r="475" spans="1:8" ht="15.5" x14ac:dyDescent="0.35">
      <c r="A475" s="118" t="s">
        <v>1232</v>
      </c>
      <c r="B475" s="118" t="s">
        <v>1101</v>
      </c>
      <c r="C475" s="118" t="s">
        <v>1233</v>
      </c>
      <c r="D475" s="201">
        <v>7.069</v>
      </c>
      <c r="E475" s="202">
        <v>1857</v>
      </c>
      <c r="F475" s="163"/>
      <c r="G475" s="164"/>
      <c r="H475" s="165"/>
    </row>
    <row r="476" spans="1:8" ht="15.5" x14ac:dyDescent="0.35">
      <c r="A476" s="118" t="s">
        <v>1234</v>
      </c>
      <c r="B476" s="118" t="s">
        <v>1101</v>
      </c>
      <c r="C476" s="118" t="s">
        <v>1235</v>
      </c>
      <c r="D476" s="201">
        <v>3.589</v>
      </c>
      <c r="E476" s="202">
        <v>840</v>
      </c>
      <c r="F476" s="163"/>
      <c r="G476" s="164"/>
      <c r="H476" s="165"/>
    </row>
    <row r="477" spans="1:8" ht="15.5" x14ac:dyDescent="0.35">
      <c r="A477" s="118" t="s">
        <v>1236</v>
      </c>
      <c r="B477" s="118" t="s">
        <v>1101</v>
      </c>
      <c r="C477" s="118" t="s">
        <v>1237</v>
      </c>
      <c r="D477" s="201">
        <v>7.6230000000000002</v>
      </c>
      <c r="E477" s="202">
        <v>1967</v>
      </c>
      <c r="F477" s="163"/>
      <c r="G477" s="164"/>
      <c r="H477" s="165"/>
    </row>
    <row r="478" spans="1:8" ht="15.5" x14ac:dyDescent="0.35">
      <c r="A478" s="118" t="s">
        <v>1238</v>
      </c>
      <c r="B478" s="118" t="s">
        <v>1101</v>
      </c>
      <c r="C478" s="118" t="s">
        <v>1239</v>
      </c>
      <c r="D478" s="201">
        <v>12.111000000000001</v>
      </c>
      <c r="E478" s="202">
        <v>2901</v>
      </c>
      <c r="F478" s="163"/>
      <c r="G478" s="164"/>
      <c r="H478" s="165"/>
    </row>
    <row r="479" spans="1:8" ht="15.5" x14ac:dyDescent="0.35">
      <c r="A479" s="118" t="s">
        <v>1240</v>
      </c>
      <c r="B479" s="118" t="s">
        <v>1101</v>
      </c>
      <c r="C479" s="118" t="s">
        <v>1241</v>
      </c>
      <c r="D479" s="201">
        <v>10.788</v>
      </c>
      <c r="E479" s="202">
        <v>2641</v>
      </c>
      <c r="F479" s="163"/>
      <c r="G479" s="164"/>
      <c r="H479" s="165"/>
    </row>
    <row r="480" spans="1:8" ht="15.5" x14ac:dyDescent="0.35">
      <c r="A480" s="118" t="s">
        <v>1242</v>
      </c>
      <c r="B480" s="118" t="s">
        <v>1101</v>
      </c>
      <c r="C480" s="118" t="s">
        <v>1243</v>
      </c>
      <c r="D480" s="201">
        <v>6.8010000000000002</v>
      </c>
      <c r="E480" s="202">
        <v>1704</v>
      </c>
      <c r="F480" s="163"/>
      <c r="G480" s="164"/>
      <c r="H480" s="165"/>
    </row>
    <row r="481" spans="1:8" ht="15.5" x14ac:dyDescent="0.35">
      <c r="A481" s="118" t="s">
        <v>1244</v>
      </c>
      <c r="B481" s="118" t="s">
        <v>1101</v>
      </c>
      <c r="C481" s="118" t="s">
        <v>1245</v>
      </c>
      <c r="D481" s="201">
        <v>17.908000000000001</v>
      </c>
      <c r="E481" s="202">
        <v>3860</v>
      </c>
      <c r="F481" s="163"/>
      <c r="G481" s="164"/>
      <c r="H481" s="165"/>
    </row>
    <row r="482" spans="1:8" ht="15.5" x14ac:dyDescent="0.35">
      <c r="A482" s="118" t="s">
        <v>1246</v>
      </c>
      <c r="B482" s="118" t="s">
        <v>1101</v>
      </c>
      <c r="C482" s="118" t="s">
        <v>1247</v>
      </c>
      <c r="D482" s="201">
        <v>9.5410000000000004</v>
      </c>
      <c r="E482" s="202">
        <v>2272</v>
      </c>
      <c r="F482" s="163"/>
      <c r="G482" s="164"/>
      <c r="H482" s="165"/>
    </row>
    <row r="483" spans="1:8" ht="15.5" x14ac:dyDescent="0.35">
      <c r="A483" s="118" t="s">
        <v>1248</v>
      </c>
      <c r="B483" s="118" t="s">
        <v>1101</v>
      </c>
      <c r="C483" s="118" t="s">
        <v>1249</v>
      </c>
      <c r="D483" s="201">
        <v>10.826000000000001</v>
      </c>
      <c r="E483" s="202">
        <v>2565</v>
      </c>
      <c r="F483" s="163"/>
      <c r="G483" s="164"/>
      <c r="H483" s="165"/>
    </row>
    <row r="484" spans="1:8" ht="15.5" x14ac:dyDescent="0.35">
      <c r="A484" s="118" t="s">
        <v>1250</v>
      </c>
      <c r="B484" s="118" t="s">
        <v>1101</v>
      </c>
      <c r="C484" s="118" t="s">
        <v>1251</v>
      </c>
      <c r="D484" s="201">
        <v>9.44</v>
      </c>
      <c r="E484" s="202">
        <v>2483</v>
      </c>
      <c r="F484" s="163"/>
      <c r="G484" s="164"/>
      <c r="H484" s="165"/>
    </row>
    <row r="485" spans="1:8" ht="15.5" x14ac:dyDescent="0.35">
      <c r="A485" s="118" t="s">
        <v>1252</v>
      </c>
      <c r="B485" s="118" t="s">
        <v>1101</v>
      </c>
      <c r="C485" s="118" t="s">
        <v>1253</v>
      </c>
      <c r="D485" s="201">
        <v>5.1980000000000004</v>
      </c>
      <c r="E485" s="202">
        <v>1451</v>
      </c>
      <c r="F485" s="163"/>
      <c r="G485" s="164"/>
      <c r="H485" s="165"/>
    </row>
    <row r="486" spans="1:8" ht="15.5" x14ac:dyDescent="0.35">
      <c r="A486" s="118" t="s">
        <v>1254</v>
      </c>
      <c r="B486" s="118" t="s">
        <v>1101</v>
      </c>
      <c r="C486" s="118" t="s">
        <v>1255</v>
      </c>
      <c r="D486" s="201">
        <v>6.3</v>
      </c>
      <c r="E486" s="202">
        <v>2035</v>
      </c>
      <c r="F486" s="163"/>
      <c r="G486" s="164"/>
      <c r="H486" s="165"/>
    </row>
    <row r="487" spans="1:8" ht="15.5" x14ac:dyDescent="0.35">
      <c r="A487" s="118" t="s">
        <v>1256</v>
      </c>
      <c r="B487" s="118" t="s">
        <v>1101</v>
      </c>
      <c r="C487" s="118" t="s">
        <v>1257</v>
      </c>
      <c r="D487" s="201">
        <v>6.83</v>
      </c>
      <c r="E487" s="202">
        <v>2118</v>
      </c>
      <c r="F487" s="163"/>
      <c r="G487" s="164"/>
      <c r="H487" s="165"/>
    </row>
    <row r="488" spans="1:8" ht="15.5" x14ac:dyDescent="0.35">
      <c r="A488" s="118" t="s">
        <v>1258</v>
      </c>
      <c r="B488" s="118" t="s">
        <v>1101</v>
      </c>
      <c r="C488" s="118" t="s">
        <v>1259</v>
      </c>
      <c r="D488" s="201">
        <v>5.7670000000000003</v>
      </c>
      <c r="E488" s="202">
        <v>1573</v>
      </c>
      <c r="F488" s="163"/>
      <c r="G488" s="164"/>
      <c r="H488" s="165"/>
    </row>
    <row r="489" spans="1:8" ht="15.5" x14ac:dyDescent="0.35">
      <c r="A489" s="118" t="s">
        <v>1260</v>
      </c>
      <c r="B489" s="118" t="s">
        <v>1101</v>
      </c>
      <c r="C489" s="118" t="s">
        <v>1261</v>
      </c>
      <c r="D489" s="201">
        <v>11.237</v>
      </c>
      <c r="E489" s="202">
        <v>2365</v>
      </c>
      <c r="F489" s="163"/>
      <c r="G489" s="164"/>
      <c r="H489" s="165"/>
    </row>
    <row r="490" spans="1:8" ht="15.5" x14ac:dyDescent="0.35">
      <c r="A490" s="118" t="s">
        <v>1262</v>
      </c>
      <c r="B490" s="118" t="s">
        <v>1101</v>
      </c>
      <c r="C490" s="118" t="s">
        <v>1263</v>
      </c>
      <c r="D490" s="201">
        <v>17.548999999999999</v>
      </c>
      <c r="E490" s="202">
        <v>3718</v>
      </c>
      <c r="F490" s="163"/>
      <c r="G490" s="164"/>
      <c r="H490" s="165"/>
    </row>
    <row r="491" spans="1:8" ht="15.5" x14ac:dyDescent="0.35">
      <c r="A491" s="118" t="s">
        <v>1264</v>
      </c>
      <c r="B491" s="118" t="s">
        <v>1101</v>
      </c>
      <c r="C491" s="118" t="s">
        <v>1265</v>
      </c>
      <c r="D491" s="201">
        <v>11.925000000000001</v>
      </c>
      <c r="E491" s="202">
        <v>2550</v>
      </c>
      <c r="F491" s="163"/>
      <c r="G491" s="164"/>
      <c r="H491" s="165"/>
    </row>
    <row r="492" spans="1:8" ht="15.5" x14ac:dyDescent="0.35">
      <c r="A492" s="118" t="s">
        <v>1266</v>
      </c>
      <c r="B492" s="118" t="s">
        <v>1101</v>
      </c>
      <c r="C492" s="118" t="s">
        <v>1267</v>
      </c>
      <c r="D492" s="201">
        <v>13.359</v>
      </c>
      <c r="E492" s="202">
        <v>3025</v>
      </c>
      <c r="F492" s="163"/>
      <c r="G492" s="164"/>
      <c r="H492" s="165"/>
    </row>
    <row r="493" spans="1:8" ht="15.5" x14ac:dyDescent="0.35">
      <c r="A493" s="118" t="s">
        <v>1268</v>
      </c>
      <c r="B493" s="118" t="s">
        <v>1101</v>
      </c>
      <c r="C493" s="118" t="s">
        <v>1269</v>
      </c>
      <c r="D493" s="201">
        <v>17.988</v>
      </c>
      <c r="E493" s="202">
        <v>3747</v>
      </c>
      <c r="F493" s="163"/>
      <c r="G493" s="164"/>
      <c r="H493" s="165"/>
    </row>
    <row r="494" spans="1:8" ht="15.5" x14ac:dyDescent="0.35">
      <c r="A494" s="118" t="s">
        <v>1270</v>
      </c>
      <c r="B494" s="118" t="s">
        <v>1101</v>
      </c>
      <c r="C494" s="118" t="s">
        <v>1271</v>
      </c>
      <c r="D494" s="201">
        <v>19.835000000000001</v>
      </c>
      <c r="E494" s="202">
        <v>4402</v>
      </c>
      <c r="F494" s="163"/>
      <c r="G494" s="164"/>
      <c r="H494" s="165"/>
    </row>
    <row r="495" spans="1:8" ht="15.5" x14ac:dyDescent="0.35">
      <c r="A495" s="118" t="s">
        <v>1272</v>
      </c>
      <c r="B495" s="118" t="s">
        <v>1101</v>
      </c>
      <c r="C495" s="118" t="s">
        <v>1273</v>
      </c>
      <c r="D495" s="201">
        <v>7.7210000000000001</v>
      </c>
      <c r="E495" s="202">
        <v>1816</v>
      </c>
      <c r="F495" s="163"/>
      <c r="G495" s="164"/>
      <c r="H495" s="165"/>
    </row>
    <row r="496" spans="1:8" ht="15.5" x14ac:dyDescent="0.35">
      <c r="A496" s="118" t="s">
        <v>1274</v>
      </c>
      <c r="B496" s="118" t="s">
        <v>1101</v>
      </c>
      <c r="C496" s="118" t="s">
        <v>1275</v>
      </c>
      <c r="D496" s="201">
        <v>14.769</v>
      </c>
      <c r="E496" s="202">
        <v>3524</v>
      </c>
      <c r="F496" s="163"/>
      <c r="G496" s="164"/>
      <c r="H496" s="165"/>
    </row>
    <row r="497" spans="1:8" ht="15.5" x14ac:dyDescent="0.35">
      <c r="A497" s="118" t="s">
        <v>1276</v>
      </c>
      <c r="B497" s="118" t="s">
        <v>1101</v>
      </c>
      <c r="C497" s="118" t="s">
        <v>1277</v>
      </c>
      <c r="D497" s="201">
        <v>10.243</v>
      </c>
      <c r="E497" s="202">
        <v>2402</v>
      </c>
      <c r="F497" s="163"/>
      <c r="G497" s="164"/>
      <c r="H497" s="165"/>
    </row>
    <row r="498" spans="1:8" ht="15.5" x14ac:dyDescent="0.35">
      <c r="A498" s="118" t="s">
        <v>1278</v>
      </c>
      <c r="B498" s="118" t="s">
        <v>1101</v>
      </c>
      <c r="C498" s="118" t="s">
        <v>1279</v>
      </c>
      <c r="D498" s="201">
        <v>15.564</v>
      </c>
      <c r="E498" s="202">
        <v>3133</v>
      </c>
      <c r="F498" s="163"/>
      <c r="G498" s="164"/>
      <c r="H498" s="165"/>
    </row>
    <row r="499" spans="1:8" ht="15.5" x14ac:dyDescent="0.35">
      <c r="A499" s="118" t="s">
        <v>1280</v>
      </c>
      <c r="B499" s="118" t="s">
        <v>1101</v>
      </c>
      <c r="C499" s="118" t="s">
        <v>1281</v>
      </c>
      <c r="D499" s="201">
        <v>10.359</v>
      </c>
      <c r="E499" s="202">
        <v>2434</v>
      </c>
      <c r="F499" s="163"/>
      <c r="G499" s="164"/>
      <c r="H499" s="165"/>
    </row>
    <row r="500" spans="1:8" ht="15.5" x14ac:dyDescent="0.35">
      <c r="A500" s="118" t="s">
        <v>1282</v>
      </c>
      <c r="B500" s="118" t="s">
        <v>1101</v>
      </c>
      <c r="C500" s="118" t="s">
        <v>1283</v>
      </c>
      <c r="D500" s="201">
        <v>8.0310000000000006</v>
      </c>
      <c r="E500" s="202">
        <v>1954</v>
      </c>
      <c r="F500" s="163"/>
      <c r="G500" s="164"/>
      <c r="H500" s="165"/>
    </row>
    <row r="501" spans="1:8" ht="15.5" x14ac:dyDescent="0.35">
      <c r="A501" s="203" t="s">
        <v>1284</v>
      </c>
      <c r="B501" s="203" t="s">
        <v>1285</v>
      </c>
      <c r="C501" s="118"/>
      <c r="D501" s="201">
        <v>0</v>
      </c>
      <c r="E501" s="202">
        <v>0</v>
      </c>
      <c r="F501" s="163"/>
      <c r="G501" s="164"/>
      <c r="H501" s="165"/>
    </row>
    <row r="502" spans="1:8" ht="15.5" x14ac:dyDescent="0.35">
      <c r="A502" s="118" t="s">
        <v>1286</v>
      </c>
      <c r="B502" s="118" t="s">
        <v>1285</v>
      </c>
      <c r="C502" s="118" t="s">
        <v>1287</v>
      </c>
      <c r="D502" s="201">
        <v>8.3339999999999996</v>
      </c>
      <c r="E502" s="202">
        <v>2201</v>
      </c>
      <c r="F502" s="163"/>
      <c r="G502" s="164"/>
      <c r="H502" s="165"/>
    </row>
    <row r="503" spans="1:8" ht="15.5" x14ac:dyDescent="0.35">
      <c r="A503" s="118" t="s">
        <v>1288</v>
      </c>
      <c r="B503" s="118" t="s">
        <v>1285</v>
      </c>
      <c r="C503" s="118" t="s">
        <v>1289</v>
      </c>
      <c r="D503" s="201">
        <v>6.1619999999999999</v>
      </c>
      <c r="E503" s="202">
        <v>1638</v>
      </c>
      <c r="F503" s="163"/>
      <c r="G503" s="164"/>
      <c r="H503" s="165"/>
    </row>
    <row r="504" spans="1:8" ht="15.5" x14ac:dyDescent="0.35">
      <c r="A504" s="118" t="s">
        <v>1290</v>
      </c>
      <c r="B504" s="118" t="s">
        <v>1285</v>
      </c>
      <c r="C504" s="118" t="s">
        <v>1291</v>
      </c>
      <c r="D504" s="201">
        <v>8.7200000000000006</v>
      </c>
      <c r="E504" s="202">
        <v>2545</v>
      </c>
      <c r="F504" s="163"/>
      <c r="G504" s="164"/>
      <c r="H504" s="165"/>
    </row>
    <row r="505" spans="1:8" ht="15.5" x14ac:dyDescent="0.35">
      <c r="A505" s="118" t="s">
        <v>1292</v>
      </c>
      <c r="B505" s="118" t="s">
        <v>1285</v>
      </c>
      <c r="C505" s="118" t="s">
        <v>1293</v>
      </c>
      <c r="D505" s="201">
        <v>15.984999999999999</v>
      </c>
      <c r="E505" s="202">
        <v>3932</v>
      </c>
      <c r="F505" s="163"/>
      <c r="G505" s="164"/>
      <c r="H505" s="165"/>
    </row>
    <row r="506" spans="1:8" ht="15.5" x14ac:dyDescent="0.35">
      <c r="A506" s="118" t="s">
        <v>1294</v>
      </c>
      <c r="B506" s="118" t="s">
        <v>1285</v>
      </c>
      <c r="C506" s="118" t="s">
        <v>1295</v>
      </c>
      <c r="D506" s="201">
        <v>4.8339999999999996</v>
      </c>
      <c r="E506" s="202">
        <v>1314</v>
      </c>
      <c r="F506" s="163"/>
      <c r="G506" s="164"/>
      <c r="H506" s="165"/>
    </row>
    <row r="507" spans="1:8" ht="15.5" x14ac:dyDescent="0.35">
      <c r="A507" s="118" t="s">
        <v>1296</v>
      </c>
      <c r="B507" s="118" t="s">
        <v>1285</v>
      </c>
      <c r="C507" s="118" t="s">
        <v>1297</v>
      </c>
      <c r="D507" s="201">
        <v>6.2990000000000004</v>
      </c>
      <c r="E507" s="202">
        <v>1912</v>
      </c>
      <c r="F507" s="163"/>
      <c r="G507" s="164"/>
      <c r="H507" s="165"/>
    </row>
    <row r="508" spans="1:8" ht="15.5" x14ac:dyDescent="0.35">
      <c r="A508" s="118" t="s">
        <v>1298</v>
      </c>
      <c r="B508" s="118" t="s">
        <v>1285</v>
      </c>
      <c r="C508" s="118" t="s">
        <v>1299</v>
      </c>
      <c r="D508" s="201">
        <v>6.8</v>
      </c>
      <c r="E508" s="202">
        <v>2047</v>
      </c>
      <c r="F508" s="163"/>
      <c r="G508" s="164"/>
      <c r="H508" s="165"/>
    </row>
    <row r="509" spans="1:8" ht="15.5" x14ac:dyDescent="0.35">
      <c r="A509" s="118" t="s">
        <v>1300</v>
      </c>
      <c r="B509" s="118" t="s">
        <v>1285</v>
      </c>
      <c r="C509" s="118" t="s">
        <v>1301</v>
      </c>
      <c r="D509" s="201">
        <v>9.6470000000000002</v>
      </c>
      <c r="E509" s="202">
        <v>2700</v>
      </c>
      <c r="F509" s="163"/>
      <c r="G509" s="164"/>
      <c r="H509" s="165"/>
    </row>
    <row r="510" spans="1:8" ht="15.5" x14ac:dyDescent="0.35">
      <c r="A510" s="118" t="s">
        <v>1302</v>
      </c>
      <c r="B510" s="118" t="s">
        <v>1285</v>
      </c>
      <c r="C510" s="118" t="s">
        <v>1303</v>
      </c>
      <c r="D510" s="201">
        <v>6.3019999999999996</v>
      </c>
      <c r="E510" s="202">
        <v>1992</v>
      </c>
      <c r="F510" s="163"/>
      <c r="G510" s="164"/>
      <c r="H510" s="165"/>
    </row>
    <row r="511" spans="1:8" ht="15.5" x14ac:dyDescent="0.35">
      <c r="A511" s="118" t="s">
        <v>1304</v>
      </c>
      <c r="B511" s="118" t="s">
        <v>1285</v>
      </c>
      <c r="C511" s="118" t="s">
        <v>1305</v>
      </c>
      <c r="D511" s="201">
        <v>22.914999999999999</v>
      </c>
      <c r="E511" s="202">
        <v>5546</v>
      </c>
      <c r="F511" s="163"/>
      <c r="G511" s="164"/>
      <c r="H511" s="165"/>
    </row>
    <row r="512" spans="1:8" ht="15.5" x14ac:dyDescent="0.35">
      <c r="A512" s="118" t="s">
        <v>1306</v>
      </c>
      <c r="B512" s="118" t="s">
        <v>1285</v>
      </c>
      <c r="C512" s="118" t="s">
        <v>1307</v>
      </c>
      <c r="D512" s="201">
        <v>28.888000000000002</v>
      </c>
      <c r="E512" s="202">
        <v>6370</v>
      </c>
      <c r="F512" s="163"/>
      <c r="G512" s="164"/>
      <c r="H512" s="165"/>
    </row>
    <row r="513" spans="1:8" ht="15.5" x14ac:dyDescent="0.35">
      <c r="A513" s="118" t="s">
        <v>1308</v>
      </c>
      <c r="B513" s="118" t="s">
        <v>1285</v>
      </c>
      <c r="C513" s="118" t="s">
        <v>1309</v>
      </c>
      <c r="D513" s="201">
        <v>10.542</v>
      </c>
      <c r="E513" s="202">
        <v>2814</v>
      </c>
      <c r="F513" s="163"/>
      <c r="G513" s="164"/>
      <c r="H513" s="165"/>
    </row>
    <row r="514" spans="1:8" ht="15.5" x14ac:dyDescent="0.35">
      <c r="A514" s="118" t="s">
        <v>1310</v>
      </c>
      <c r="B514" s="118" t="s">
        <v>1285</v>
      </c>
      <c r="C514" s="118" t="s">
        <v>1311</v>
      </c>
      <c r="D514" s="201">
        <v>13.875</v>
      </c>
      <c r="E514" s="202">
        <v>3211</v>
      </c>
      <c r="F514" s="163"/>
      <c r="G514" s="164"/>
      <c r="H514" s="165"/>
    </row>
    <row r="515" spans="1:8" ht="15.5" x14ac:dyDescent="0.35">
      <c r="A515" s="118" t="s">
        <v>1312</v>
      </c>
      <c r="B515" s="118" t="s">
        <v>1285</v>
      </c>
      <c r="C515" s="118" t="s">
        <v>1313</v>
      </c>
      <c r="D515" s="201">
        <v>11.84</v>
      </c>
      <c r="E515" s="202">
        <v>2764</v>
      </c>
      <c r="F515" s="163"/>
      <c r="G515" s="164"/>
      <c r="H515" s="165"/>
    </row>
    <row r="516" spans="1:8" ht="15.5" x14ac:dyDescent="0.35">
      <c r="A516" s="118" t="s">
        <v>1314</v>
      </c>
      <c r="B516" s="118" t="s">
        <v>1285</v>
      </c>
      <c r="C516" s="118" t="s">
        <v>1315</v>
      </c>
      <c r="D516" s="201">
        <v>18.510000000000002</v>
      </c>
      <c r="E516" s="202">
        <v>4036</v>
      </c>
      <c r="F516" s="163"/>
      <c r="G516" s="164"/>
      <c r="H516" s="165"/>
    </row>
    <row r="517" spans="1:8" ht="15.5" x14ac:dyDescent="0.35">
      <c r="A517" s="118" t="s">
        <v>1316</v>
      </c>
      <c r="B517" s="118" t="s">
        <v>1285</v>
      </c>
      <c r="C517" s="118" t="s">
        <v>1317</v>
      </c>
      <c r="D517" s="201">
        <v>9.3800000000000008</v>
      </c>
      <c r="E517" s="202">
        <v>2664</v>
      </c>
      <c r="F517" s="163"/>
      <c r="G517" s="164"/>
      <c r="H517" s="165"/>
    </row>
    <row r="518" spans="1:8" ht="15.5" x14ac:dyDescent="0.35">
      <c r="A518" s="118" t="s">
        <v>1318</v>
      </c>
      <c r="B518" s="118" t="s">
        <v>1285</v>
      </c>
      <c r="C518" s="118" t="s">
        <v>1319</v>
      </c>
      <c r="D518" s="201">
        <v>18.285</v>
      </c>
      <c r="E518" s="202">
        <v>4696</v>
      </c>
      <c r="F518" s="163"/>
      <c r="G518" s="164"/>
      <c r="H518" s="165"/>
    </row>
    <row r="519" spans="1:8" ht="15.5" x14ac:dyDescent="0.35">
      <c r="A519" s="118" t="s">
        <v>1320</v>
      </c>
      <c r="B519" s="118" t="s">
        <v>1285</v>
      </c>
      <c r="C519" s="118" t="s">
        <v>1321</v>
      </c>
      <c r="D519" s="201">
        <v>11.077</v>
      </c>
      <c r="E519" s="202">
        <v>2764</v>
      </c>
      <c r="F519" s="163"/>
      <c r="G519" s="164"/>
      <c r="H519" s="165"/>
    </row>
    <row r="520" spans="1:8" ht="15.5" x14ac:dyDescent="0.35">
      <c r="A520" s="118" t="s">
        <v>1322</v>
      </c>
      <c r="B520" s="118" t="s">
        <v>1285</v>
      </c>
      <c r="C520" s="118" t="s">
        <v>1323</v>
      </c>
      <c r="D520" s="201">
        <v>21.071999999999999</v>
      </c>
      <c r="E520" s="202">
        <v>5135</v>
      </c>
      <c r="F520" s="163"/>
      <c r="G520" s="164"/>
      <c r="H520" s="165"/>
    </row>
    <row r="521" spans="1:8" ht="15.5" x14ac:dyDescent="0.35">
      <c r="A521" s="118" t="s">
        <v>1324</v>
      </c>
      <c r="B521" s="118" t="s">
        <v>1285</v>
      </c>
      <c r="C521" s="118" t="s">
        <v>1325</v>
      </c>
      <c r="D521" s="201">
        <v>16.053000000000001</v>
      </c>
      <c r="E521" s="202">
        <v>3849</v>
      </c>
      <c r="F521" s="163"/>
      <c r="G521" s="164"/>
      <c r="H521" s="165"/>
    </row>
    <row r="522" spans="1:8" ht="15.5" x14ac:dyDescent="0.35">
      <c r="A522" s="118" t="s">
        <v>1326</v>
      </c>
      <c r="B522" s="118" t="s">
        <v>1285</v>
      </c>
      <c r="C522" s="118" t="s">
        <v>1327</v>
      </c>
      <c r="D522" s="201">
        <v>22.407</v>
      </c>
      <c r="E522" s="202">
        <v>4873</v>
      </c>
      <c r="F522" s="163"/>
      <c r="G522" s="164"/>
      <c r="H522" s="165"/>
    </row>
    <row r="523" spans="1:8" ht="15.5" x14ac:dyDescent="0.35">
      <c r="A523" s="118" t="s">
        <v>1328</v>
      </c>
      <c r="B523" s="118" t="s">
        <v>1285</v>
      </c>
      <c r="C523" s="118" t="s">
        <v>1329</v>
      </c>
      <c r="D523" s="201">
        <v>10.849</v>
      </c>
      <c r="E523" s="202">
        <v>2773</v>
      </c>
      <c r="F523" s="163"/>
      <c r="G523" s="164"/>
      <c r="H523" s="165"/>
    </row>
    <row r="524" spans="1:8" ht="15.5" x14ac:dyDescent="0.35">
      <c r="A524" s="118" t="s">
        <v>1330</v>
      </c>
      <c r="B524" s="118" t="s">
        <v>1285</v>
      </c>
      <c r="C524" s="118" t="s">
        <v>1331</v>
      </c>
      <c r="D524" s="201">
        <v>22.640999999999998</v>
      </c>
      <c r="E524" s="202">
        <v>5388</v>
      </c>
      <c r="F524" s="163"/>
      <c r="G524" s="164"/>
      <c r="H524" s="165"/>
    </row>
    <row r="525" spans="1:8" ht="15.5" x14ac:dyDescent="0.35">
      <c r="A525" s="118" t="s">
        <v>1332</v>
      </c>
      <c r="B525" s="118" t="s">
        <v>1285</v>
      </c>
      <c r="C525" s="118" t="s">
        <v>1333</v>
      </c>
      <c r="D525" s="201">
        <v>19.074000000000002</v>
      </c>
      <c r="E525" s="202">
        <v>4415</v>
      </c>
      <c r="F525" s="163"/>
      <c r="G525" s="164"/>
      <c r="H525" s="165"/>
    </row>
    <row r="526" spans="1:8" ht="15.5" x14ac:dyDescent="0.35">
      <c r="A526" s="118" t="s">
        <v>1334</v>
      </c>
      <c r="B526" s="118" t="s">
        <v>1285</v>
      </c>
      <c r="C526" s="118" t="s">
        <v>1335</v>
      </c>
      <c r="D526" s="201">
        <v>15.929</v>
      </c>
      <c r="E526" s="202">
        <v>3861</v>
      </c>
      <c r="F526" s="163"/>
      <c r="G526" s="164"/>
      <c r="H526" s="165"/>
    </row>
    <row r="527" spans="1:8" ht="15.5" x14ac:dyDescent="0.35">
      <c r="A527" s="118" t="s">
        <v>1336</v>
      </c>
      <c r="B527" s="118" t="s">
        <v>1285</v>
      </c>
      <c r="C527" s="118" t="s">
        <v>1337</v>
      </c>
      <c r="D527" s="201">
        <v>15.847</v>
      </c>
      <c r="E527" s="202">
        <v>3690</v>
      </c>
      <c r="F527" s="163"/>
      <c r="G527" s="164"/>
      <c r="H527" s="165"/>
    </row>
    <row r="528" spans="1:8" ht="15.5" x14ac:dyDescent="0.35">
      <c r="A528" s="118" t="s">
        <v>1338</v>
      </c>
      <c r="B528" s="118" t="s">
        <v>1285</v>
      </c>
      <c r="C528" s="118" t="s">
        <v>1339</v>
      </c>
      <c r="D528" s="201">
        <v>31.84</v>
      </c>
      <c r="E528" s="202">
        <v>6977</v>
      </c>
      <c r="F528" s="163"/>
      <c r="G528" s="164"/>
      <c r="H528" s="165"/>
    </row>
    <row r="529" spans="1:8" ht="15.5" x14ac:dyDescent="0.35">
      <c r="A529" s="118" t="s">
        <v>1340</v>
      </c>
      <c r="B529" s="118" t="s">
        <v>1285</v>
      </c>
      <c r="C529" s="118" t="s">
        <v>1341</v>
      </c>
      <c r="D529" s="201">
        <v>18.07</v>
      </c>
      <c r="E529" s="202">
        <v>3577</v>
      </c>
      <c r="F529" s="163"/>
      <c r="G529" s="164"/>
      <c r="H529" s="165"/>
    </row>
    <row r="530" spans="1:8" ht="15.5" x14ac:dyDescent="0.35">
      <c r="A530" s="118" t="s">
        <v>1342</v>
      </c>
      <c r="B530" s="118" t="s">
        <v>1285</v>
      </c>
      <c r="C530" s="118" t="s">
        <v>1343</v>
      </c>
      <c r="D530" s="201">
        <v>25.352</v>
      </c>
      <c r="E530" s="202">
        <v>5729</v>
      </c>
      <c r="F530" s="163"/>
      <c r="G530" s="164"/>
      <c r="H530" s="165"/>
    </row>
    <row r="531" spans="1:8" ht="15.5" x14ac:dyDescent="0.35">
      <c r="A531" s="118" t="s">
        <v>1344</v>
      </c>
      <c r="B531" s="118" t="s">
        <v>1285</v>
      </c>
      <c r="C531" s="118" t="s">
        <v>1345</v>
      </c>
      <c r="D531" s="201">
        <v>20.010000000000002</v>
      </c>
      <c r="E531" s="202">
        <v>4131</v>
      </c>
      <c r="F531" s="163"/>
      <c r="G531" s="164"/>
      <c r="H531" s="165"/>
    </row>
    <row r="532" spans="1:8" ht="15.5" x14ac:dyDescent="0.35">
      <c r="A532" s="118" t="s">
        <v>1346</v>
      </c>
      <c r="B532" s="118" t="s">
        <v>1285</v>
      </c>
      <c r="C532" s="118" t="s">
        <v>1347</v>
      </c>
      <c r="D532" s="201">
        <v>14.127000000000001</v>
      </c>
      <c r="E532" s="202">
        <v>3367</v>
      </c>
      <c r="F532" s="163"/>
      <c r="G532" s="164"/>
      <c r="H532" s="165"/>
    </row>
    <row r="533" spans="1:8" ht="15.5" x14ac:dyDescent="0.35">
      <c r="A533" s="118" t="s">
        <v>1348</v>
      </c>
      <c r="B533" s="118" t="s">
        <v>1285</v>
      </c>
      <c r="C533" s="118" t="s">
        <v>1349</v>
      </c>
      <c r="D533" s="201">
        <v>21.408999999999999</v>
      </c>
      <c r="E533" s="202">
        <v>5414</v>
      </c>
      <c r="F533" s="163"/>
      <c r="G533" s="164"/>
      <c r="H533" s="165"/>
    </row>
    <row r="534" spans="1:8" ht="15.5" x14ac:dyDescent="0.35">
      <c r="A534" s="118" t="s">
        <v>1350</v>
      </c>
      <c r="B534" s="118" t="s">
        <v>1285</v>
      </c>
      <c r="C534" s="118" t="s">
        <v>1351</v>
      </c>
      <c r="D534" s="201">
        <v>14.993</v>
      </c>
      <c r="E534" s="202">
        <v>5172</v>
      </c>
      <c r="F534" s="163"/>
      <c r="G534" s="164"/>
      <c r="H534" s="165"/>
    </row>
    <row r="535" spans="1:8" ht="15.5" x14ac:dyDescent="0.35">
      <c r="A535" s="118" t="s">
        <v>1352</v>
      </c>
      <c r="B535" s="118" t="s">
        <v>1285</v>
      </c>
      <c r="C535" s="118" t="s">
        <v>1353</v>
      </c>
      <c r="D535" s="201">
        <v>6.0949999999999998</v>
      </c>
      <c r="E535" s="202">
        <v>1796</v>
      </c>
      <c r="F535" s="163"/>
      <c r="G535" s="164"/>
      <c r="H535" s="165"/>
    </row>
    <row r="536" spans="1:8" ht="15.5" x14ac:dyDescent="0.35">
      <c r="A536" s="118" t="s">
        <v>1354</v>
      </c>
      <c r="B536" s="118" t="s">
        <v>1285</v>
      </c>
      <c r="C536" s="118" t="s">
        <v>1355</v>
      </c>
      <c r="D536" s="201">
        <v>11.233000000000001</v>
      </c>
      <c r="E536" s="202">
        <v>3373</v>
      </c>
      <c r="F536" s="163"/>
      <c r="G536" s="164"/>
      <c r="H536" s="165"/>
    </row>
    <row r="537" spans="1:8" ht="15.5" x14ac:dyDescent="0.35">
      <c r="A537" s="118" t="s">
        <v>1356</v>
      </c>
      <c r="B537" s="118" t="s">
        <v>1285</v>
      </c>
      <c r="C537" s="118" t="s">
        <v>1357</v>
      </c>
      <c r="D537" s="201">
        <v>18.395</v>
      </c>
      <c r="E537" s="202">
        <v>4104</v>
      </c>
      <c r="F537" s="163"/>
      <c r="G537" s="164"/>
      <c r="H537" s="165"/>
    </row>
    <row r="538" spans="1:8" ht="15.5" x14ac:dyDescent="0.35">
      <c r="A538" s="118" t="s">
        <v>1358</v>
      </c>
      <c r="B538" s="118" t="s">
        <v>1285</v>
      </c>
      <c r="C538" s="118" t="s">
        <v>1359</v>
      </c>
      <c r="D538" s="201">
        <v>18.196000000000002</v>
      </c>
      <c r="E538" s="202">
        <v>3725</v>
      </c>
      <c r="F538" s="163"/>
      <c r="G538" s="164"/>
      <c r="H538" s="165"/>
    </row>
    <row r="539" spans="1:8" ht="15.5" x14ac:dyDescent="0.35">
      <c r="A539" s="118" t="s">
        <v>1360</v>
      </c>
      <c r="B539" s="118" t="s">
        <v>1285</v>
      </c>
      <c r="C539" s="118" t="s">
        <v>1361</v>
      </c>
      <c r="D539" s="201">
        <v>25.542000000000002</v>
      </c>
      <c r="E539" s="202">
        <v>6004</v>
      </c>
      <c r="F539" s="163"/>
      <c r="G539" s="164"/>
      <c r="H539" s="165"/>
    </row>
    <row r="540" spans="1:8" ht="15.5" x14ac:dyDescent="0.35">
      <c r="A540" s="118" t="s">
        <v>1362</v>
      </c>
      <c r="B540" s="118" t="s">
        <v>1285</v>
      </c>
      <c r="C540" s="118" t="s">
        <v>1363</v>
      </c>
      <c r="D540" s="201">
        <v>13.872999999999999</v>
      </c>
      <c r="E540" s="202">
        <v>3479</v>
      </c>
      <c r="F540" s="163"/>
      <c r="G540" s="164"/>
      <c r="H540" s="165"/>
    </row>
    <row r="541" spans="1:8" ht="15.5" x14ac:dyDescent="0.35">
      <c r="A541" s="118" t="s">
        <v>1364</v>
      </c>
      <c r="B541" s="118" t="s">
        <v>1285</v>
      </c>
      <c r="C541" s="118" t="s">
        <v>1365</v>
      </c>
      <c r="D541" s="201">
        <v>22.806999999999999</v>
      </c>
      <c r="E541" s="202">
        <v>5349</v>
      </c>
      <c r="F541" s="163"/>
      <c r="G541" s="164"/>
      <c r="H541" s="165"/>
    </row>
    <row r="542" spans="1:8" ht="15.5" x14ac:dyDescent="0.35">
      <c r="A542" s="118" t="s">
        <v>1366</v>
      </c>
      <c r="B542" s="118" t="s">
        <v>1285</v>
      </c>
      <c r="C542" s="118" t="s">
        <v>1367</v>
      </c>
      <c r="D542" s="201">
        <v>18.811</v>
      </c>
      <c r="E542" s="202">
        <v>4654</v>
      </c>
      <c r="F542" s="163"/>
      <c r="G542" s="164"/>
      <c r="H542" s="165"/>
    </row>
    <row r="543" spans="1:8" ht="15.5" x14ac:dyDescent="0.35">
      <c r="A543" s="118" t="s">
        <v>1368</v>
      </c>
      <c r="B543" s="118" t="s">
        <v>1285</v>
      </c>
      <c r="C543" s="118" t="s">
        <v>1369</v>
      </c>
      <c r="D543" s="201">
        <v>15.938000000000001</v>
      </c>
      <c r="E543" s="202">
        <v>3899</v>
      </c>
      <c r="F543" s="163"/>
      <c r="G543" s="164"/>
      <c r="H543" s="165"/>
    </row>
    <row r="544" spans="1:8" ht="15.5" x14ac:dyDescent="0.35">
      <c r="A544" s="118" t="s">
        <v>1370</v>
      </c>
      <c r="B544" s="118" t="s">
        <v>1285</v>
      </c>
      <c r="C544" s="118" t="s">
        <v>1371</v>
      </c>
      <c r="D544" s="201">
        <v>21.646000000000001</v>
      </c>
      <c r="E544" s="202">
        <v>5136</v>
      </c>
      <c r="F544" s="163"/>
      <c r="G544" s="164"/>
      <c r="H544" s="165"/>
    </row>
    <row r="545" spans="1:8" ht="15.5" x14ac:dyDescent="0.35">
      <c r="A545" s="118" t="s">
        <v>1372</v>
      </c>
      <c r="B545" s="118" t="s">
        <v>1285</v>
      </c>
      <c r="C545" s="118" t="s">
        <v>1373</v>
      </c>
      <c r="D545" s="201">
        <v>23.428000000000001</v>
      </c>
      <c r="E545" s="202">
        <v>5452</v>
      </c>
      <c r="F545" s="163"/>
      <c r="G545" s="164"/>
      <c r="H545" s="165"/>
    </row>
    <row r="546" spans="1:8" ht="15.5" x14ac:dyDescent="0.35">
      <c r="A546" s="118" t="s">
        <v>1374</v>
      </c>
      <c r="B546" s="118" t="s">
        <v>1285</v>
      </c>
      <c r="C546" s="118" t="s">
        <v>1375</v>
      </c>
      <c r="D546" s="201">
        <v>17.071000000000002</v>
      </c>
      <c r="E546" s="202">
        <v>4081</v>
      </c>
      <c r="F546" s="163"/>
      <c r="G546" s="164"/>
      <c r="H546" s="165"/>
    </row>
    <row r="547" spans="1:8" ht="15.5" x14ac:dyDescent="0.35">
      <c r="A547" s="118" t="s">
        <v>1376</v>
      </c>
      <c r="B547" s="118" t="s">
        <v>1285</v>
      </c>
      <c r="C547" s="118" t="s">
        <v>1377</v>
      </c>
      <c r="D547" s="201">
        <v>11.401999999999999</v>
      </c>
      <c r="E547" s="202">
        <v>2650</v>
      </c>
      <c r="F547" s="163"/>
      <c r="G547" s="164"/>
      <c r="H547" s="165"/>
    </row>
    <row r="548" spans="1:8" ht="15.5" x14ac:dyDescent="0.35">
      <c r="A548" s="118" t="s">
        <v>1378</v>
      </c>
      <c r="B548" s="118" t="s">
        <v>1285</v>
      </c>
      <c r="C548" s="118" t="s">
        <v>1379</v>
      </c>
      <c r="D548" s="201">
        <v>11.853</v>
      </c>
      <c r="E548" s="202">
        <v>3073</v>
      </c>
      <c r="F548" s="163"/>
      <c r="G548" s="164"/>
      <c r="H548" s="165"/>
    </row>
    <row r="549" spans="1:8" ht="15.5" x14ac:dyDescent="0.35">
      <c r="A549" s="118" t="s">
        <v>1380</v>
      </c>
      <c r="B549" s="118" t="s">
        <v>1285</v>
      </c>
      <c r="C549" s="118" t="s">
        <v>1381</v>
      </c>
      <c r="D549" s="201">
        <v>18.68</v>
      </c>
      <c r="E549" s="202">
        <v>4707</v>
      </c>
      <c r="F549" s="163"/>
      <c r="G549" s="164"/>
      <c r="H549" s="165"/>
    </row>
    <row r="550" spans="1:8" ht="15.5" x14ac:dyDescent="0.35">
      <c r="A550" s="118" t="s">
        <v>1382</v>
      </c>
      <c r="B550" s="118" t="s">
        <v>1285</v>
      </c>
      <c r="C550" s="118" t="s">
        <v>1383</v>
      </c>
      <c r="D550" s="201">
        <v>14.037000000000001</v>
      </c>
      <c r="E550" s="202">
        <v>3610</v>
      </c>
      <c r="F550" s="163"/>
      <c r="G550" s="164"/>
      <c r="H550" s="165"/>
    </row>
    <row r="551" spans="1:8" ht="15.5" x14ac:dyDescent="0.35">
      <c r="A551" s="118" t="s">
        <v>1384</v>
      </c>
      <c r="B551" s="118" t="s">
        <v>1285</v>
      </c>
      <c r="C551" s="118" t="s">
        <v>1385</v>
      </c>
      <c r="D551" s="201">
        <v>17.53</v>
      </c>
      <c r="E551" s="202">
        <v>4162</v>
      </c>
      <c r="F551" s="163"/>
      <c r="G551" s="164"/>
      <c r="H551" s="165"/>
    </row>
    <row r="552" spans="1:8" ht="15.5" x14ac:dyDescent="0.35">
      <c r="A552" s="118" t="s">
        <v>1386</v>
      </c>
      <c r="B552" s="118" t="s">
        <v>1285</v>
      </c>
      <c r="C552" s="118" t="s">
        <v>1387</v>
      </c>
      <c r="D552" s="201">
        <v>25.882000000000001</v>
      </c>
      <c r="E552" s="202">
        <v>5957</v>
      </c>
      <c r="F552" s="163"/>
      <c r="G552" s="164"/>
      <c r="H552" s="165"/>
    </row>
    <row r="553" spans="1:8" ht="15.5" x14ac:dyDescent="0.35">
      <c r="A553" s="118" t="s">
        <v>1388</v>
      </c>
      <c r="B553" s="118" t="s">
        <v>1285</v>
      </c>
      <c r="C553" s="118" t="s">
        <v>1389</v>
      </c>
      <c r="D553" s="201">
        <v>8.6170000000000009</v>
      </c>
      <c r="E553" s="202">
        <v>2171</v>
      </c>
      <c r="F553" s="163"/>
      <c r="G553" s="164"/>
      <c r="H553" s="165"/>
    </row>
    <row r="554" spans="1:8" ht="15.5" x14ac:dyDescent="0.35">
      <c r="A554" s="118" t="s">
        <v>1390</v>
      </c>
      <c r="B554" s="118" t="s">
        <v>1285</v>
      </c>
      <c r="C554" s="118" t="s">
        <v>1391</v>
      </c>
      <c r="D554" s="201">
        <v>28.486000000000001</v>
      </c>
      <c r="E554" s="202">
        <v>6324</v>
      </c>
      <c r="F554" s="163"/>
      <c r="G554" s="164"/>
      <c r="H554" s="165"/>
    </row>
    <row r="555" spans="1:8" ht="15.5" x14ac:dyDescent="0.35">
      <c r="A555" s="118" t="s">
        <v>1392</v>
      </c>
      <c r="B555" s="118" t="s">
        <v>1285</v>
      </c>
      <c r="C555" s="118" t="s">
        <v>1393</v>
      </c>
      <c r="D555" s="201">
        <v>20.471</v>
      </c>
      <c r="E555" s="202">
        <v>4549</v>
      </c>
      <c r="F555" s="163"/>
      <c r="G555" s="164"/>
      <c r="H555" s="165"/>
    </row>
    <row r="556" spans="1:8" ht="15.5" x14ac:dyDescent="0.35">
      <c r="A556" s="118" t="s">
        <v>1394</v>
      </c>
      <c r="B556" s="118" t="s">
        <v>1285</v>
      </c>
      <c r="C556" s="118" t="s">
        <v>1395</v>
      </c>
      <c r="D556" s="201">
        <v>24.366</v>
      </c>
      <c r="E556" s="202">
        <v>5630</v>
      </c>
      <c r="F556" s="163"/>
      <c r="G556" s="164"/>
      <c r="H556" s="165"/>
    </row>
    <row r="557" spans="1:8" ht="15.5" x14ac:dyDescent="0.35">
      <c r="A557" s="118" t="s">
        <v>1396</v>
      </c>
      <c r="B557" s="118" t="s">
        <v>1285</v>
      </c>
      <c r="C557" s="118" t="s">
        <v>1397</v>
      </c>
      <c r="D557" s="201">
        <v>24.1</v>
      </c>
      <c r="E557" s="202">
        <v>4914</v>
      </c>
      <c r="F557" s="163"/>
      <c r="G557" s="164"/>
      <c r="H557" s="165"/>
    </row>
    <row r="558" spans="1:8" ht="15.5" x14ac:dyDescent="0.35">
      <c r="A558" s="118" t="s">
        <v>1398</v>
      </c>
      <c r="B558" s="118" t="s">
        <v>1285</v>
      </c>
      <c r="C558" s="118" t="s">
        <v>1399</v>
      </c>
      <c r="D558" s="201">
        <v>13.597</v>
      </c>
      <c r="E558" s="202">
        <v>4220</v>
      </c>
      <c r="F558" s="163"/>
      <c r="G558" s="164"/>
      <c r="H558" s="165"/>
    </row>
    <row r="559" spans="1:8" ht="15.5" x14ac:dyDescent="0.35">
      <c r="A559" s="118" t="s">
        <v>1400</v>
      </c>
      <c r="B559" s="118" t="s">
        <v>1285</v>
      </c>
      <c r="C559" s="118" t="s">
        <v>1401</v>
      </c>
      <c r="D559" s="201">
        <v>18.745000000000001</v>
      </c>
      <c r="E559" s="202">
        <v>4310</v>
      </c>
      <c r="F559" s="163"/>
      <c r="G559" s="164"/>
      <c r="H559" s="165"/>
    </row>
    <row r="560" spans="1:8" ht="15.5" x14ac:dyDescent="0.35">
      <c r="A560" s="203" t="s">
        <v>1402</v>
      </c>
      <c r="B560" s="203" t="s">
        <v>1403</v>
      </c>
      <c r="C560" s="118"/>
      <c r="D560" s="201">
        <v>0</v>
      </c>
      <c r="E560" s="202">
        <v>0</v>
      </c>
      <c r="F560" s="163"/>
      <c r="G560" s="164"/>
      <c r="H560" s="165"/>
    </row>
    <row r="561" spans="1:8" ht="15.5" x14ac:dyDescent="0.35">
      <c r="A561" s="118" t="s">
        <v>1404</v>
      </c>
      <c r="B561" s="118" t="s">
        <v>1403</v>
      </c>
      <c r="C561" s="118" t="s">
        <v>1405</v>
      </c>
      <c r="D561" s="201">
        <v>10.173999999999999</v>
      </c>
      <c r="E561" s="202">
        <v>2829</v>
      </c>
      <c r="F561" s="163"/>
      <c r="G561" s="164"/>
      <c r="H561" s="165"/>
    </row>
    <row r="562" spans="1:8" ht="15.5" x14ac:dyDescent="0.35">
      <c r="A562" s="118" t="s">
        <v>1406</v>
      </c>
      <c r="B562" s="118" t="s">
        <v>1403</v>
      </c>
      <c r="C562" s="118" t="s">
        <v>1407</v>
      </c>
      <c r="D562" s="201">
        <v>13.343</v>
      </c>
      <c r="E562" s="202">
        <v>3539</v>
      </c>
      <c r="F562" s="163"/>
      <c r="G562" s="164"/>
      <c r="H562" s="165"/>
    </row>
    <row r="563" spans="1:8" ht="15.5" x14ac:dyDescent="0.35">
      <c r="A563" s="118" t="s">
        <v>1408</v>
      </c>
      <c r="B563" s="118" t="s">
        <v>1403</v>
      </c>
      <c r="C563" s="118" t="s">
        <v>1409</v>
      </c>
      <c r="D563" s="201">
        <v>15.869</v>
      </c>
      <c r="E563" s="202">
        <v>3744</v>
      </c>
      <c r="F563" s="163"/>
      <c r="G563" s="164"/>
      <c r="H563" s="165"/>
    </row>
    <row r="564" spans="1:8" ht="15.5" x14ac:dyDescent="0.35">
      <c r="A564" s="118" t="s">
        <v>1410</v>
      </c>
      <c r="B564" s="118" t="s">
        <v>1403</v>
      </c>
      <c r="C564" s="118" t="s">
        <v>1411</v>
      </c>
      <c r="D564" s="201">
        <v>8.1150000000000002</v>
      </c>
      <c r="E564" s="202">
        <v>2617</v>
      </c>
      <c r="F564" s="163"/>
      <c r="G564" s="164"/>
      <c r="H564" s="165"/>
    </row>
    <row r="565" spans="1:8" ht="15.5" x14ac:dyDescent="0.35">
      <c r="A565" s="118" t="s">
        <v>1412</v>
      </c>
      <c r="B565" s="118" t="s">
        <v>1403</v>
      </c>
      <c r="C565" s="118" t="s">
        <v>1413</v>
      </c>
      <c r="D565" s="201">
        <v>25.507000000000001</v>
      </c>
      <c r="E565" s="202">
        <v>5743</v>
      </c>
      <c r="F565" s="163"/>
      <c r="G565" s="164"/>
      <c r="H565" s="165"/>
    </row>
    <row r="566" spans="1:8" ht="15.5" x14ac:dyDescent="0.35">
      <c r="A566" s="118" t="s">
        <v>1414</v>
      </c>
      <c r="B566" s="118" t="s">
        <v>1403</v>
      </c>
      <c r="C566" s="118" t="s">
        <v>1415</v>
      </c>
      <c r="D566" s="201">
        <v>9.8970000000000002</v>
      </c>
      <c r="E566" s="202">
        <v>2540</v>
      </c>
      <c r="F566" s="163"/>
      <c r="G566" s="164"/>
      <c r="H566" s="165"/>
    </row>
    <row r="567" spans="1:8" ht="15.5" x14ac:dyDescent="0.35">
      <c r="A567" s="118" t="s">
        <v>1416</v>
      </c>
      <c r="B567" s="118" t="s">
        <v>1403</v>
      </c>
      <c r="C567" s="118" t="s">
        <v>1417</v>
      </c>
      <c r="D567" s="201">
        <v>28.387</v>
      </c>
      <c r="E567" s="202">
        <v>6323</v>
      </c>
      <c r="F567" s="163"/>
      <c r="G567" s="164"/>
      <c r="H567" s="165"/>
    </row>
    <row r="568" spans="1:8" ht="15.5" x14ac:dyDescent="0.35">
      <c r="A568" s="118" t="s">
        <v>1418</v>
      </c>
      <c r="B568" s="118" t="s">
        <v>1403</v>
      </c>
      <c r="C568" s="118" t="s">
        <v>1419</v>
      </c>
      <c r="D568" s="201">
        <v>9.5649999999999995</v>
      </c>
      <c r="E568" s="202">
        <v>2749</v>
      </c>
      <c r="F568" s="163"/>
      <c r="G568" s="164"/>
      <c r="H568" s="165"/>
    </row>
    <row r="569" spans="1:8" ht="15.5" x14ac:dyDescent="0.35">
      <c r="A569" s="118" t="s">
        <v>1420</v>
      </c>
      <c r="B569" s="118" t="s">
        <v>1403</v>
      </c>
      <c r="C569" s="118" t="s">
        <v>1421</v>
      </c>
      <c r="D569" s="201">
        <v>7.3869999999999996</v>
      </c>
      <c r="E569" s="202">
        <v>2211</v>
      </c>
      <c r="F569" s="163"/>
      <c r="G569" s="164"/>
      <c r="H569" s="165"/>
    </row>
    <row r="570" spans="1:8" ht="15.5" x14ac:dyDescent="0.35">
      <c r="A570" s="118" t="s">
        <v>1422</v>
      </c>
      <c r="B570" s="118" t="s">
        <v>1403</v>
      </c>
      <c r="C570" s="118" t="s">
        <v>1423</v>
      </c>
      <c r="D570" s="201">
        <v>7.7889999999999997</v>
      </c>
      <c r="E570" s="202">
        <v>1970</v>
      </c>
      <c r="F570" s="163"/>
      <c r="G570" s="164"/>
      <c r="H570" s="165"/>
    </row>
    <row r="571" spans="1:8" ht="15.5" x14ac:dyDescent="0.35">
      <c r="A571" s="118" t="s">
        <v>1424</v>
      </c>
      <c r="B571" s="118" t="s">
        <v>1403</v>
      </c>
      <c r="C571" s="118" t="s">
        <v>1425</v>
      </c>
      <c r="D571" s="201">
        <v>7.649</v>
      </c>
      <c r="E571" s="202">
        <v>2043</v>
      </c>
      <c r="F571" s="163"/>
      <c r="G571" s="164"/>
      <c r="H571" s="165"/>
    </row>
    <row r="572" spans="1:8" ht="15.5" x14ac:dyDescent="0.35">
      <c r="A572" s="118" t="s">
        <v>1426</v>
      </c>
      <c r="B572" s="118" t="s">
        <v>1403</v>
      </c>
      <c r="C572" s="118" t="s">
        <v>1427</v>
      </c>
      <c r="D572" s="201">
        <v>8.2260000000000009</v>
      </c>
      <c r="E572" s="202">
        <v>2096</v>
      </c>
      <c r="F572" s="163"/>
      <c r="G572" s="164"/>
      <c r="H572" s="165"/>
    </row>
    <row r="573" spans="1:8" ht="15.5" x14ac:dyDescent="0.35">
      <c r="A573" s="118" t="s">
        <v>1428</v>
      </c>
      <c r="B573" s="118" t="s">
        <v>1403</v>
      </c>
      <c r="C573" s="118" t="s">
        <v>1429</v>
      </c>
      <c r="D573" s="201">
        <v>36.006999999999998</v>
      </c>
      <c r="E573" s="202">
        <v>7966</v>
      </c>
      <c r="F573" s="163"/>
      <c r="G573" s="164"/>
      <c r="H573" s="165"/>
    </row>
    <row r="574" spans="1:8" ht="15.5" x14ac:dyDescent="0.35">
      <c r="A574" s="118" t="s">
        <v>1430</v>
      </c>
      <c r="B574" s="118" t="s">
        <v>1403</v>
      </c>
      <c r="C574" s="118" t="s">
        <v>1431</v>
      </c>
      <c r="D574" s="201">
        <v>24.689</v>
      </c>
      <c r="E574" s="202">
        <v>6080</v>
      </c>
      <c r="F574" s="163"/>
      <c r="G574" s="164"/>
      <c r="H574" s="165"/>
    </row>
    <row r="575" spans="1:8" ht="15.5" x14ac:dyDescent="0.35">
      <c r="A575" s="118" t="s">
        <v>1432</v>
      </c>
      <c r="B575" s="118" t="s">
        <v>1403</v>
      </c>
      <c r="C575" s="118" t="s">
        <v>1433</v>
      </c>
      <c r="D575" s="201">
        <v>13.744999999999999</v>
      </c>
      <c r="E575" s="202">
        <v>3638</v>
      </c>
      <c r="F575" s="163"/>
      <c r="G575" s="164"/>
      <c r="H575" s="165"/>
    </row>
    <row r="576" spans="1:8" ht="15.5" x14ac:dyDescent="0.35">
      <c r="A576" s="118" t="s">
        <v>1434</v>
      </c>
      <c r="B576" s="118" t="s">
        <v>1403</v>
      </c>
      <c r="C576" s="118" t="s">
        <v>1435</v>
      </c>
      <c r="D576" s="201">
        <v>26.780999999999999</v>
      </c>
      <c r="E576" s="202">
        <v>6115</v>
      </c>
      <c r="F576" s="163"/>
      <c r="G576" s="164"/>
      <c r="H576" s="165"/>
    </row>
    <row r="577" spans="1:8" ht="15.5" x14ac:dyDescent="0.35">
      <c r="A577" s="118" t="s">
        <v>1436</v>
      </c>
      <c r="B577" s="118" t="s">
        <v>1403</v>
      </c>
      <c r="C577" s="118" t="s">
        <v>1437</v>
      </c>
      <c r="D577" s="201">
        <v>13.827</v>
      </c>
      <c r="E577" s="202">
        <v>3280</v>
      </c>
      <c r="F577" s="163"/>
      <c r="G577" s="164"/>
      <c r="H577" s="165"/>
    </row>
    <row r="578" spans="1:8" ht="15.5" x14ac:dyDescent="0.35">
      <c r="A578" s="118" t="s">
        <v>1438</v>
      </c>
      <c r="B578" s="118" t="s">
        <v>1403</v>
      </c>
      <c r="C578" s="118" t="s">
        <v>1439</v>
      </c>
      <c r="D578" s="201">
        <v>14.791</v>
      </c>
      <c r="E578" s="202">
        <v>3447</v>
      </c>
      <c r="F578" s="163"/>
      <c r="G578" s="164"/>
      <c r="H578" s="165"/>
    </row>
    <row r="579" spans="1:8" ht="15.5" x14ac:dyDescent="0.35">
      <c r="A579" s="118" t="s">
        <v>1440</v>
      </c>
      <c r="B579" s="118" t="s">
        <v>1403</v>
      </c>
      <c r="C579" s="118" t="s">
        <v>1441</v>
      </c>
      <c r="D579" s="201">
        <v>8.0310000000000006</v>
      </c>
      <c r="E579" s="202">
        <v>2284</v>
      </c>
      <c r="F579" s="163"/>
      <c r="G579" s="164"/>
      <c r="H579" s="165"/>
    </row>
    <row r="580" spans="1:8" ht="15.5" x14ac:dyDescent="0.35">
      <c r="A580" s="118" t="s">
        <v>1442</v>
      </c>
      <c r="B580" s="118" t="s">
        <v>1403</v>
      </c>
      <c r="C580" s="118" t="s">
        <v>1443</v>
      </c>
      <c r="D580" s="201">
        <v>28.036000000000001</v>
      </c>
      <c r="E580" s="202">
        <v>6286</v>
      </c>
      <c r="F580" s="163"/>
      <c r="G580" s="164"/>
      <c r="H580" s="165"/>
    </row>
    <row r="581" spans="1:8" ht="15.5" x14ac:dyDescent="0.35">
      <c r="A581" s="118" t="s">
        <v>1444</v>
      </c>
      <c r="B581" s="118" t="s">
        <v>1403</v>
      </c>
      <c r="C581" s="118" t="s">
        <v>1445</v>
      </c>
      <c r="D581" s="201">
        <v>25.114000000000001</v>
      </c>
      <c r="E581" s="202">
        <v>6106</v>
      </c>
      <c r="F581" s="163"/>
      <c r="G581" s="164"/>
      <c r="H581" s="165"/>
    </row>
    <row r="582" spans="1:8" ht="15.5" x14ac:dyDescent="0.35">
      <c r="A582" s="118" t="s">
        <v>1446</v>
      </c>
      <c r="B582" s="118" t="s">
        <v>1403</v>
      </c>
      <c r="C582" s="118" t="s">
        <v>1447</v>
      </c>
      <c r="D582" s="201">
        <v>26.094999999999999</v>
      </c>
      <c r="E582" s="202">
        <v>6667</v>
      </c>
      <c r="F582" s="163"/>
      <c r="G582" s="164"/>
      <c r="H582" s="165"/>
    </row>
    <row r="583" spans="1:8" ht="15.5" x14ac:dyDescent="0.35">
      <c r="A583" s="118" t="s">
        <v>1448</v>
      </c>
      <c r="B583" s="118" t="s">
        <v>1403</v>
      </c>
      <c r="C583" s="118" t="s">
        <v>1449</v>
      </c>
      <c r="D583" s="201">
        <v>11.792</v>
      </c>
      <c r="E583" s="202">
        <v>3137</v>
      </c>
      <c r="F583" s="163"/>
      <c r="G583" s="164"/>
      <c r="H583" s="165"/>
    </row>
    <row r="584" spans="1:8" ht="15.5" x14ac:dyDescent="0.35">
      <c r="A584" s="118" t="s">
        <v>1450</v>
      </c>
      <c r="B584" s="118" t="s">
        <v>1403</v>
      </c>
      <c r="C584" s="118" t="s">
        <v>1451</v>
      </c>
      <c r="D584" s="201">
        <v>10.31</v>
      </c>
      <c r="E584" s="202">
        <v>2966</v>
      </c>
      <c r="F584" s="163"/>
      <c r="G584" s="164"/>
      <c r="H584" s="165"/>
    </row>
    <row r="585" spans="1:8" ht="15.5" x14ac:dyDescent="0.35">
      <c r="A585" s="118" t="s">
        <v>1452</v>
      </c>
      <c r="B585" s="118" t="s">
        <v>1403</v>
      </c>
      <c r="C585" s="118" t="s">
        <v>1453</v>
      </c>
      <c r="D585" s="201">
        <v>9.1519999999999992</v>
      </c>
      <c r="E585" s="202">
        <v>2425</v>
      </c>
      <c r="F585" s="163"/>
      <c r="G585" s="164"/>
      <c r="H585" s="165"/>
    </row>
    <row r="586" spans="1:8" ht="15.5" x14ac:dyDescent="0.35">
      <c r="A586" s="118" t="s">
        <v>1454</v>
      </c>
      <c r="B586" s="118" t="s">
        <v>1403</v>
      </c>
      <c r="C586" s="118" t="s">
        <v>1455</v>
      </c>
      <c r="D586" s="201">
        <v>10.586</v>
      </c>
      <c r="E586" s="202">
        <v>2851</v>
      </c>
      <c r="F586" s="163"/>
      <c r="G586" s="164"/>
      <c r="H586" s="165"/>
    </row>
    <row r="587" spans="1:8" ht="15.5" x14ac:dyDescent="0.35">
      <c r="A587" s="118" t="s">
        <v>1456</v>
      </c>
      <c r="B587" s="118" t="s">
        <v>1403</v>
      </c>
      <c r="C587" s="118" t="s">
        <v>1457</v>
      </c>
      <c r="D587" s="201">
        <v>8.1370000000000005</v>
      </c>
      <c r="E587" s="202">
        <v>2520</v>
      </c>
      <c r="F587" s="163"/>
      <c r="G587" s="164"/>
      <c r="H587" s="165"/>
    </row>
    <row r="588" spans="1:8" ht="15.5" x14ac:dyDescent="0.35">
      <c r="A588" s="118" t="s">
        <v>1458</v>
      </c>
      <c r="B588" s="118" t="s">
        <v>1403</v>
      </c>
      <c r="C588" s="118" t="s">
        <v>1459</v>
      </c>
      <c r="D588" s="201">
        <v>7.42</v>
      </c>
      <c r="E588" s="202">
        <v>1996</v>
      </c>
      <c r="F588" s="163"/>
      <c r="G588" s="164"/>
      <c r="H588" s="165"/>
    </row>
    <row r="589" spans="1:8" ht="15.5" x14ac:dyDescent="0.35">
      <c r="A589" s="118" t="s">
        <v>1460</v>
      </c>
      <c r="B589" s="118" t="s">
        <v>1403</v>
      </c>
      <c r="C589" s="118" t="s">
        <v>1461</v>
      </c>
      <c r="D589" s="201">
        <v>10.624000000000001</v>
      </c>
      <c r="E589" s="202">
        <v>3087</v>
      </c>
      <c r="F589" s="163"/>
      <c r="G589" s="164"/>
      <c r="H589" s="165"/>
    </row>
    <row r="590" spans="1:8" ht="15.5" x14ac:dyDescent="0.35">
      <c r="A590" s="118" t="s">
        <v>1462</v>
      </c>
      <c r="B590" s="118" t="s">
        <v>1403</v>
      </c>
      <c r="C590" s="118" t="s">
        <v>1463</v>
      </c>
      <c r="D590" s="201">
        <v>14.028</v>
      </c>
      <c r="E590" s="202">
        <v>3295</v>
      </c>
      <c r="F590" s="163"/>
      <c r="G590" s="164"/>
      <c r="H590" s="165"/>
    </row>
    <row r="591" spans="1:8" ht="15.5" x14ac:dyDescent="0.35">
      <c r="A591" s="118" t="s">
        <v>1464</v>
      </c>
      <c r="B591" s="118" t="s">
        <v>1403</v>
      </c>
      <c r="C591" s="118" t="s">
        <v>1465</v>
      </c>
      <c r="D591" s="201">
        <v>12.901</v>
      </c>
      <c r="E591" s="202">
        <v>4323</v>
      </c>
      <c r="F591" s="163"/>
      <c r="G591" s="164"/>
      <c r="H591" s="165"/>
    </row>
    <row r="592" spans="1:8" ht="15.5" x14ac:dyDescent="0.35">
      <c r="A592" s="118" t="s">
        <v>1466</v>
      </c>
      <c r="B592" s="118" t="s">
        <v>1403</v>
      </c>
      <c r="C592" s="118" t="s">
        <v>1467</v>
      </c>
      <c r="D592" s="201">
        <v>23.158999999999999</v>
      </c>
      <c r="E592" s="202">
        <v>5992</v>
      </c>
      <c r="F592" s="163"/>
      <c r="G592" s="164"/>
      <c r="H592" s="165"/>
    </row>
    <row r="593" spans="1:8" ht="15.5" x14ac:dyDescent="0.35">
      <c r="A593" s="203" t="s">
        <v>1468</v>
      </c>
      <c r="B593" s="203" t="s">
        <v>1469</v>
      </c>
      <c r="C593" s="118"/>
      <c r="D593" s="201">
        <v>0</v>
      </c>
      <c r="E593" s="202">
        <v>0</v>
      </c>
      <c r="F593" s="163"/>
      <c r="G593" s="164"/>
      <c r="H593" s="165"/>
    </row>
    <row r="594" spans="1:8" ht="15.5" x14ac:dyDescent="0.35">
      <c r="A594" s="118" t="s">
        <v>1470</v>
      </c>
      <c r="B594" s="118" t="s">
        <v>1469</v>
      </c>
      <c r="C594" s="118" t="s">
        <v>1471</v>
      </c>
      <c r="D594" s="201">
        <v>5.9329999999999998</v>
      </c>
      <c r="E594" s="202">
        <v>1571</v>
      </c>
      <c r="F594" s="163"/>
      <c r="G594" s="164"/>
      <c r="H594" s="165"/>
    </row>
    <row r="595" spans="1:8" ht="15.5" x14ac:dyDescent="0.35">
      <c r="A595" s="118" t="s">
        <v>1472</v>
      </c>
      <c r="B595" s="118" t="s">
        <v>1469</v>
      </c>
      <c r="C595" s="118" t="s">
        <v>1473</v>
      </c>
      <c r="D595" s="201">
        <v>5.5309999999999997</v>
      </c>
      <c r="E595" s="202">
        <v>1409</v>
      </c>
      <c r="F595" s="163"/>
      <c r="G595" s="164"/>
      <c r="H595" s="165"/>
    </row>
    <row r="596" spans="1:8" ht="15.5" x14ac:dyDescent="0.35">
      <c r="A596" s="118" t="s">
        <v>1474</v>
      </c>
      <c r="B596" s="118" t="s">
        <v>1469</v>
      </c>
      <c r="C596" s="118" t="s">
        <v>1475</v>
      </c>
      <c r="D596" s="201">
        <v>22.120999999999999</v>
      </c>
      <c r="E596" s="202">
        <v>5685</v>
      </c>
      <c r="F596" s="163"/>
      <c r="G596" s="164"/>
      <c r="H596" s="165"/>
    </row>
    <row r="597" spans="1:8" ht="15.5" x14ac:dyDescent="0.35">
      <c r="A597" s="118" t="s">
        <v>1476</v>
      </c>
      <c r="B597" s="118" t="s">
        <v>1469</v>
      </c>
      <c r="C597" s="118" t="s">
        <v>1477</v>
      </c>
      <c r="D597" s="201">
        <v>6.04</v>
      </c>
      <c r="E597" s="202">
        <v>1798</v>
      </c>
      <c r="F597" s="163"/>
      <c r="G597" s="164"/>
      <c r="H597" s="165"/>
    </row>
    <row r="598" spans="1:8" ht="15.5" x14ac:dyDescent="0.35">
      <c r="A598" s="118" t="s">
        <v>1478</v>
      </c>
      <c r="B598" s="118" t="s">
        <v>1469</v>
      </c>
      <c r="C598" s="118" t="s">
        <v>1479</v>
      </c>
      <c r="D598" s="201">
        <v>6.9589999999999996</v>
      </c>
      <c r="E598" s="202">
        <v>1928</v>
      </c>
      <c r="F598" s="163"/>
      <c r="G598" s="164"/>
      <c r="H598" s="165"/>
    </row>
    <row r="599" spans="1:8" ht="15.5" x14ac:dyDescent="0.35">
      <c r="A599" s="118" t="s">
        <v>1480</v>
      </c>
      <c r="B599" s="118" t="s">
        <v>1469</v>
      </c>
      <c r="C599" s="118" t="s">
        <v>1481</v>
      </c>
      <c r="D599" s="201">
        <v>22.893000000000001</v>
      </c>
      <c r="E599" s="202">
        <v>6022</v>
      </c>
      <c r="F599" s="163"/>
      <c r="G599" s="164"/>
      <c r="H599" s="165"/>
    </row>
    <row r="600" spans="1:8" ht="15.5" x14ac:dyDescent="0.35">
      <c r="A600" s="118" t="s">
        <v>1482</v>
      </c>
      <c r="B600" s="118" t="s">
        <v>1469</v>
      </c>
      <c r="C600" s="118" t="s">
        <v>1483</v>
      </c>
      <c r="D600" s="201">
        <v>13.204000000000001</v>
      </c>
      <c r="E600" s="202">
        <v>3390</v>
      </c>
      <c r="F600" s="163"/>
      <c r="G600" s="164"/>
      <c r="H600" s="165"/>
    </row>
    <row r="601" spans="1:8" ht="15.5" x14ac:dyDescent="0.35">
      <c r="A601" s="118" t="s">
        <v>1484</v>
      </c>
      <c r="B601" s="118" t="s">
        <v>1469</v>
      </c>
      <c r="C601" s="118" t="s">
        <v>1485</v>
      </c>
      <c r="D601" s="201">
        <v>19.361000000000001</v>
      </c>
      <c r="E601" s="202">
        <v>4647</v>
      </c>
      <c r="F601" s="163"/>
      <c r="G601" s="164"/>
      <c r="H601" s="165"/>
    </row>
    <row r="602" spans="1:8" ht="15.5" x14ac:dyDescent="0.35">
      <c r="A602" s="118" t="s">
        <v>1486</v>
      </c>
      <c r="B602" s="118" t="s">
        <v>1469</v>
      </c>
      <c r="C602" s="118" t="s">
        <v>1487</v>
      </c>
      <c r="D602" s="201">
        <v>8.5180000000000007</v>
      </c>
      <c r="E602" s="202">
        <v>2252</v>
      </c>
      <c r="F602" s="163"/>
      <c r="G602" s="164"/>
      <c r="H602" s="165"/>
    </row>
    <row r="603" spans="1:8" ht="15.5" x14ac:dyDescent="0.35">
      <c r="A603" s="118" t="s">
        <v>1488</v>
      </c>
      <c r="B603" s="118" t="s">
        <v>1469</v>
      </c>
      <c r="C603" s="118" t="s">
        <v>1489</v>
      </c>
      <c r="D603" s="201">
        <v>8.1769999999999996</v>
      </c>
      <c r="E603" s="202">
        <v>2088</v>
      </c>
      <c r="F603" s="163"/>
      <c r="G603" s="164"/>
      <c r="H603" s="165"/>
    </row>
    <row r="604" spans="1:8" ht="15.5" x14ac:dyDescent="0.35">
      <c r="A604" s="118" t="s">
        <v>1490</v>
      </c>
      <c r="B604" s="118" t="s">
        <v>1469</v>
      </c>
      <c r="C604" s="118" t="s">
        <v>1491</v>
      </c>
      <c r="D604" s="201">
        <v>23.591999999999999</v>
      </c>
      <c r="E604" s="202">
        <v>5736</v>
      </c>
      <c r="F604" s="163"/>
      <c r="G604" s="164"/>
      <c r="H604" s="165"/>
    </row>
    <row r="605" spans="1:8" ht="15.5" x14ac:dyDescent="0.35">
      <c r="A605" s="118" t="s">
        <v>1492</v>
      </c>
      <c r="B605" s="118" t="s">
        <v>1469</v>
      </c>
      <c r="C605" s="118" t="s">
        <v>1493</v>
      </c>
      <c r="D605" s="201">
        <v>21.187999999999999</v>
      </c>
      <c r="E605" s="202">
        <v>5425</v>
      </c>
      <c r="F605" s="163"/>
      <c r="G605" s="164"/>
      <c r="H605" s="165"/>
    </row>
    <row r="606" spans="1:8" ht="15.5" x14ac:dyDescent="0.35">
      <c r="A606" s="118" t="s">
        <v>1494</v>
      </c>
      <c r="B606" s="118" t="s">
        <v>1469</v>
      </c>
      <c r="C606" s="118" t="s">
        <v>1495</v>
      </c>
      <c r="D606" s="201">
        <v>8.077</v>
      </c>
      <c r="E606" s="202">
        <v>2651</v>
      </c>
      <c r="F606" s="163"/>
      <c r="G606" s="164"/>
      <c r="H606" s="165"/>
    </row>
    <row r="607" spans="1:8" ht="15.5" x14ac:dyDescent="0.35">
      <c r="A607" s="118" t="s">
        <v>1496</v>
      </c>
      <c r="B607" s="118" t="s">
        <v>1469</v>
      </c>
      <c r="C607" s="118" t="s">
        <v>1497</v>
      </c>
      <c r="D607" s="201">
        <v>4.4240000000000004</v>
      </c>
      <c r="E607" s="202">
        <v>1566</v>
      </c>
      <c r="F607" s="163"/>
      <c r="G607" s="164"/>
      <c r="H607" s="165"/>
    </row>
    <row r="608" spans="1:8" ht="15.5" x14ac:dyDescent="0.35">
      <c r="A608" s="118" t="s">
        <v>1498</v>
      </c>
      <c r="B608" s="118" t="s">
        <v>1469</v>
      </c>
      <c r="C608" s="118" t="s">
        <v>1499</v>
      </c>
      <c r="D608" s="201">
        <v>7.6189999999999998</v>
      </c>
      <c r="E608" s="202">
        <v>2232</v>
      </c>
      <c r="F608" s="163"/>
      <c r="G608" s="164"/>
      <c r="H608" s="165"/>
    </row>
    <row r="609" spans="1:8" ht="15.5" x14ac:dyDescent="0.35">
      <c r="A609" s="118" t="s">
        <v>1500</v>
      </c>
      <c r="B609" s="118" t="s">
        <v>1469</v>
      </c>
      <c r="C609" s="118" t="s">
        <v>1501</v>
      </c>
      <c r="D609" s="201">
        <v>6.2759999999999998</v>
      </c>
      <c r="E609" s="202">
        <v>1797</v>
      </c>
      <c r="F609" s="163"/>
      <c r="G609" s="164"/>
      <c r="H609" s="165"/>
    </row>
    <row r="610" spans="1:8" ht="15.5" x14ac:dyDescent="0.35">
      <c r="A610" s="118" t="s">
        <v>1502</v>
      </c>
      <c r="B610" s="118" t="s">
        <v>1469</v>
      </c>
      <c r="C610" s="118" t="s">
        <v>1503</v>
      </c>
      <c r="D610" s="201">
        <v>21.21</v>
      </c>
      <c r="E610" s="202">
        <v>5274</v>
      </c>
      <c r="F610" s="163"/>
      <c r="G610" s="164"/>
      <c r="H610" s="165"/>
    </row>
    <row r="611" spans="1:8" ht="15.5" x14ac:dyDescent="0.35">
      <c r="A611" s="118" t="s">
        <v>1504</v>
      </c>
      <c r="B611" s="118" t="s">
        <v>1469</v>
      </c>
      <c r="C611" s="118" t="s">
        <v>1505</v>
      </c>
      <c r="D611" s="201">
        <v>21.701000000000001</v>
      </c>
      <c r="E611" s="202">
        <v>5326</v>
      </c>
      <c r="F611" s="163"/>
      <c r="G611" s="164"/>
      <c r="H611" s="165"/>
    </row>
    <row r="612" spans="1:8" ht="15.5" x14ac:dyDescent="0.35">
      <c r="A612" s="118" t="s">
        <v>1506</v>
      </c>
      <c r="B612" s="118" t="s">
        <v>1469</v>
      </c>
      <c r="C612" s="118" t="s">
        <v>1507</v>
      </c>
      <c r="D612" s="201">
        <v>4.0380000000000003</v>
      </c>
      <c r="E612" s="202">
        <v>1308</v>
      </c>
      <c r="F612" s="163"/>
      <c r="G612" s="164"/>
      <c r="H612" s="165"/>
    </row>
    <row r="613" spans="1:8" ht="15.5" x14ac:dyDescent="0.35">
      <c r="A613" s="118" t="s">
        <v>1508</v>
      </c>
      <c r="B613" s="118" t="s">
        <v>1469</v>
      </c>
      <c r="C613" s="118" t="s">
        <v>1509</v>
      </c>
      <c r="D613" s="201">
        <v>8.4280000000000008</v>
      </c>
      <c r="E613" s="202">
        <v>2169</v>
      </c>
      <c r="F613" s="163"/>
      <c r="G613" s="164"/>
      <c r="H613" s="165"/>
    </row>
    <row r="614" spans="1:8" ht="15.5" x14ac:dyDescent="0.35">
      <c r="A614" s="118" t="s">
        <v>1510</v>
      </c>
      <c r="B614" s="118" t="s">
        <v>1469</v>
      </c>
      <c r="C614" s="118" t="s">
        <v>1511</v>
      </c>
      <c r="D614" s="201">
        <v>5.7569999999999997</v>
      </c>
      <c r="E614" s="202">
        <v>1546</v>
      </c>
      <c r="F614" s="163"/>
      <c r="G614" s="164"/>
      <c r="H614" s="165"/>
    </row>
    <row r="615" spans="1:8" ht="15.5" x14ac:dyDescent="0.35">
      <c r="A615" s="118" t="s">
        <v>1512</v>
      </c>
      <c r="B615" s="118" t="s">
        <v>1469</v>
      </c>
      <c r="C615" s="118" t="s">
        <v>1513</v>
      </c>
      <c r="D615" s="201">
        <v>4.6900000000000004</v>
      </c>
      <c r="E615" s="202">
        <v>1203</v>
      </c>
      <c r="F615" s="163"/>
      <c r="G615" s="164"/>
      <c r="H615" s="165"/>
    </row>
    <row r="616" spans="1:8" ht="15.5" x14ac:dyDescent="0.35">
      <c r="A616" s="118" t="s">
        <v>1514</v>
      </c>
      <c r="B616" s="118" t="s">
        <v>1469</v>
      </c>
      <c r="C616" s="118" t="s">
        <v>1515</v>
      </c>
      <c r="D616" s="201">
        <v>3.3050000000000002</v>
      </c>
      <c r="E616" s="202">
        <v>1028</v>
      </c>
      <c r="F616" s="163"/>
      <c r="G616" s="164"/>
      <c r="H616" s="165"/>
    </row>
    <row r="617" spans="1:8" ht="15.5" x14ac:dyDescent="0.35">
      <c r="A617" s="118" t="s">
        <v>1516</v>
      </c>
      <c r="B617" s="118" t="s">
        <v>1469</v>
      </c>
      <c r="C617" s="118" t="s">
        <v>1517</v>
      </c>
      <c r="D617" s="201">
        <v>1.5049999999999999</v>
      </c>
      <c r="E617" s="202">
        <v>456</v>
      </c>
      <c r="F617" s="163"/>
      <c r="G617" s="164"/>
      <c r="H617" s="165"/>
    </row>
    <row r="618" spans="1:8" ht="15.5" x14ac:dyDescent="0.35">
      <c r="A618" s="118" t="s">
        <v>1518</v>
      </c>
      <c r="B618" s="118" t="s">
        <v>1469</v>
      </c>
      <c r="C618" s="118" t="s">
        <v>1519</v>
      </c>
      <c r="D618" s="201">
        <v>5.6159999999999997</v>
      </c>
      <c r="E618" s="202">
        <v>1616</v>
      </c>
      <c r="F618" s="163"/>
      <c r="G618" s="164"/>
      <c r="H618" s="165"/>
    </row>
    <row r="619" spans="1:8" ht="15.5" x14ac:dyDescent="0.35">
      <c r="A619" s="118" t="s">
        <v>1520</v>
      </c>
      <c r="B619" s="118" t="s">
        <v>1469</v>
      </c>
      <c r="C619" s="118" t="s">
        <v>1521</v>
      </c>
      <c r="D619" s="201">
        <v>4.0309999999999997</v>
      </c>
      <c r="E619" s="202">
        <v>1054</v>
      </c>
      <c r="F619" s="163"/>
      <c r="G619" s="164"/>
      <c r="H619" s="165"/>
    </row>
    <row r="620" spans="1:8" ht="15.5" x14ac:dyDescent="0.35">
      <c r="A620" s="118" t="s">
        <v>1522</v>
      </c>
      <c r="B620" s="118" t="s">
        <v>1469</v>
      </c>
      <c r="C620" s="118" t="s">
        <v>1523</v>
      </c>
      <c r="D620" s="201">
        <v>7.0350000000000001</v>
      </c>
      <c r="E620" s="202">
        <v>1976</v>
      </c>
      <c r="F620" s="163"/>
      <c r="G620" s="164"/>
      <c r="H620" s="165"/>
    </row>
    <row r="621" spans="1:8" ht="15.5" x14ac:dyDescent="0.35">
      <c r="A621" s="118" t="s">
        <v>1524</v>
      </c>
      <c r="B621" s="118" t="s">
        <v>1469</v>
      </c>
      <c r="C621" s="118" t="s">
        <v>1525</v>
      </c>
      <c r="D621" s="201">
        <v>6.3010000000000002</v>
      </c>
      <c r="E621" s="202">
        <v>1768</v>
      </c>
      <c r="F621" s="163"/>
      <c r="G621" s="164"/>
      <c r="H621" s="165"/>
    </row>
    <row r="622" spans="1:8" ht="15.5" x14ac:dyDescent="0.35">
      <c r="A622" s="118" t="s">
        <v>1526</v>
      </c>
      <c r="B622" s="118" t="s">
        <v>1469</v>
      </c>
      <c r="C622" s="118" t="s">
        <v>1527</v>
      </c>
      <c r="D622" s="201">
        <v>3.16</v>
      </c>
      <c r="E622" s="202">
        <v>1324</v>
      </c>
      <c r="F622" s="163"/>
      <c r="G622" s="164"/>
      <c r="H622" s="165"/>
    </row>
    <row r="623" spans="1:8" ht="15.5" x14ac:dyDescent="0.35">
      <c r="A623" s="118" t="s">
        <v>1528</v>
      </c>
      <c r="B623" s="118" t="s">
        <v>1469</v>
      </c>
      <c r="C623" s="118" t="s">
        <v>1529</v>
      </c>
      <c r="D623" s="201">
        <v>1.8109999999999999</v>
      </c>
      <c r="E623" s="202">
        <v>704</v>
      </c>
      <c r="F623" s="163"/>
      <c r="G623" s="164"/>
      <c r="H623" s="165"/>
    </row>
    <row r="624" spans="1:8" ht="15.5" x14ac:dyDescent="0.35">
      <c r="A624" s="118" t="s">
        <v>1530</v>
      </c>
      <c r="B624" s="118" t="s">
        <v>1469</v>
      </c>
      <c r="C624" s="118" t="s">
        <v>1531</v>
      </c>
      <c r="D624" s="201">
        <v>2.9820000000000002</v>
      </c>
      <c r="E624" s="202">
        <v>1157</v>
      </c>
      <c r="F624" s="163"/>
      <c r="G624" s="164"/>
      <c r="H624" s="165"/>
    </row>
    <row r="625" spans="1:8" ht="15.5" x14ac:dyDescent="0.35">
      <c r="A625" s="118" t="s">
        <v>1532</v>
      </c>
      <c r="B625" s="118" t="s">
        <v>1469</v>
      </c>
      <c r="C625" s="118" t="s">
        <v>1533</v>
      </c>
      <c r="D625" s="201">
        <v>1.915</v>
      </c>
      <c r="E625" s="202">
        <v>855</v>
      </c>
      <c r="F625" s="163"/>
      <c r="G625" s="164"/>
      <c r="H625" s="165"/>
    </row>
    <row r="626" spans="1:8" ht="15.5" x14ac:dyDescent="0.35">
      <c r="A626" s="118" t="s">
        <v>1534</v>
      </c>
      <c r="B626" s="118" t="s">
        <v>1469</v>
      </c>
      <c r="C626" s="118" t="s">
        <v>1535</v>
      </c>
      <c r="D626" s="201">
        <v>2.5630000000000002</v>
      </c>
      <c r="E626" s="202">
        <v>922</v>
      </c>
      <c r="F626" s="163"/>
      <c r="G626" s="164"/>
      <c r="H626" s="165"/>
    </row>
    <row r="627" spans="1:8" ht="15.5" x14ac:dyDescent="0.35">
      <c r="A627" s="118" t="s">
        <v>1536</v>
      </c>
      <c r="B627" s="118" t="s">
        <v>1469</v>
      </c>
      <c r="C627" s="118" t="s">
        <v>1537</v>
      </c>
      <c r="D627" s="201">
        <v>1.5680000000000001</v>
      </c>
      <c r="E627" s="202">
        <v>542</v>
      </c>
      <c r="F627" s="163"/>
      <c r="G627" s="164"/>
      <c r="H627" s="165"/>
    </row>
    <row r="628" spans="1:8" ht="15.5" x14ac:dyDescent="0.35">
      <c r="A628" s="118" t="s">
        <v>1538</v>
      </c>
      <c r="B628" s="118" t="s">
        <v>1469</v>
      </c>
      <c r="C628" s="118" t="s">
        <v>1539</v>
      </c>
      <c r="D628" s="201">
        <v>7.476</v>
      </c>
      <c r="E628" s="202">
        <v>2456</v>
      </c>
      <c r="F628" s="163"/>
      <c r="G628" s="164"/>
      <c r="H628" s="165"/>
    </row>
    <row r="629" spans="1:8" ht="15.5" x14ac:dyDescent="0.35">
      <c r="A629" s="118" t="s">
        <v>1540</v>
      </c>
      <c r="B629" s="118" t="s">
        <v>1469</v>
      </c>
      <c r="C629" s="118" t="s">
        <v>1541</v>
      </c>
      <c r="D629" s="201">
        <v>20.87</v>
      </c>
      <c r="E629" s="202">
        <v>5409</v>
      </c>
      <c r="F629" s="163"/>
      <c r="G629" s="164"/>
      <c r="H629" s="165"/>
    </row>
    <row r="630" spans="1:8" ht="15.5" x14ac:dyDescent="0.35">
      <c r="A630" s="118" t="s">
        <v>1542</v>
      </c>
      <c r="B630" s="118" t="s">
        <v>1469</v>
      </c>
      <c r="C630" s="118" t="s">
        <v>1543</v>
      </c>
      <c r="D630" s="201">
        <v>7.8440000000000003</v>
      </c>
      <c r="E630" s="202">
        <v>2354</v>
      </c>
      <c r="F630" s="163"/>
      <c r="G630" s="164"/>
      <c r="H630" s="165"/>
    </row>
    <row r="631" spans="1:8" ht="15.5" x14ac:dyDescent="0.35">
      <c r="A631" s="118" t="s">
        <v>1544</v>
      </c>
      <c r="B631" s="118" t="s">
        <v>1469</v>
      </c>
      <c r="C631" s="118" t="s">
        <v>1545</v>
      </c>
      <c r="D631" s="201">
        <v>4.8959999999999999</v>
      </c>
      <c r="E631" s="202">
        <v>1487</v>
      </c>
      <c r="F631" s="163"/>
      <c r="G631" s="164"/>
      <c r="H631" s="165"/>
    </row>
    <row r="632" spans="1:8" ht="15.5" x14ac:dyDescent="0.35">
      <c r="A632" s="118" t="s">
        <v>1546</v>
      </c>
      <c r="B632" s="118" t="s">
        <v>1469</v>
      </c>
      <c r="C632" s="118" t="s">
        <v>1547</v>
      </c>
      <c r="D632" s="201">
        <v>14.766</v>
      </c>
      <c r="E632" s="202">
        <v>3737</v>
      </c>
      <c r="F632" s="163"/>
      <c r="G632" s="164"/>
      <c r="H632" s="165"/>
    </row>
    <row r="633" spans="1:8" ht="15.5" x14ac:dyDescent="0.35">
      <c r="A633" s="118" t="s">
        <v>1548</v>
      </c>
      <c r="B633" s="118" t="s">
        <v>1469</v>
      </c>
      <c r="C633" s="118" t="s">
        <v>1549</v>
      </c>
      <c r="D633" s="201">
        <v>7.1390000000000002</v>
      </c>
      <c r="E633" s="202">
        <v>1981</v>
      </c>
      <c r="F633" s="163"/>
      <c r="G633" s="164"/>
      <c r="H633" s="165"/>
    </row>
    <row r="634" spans="1:8" ht="15.5" x14ac:dyDescent="0.35">
      <c r="A634" s="118" t="s">
        <v>1550</v>
      </c>
      <c r="B634" s="118" t="s">
        <v>1469</v>
      </c>
      <c r="C634" s="118" t="s">
        <v>1551</v>
      </c>
      <c r="D634" s="201">
        <v>9.0939999999999994</v>
      </c>
      <c r="E634" s="202">
        <v>2539</v>
      </c>
      <c r="F634" s="163"/>
      <c r="G634" s="164"/>
      <c r="H634" s="165"/>
    </row>
    <row r="635" spans="1:8" ht="15.5" x14ac:dyDescent="0.35">
      <c r="A635" s="118" t="s">
        <v>1552</v>
      </c>
      <c r="B635" s="118" t="s">
        <v>1469</v>
      </c>
      <c r="C635" s="118" t="s">
        <v>1553</v>
      </c>
      <c r="D635" s="201">
        <v>12.941000000000001</v>
      </c>
      <c r="E635" s="202">
        <v>3702</v>
      </c>
      <c r="F635" s="163"/>
      <c r="G635" s="164"/>
      <c r="H635" s="165"/>
    </row>
    <row r="636" spans="1:8" ht="15.5" x14ac:dyDescent="0.35">
      <c r="A636" s="118" t="s">
        <v>1554</v>
      </c>
      <c r="B636" s="118" t="s">
        <v>1469</v>
      </c>
      <c r="C636" s="118" t="s">
        <v>1555</v>
      </c>
      <c r="D636" s="201">
        <v>5.617</v>
      </c>
      <c r="E636" s="202">
        <v>1409</v>
      </c>
      <c r="F636" s="163"/>
      <c r="G636" s="164"/>
      <c r="H636" s="165"/>
    </row>
    <row r="637" spans="1:8" ht="15.5" x14ac:dyDescent="0.35">
      <c r="A637" s="118" t="s">
        <v>1556</v>
      </c>
      <c r="B637" s="118" t="s">
        <v>1469</v>
      </c>
      <c r="C637" s="118" t="s">
        <v>1557</v>
      </c>
      <c r="D637" s="201">
        <v>9.9730000000000008</v>
      </c>
      <c r="E637" s="202">
        <v>2954</v>
      </c>
      <c r="F637" s="163"/>
      <c r="G637" s="164"/>
      <c r="H637" s="165"/>
    </row>
    <row r="638" spans="1:8" ht="15.5" x14ac:dyDescent="0.35">
      <c r="A638" s="118" t="s">
        <v>1558</v>
      </c>
      <c r="B638" s="118" t="s">
        <v>1469</v>
      </c>
      <c r="C638" s="118" t="s">
        <v>1559</v>
      </c>
      <c r="D638" s="201">
        <v>22.81</v>
      </c>
      <c r="E638" s="202">
        <v>5847</v>
      </c>
      <c r="F638" s="163"/>
      <c r="G638" s="164"/>
      <c r="H638" s="165"/>
    </row>
    <row r="639" spans="1:8" ht="15.5" x14ac:dyDescent="0.35">
      <c r="A639" s="118" t="s">
        <v>1560</v>
      </c>
      <c r="B639" s="118" t="s">
        <v>1469</v>
      </c>
      <c r="C639" s="118" t="s">
        <v>1561</v>
      </c>
      <c r="D639" s="201">
        <v>7.7569999999999997</v>
      </c>
      <c r="E639" s="202">
        <v>2570</v>
      </c>
      <c r="F639" s="163"/>
      <c r="G639" s="164"/>
      <c r="H639" s="165"/>
    </row>
    <row r="640" spans="1:8" ht="15.5" x14ac:dyDescent="0.35">
      <c r="A640" s="118" t="s">
        <v>1562</v>
      </c>
      <c r="B640" s="118" t="s">
        <v>1469</v>
      </c>
      <c r="C640" s="118" t="s">
        <v>1563</v>
      </c>
      <c r="D640" s="201">
        <v>2.7730000000000001</v>
      </c>
      <c r="E640" s="202">
        <v>708</v>
      </c>
      <c r="F640" s="163"/>
      <c r="G640" s="164"/>
      <c r="H640" s="165"/>
    </row>
    <row r="641" spans="1:8" ht="15.5" x14ac:dyDescent="0.35">
      <c r="A641" s="118" t="s">
        <v>1564</v>
      </c>
      <c r="B641" s="118" t="s">
        <v>1469</v>
      </c>
      <c r="C641" s="118" t="s">
        <v>1565</v>
      </c>
      <c r="D641" s="201">
        <v>11.015000000000001</v>
      </c>
      <c r="E641" s="202">
        <v>3445</v>
      </c>
      <c r="F641" s="163"/>
      <c r="G641" s="164"/>
      <c r="H641" s="165"/>
    </row>
    <row r="642" spans="1:8" ht="15.5" x14ac:dyDescent="0.35">
      <c r="A642" s="118" t="s">
        <v>1566</v>
      </c>
      <c r="B642" s="118" t="s">
        <v>1469</v>
      </c>
      <c r="C642" s="118" t="s">
        <v>1567</v>
      </c>
      <c r="D642" s="201">
        <v>12.119</v>
      </c>
      <c r="E642" s="202">
        <v>3194</v>
      </c>
      <c r="F642" s="163"/>
      <c r="G642" s="164"/>
      <c r="H642" s="165"/>
    </row>
    <row r="643" spans="1:8" ht="15.5" x14ac:dyDescent="0.35">
      <c r="A643" s="118" t="s">
        <v>1568</v>
      </c>
      <c r="B643" s="118" t="s">
        <v>1469</v>
      </c>
      <c r="C643" s="118" t="s">
        <v>1569</v>
      </c>
      <c r="D643" s="201">
        <v>4.032</v>
      </c>
      <c r="E643" s="202">
        <v>970</v>
      </c>
      <c r="F643" s="163"/>
      <c r="G643" s="164"/>
      <c r="H643" s="165"/>
    </row>
    <row r="644" spans="1:8" ht="15.5" x14ac:dyDescent="0.35">
      <c r="A644" s="118" t="s">
        <v>1570</v>
      </c>
      <c r="B644" s="118" t="s">
        <v>1469</v>
      </c>
      <c r="C644" s="118" t="s">
        <v>1571</v>
      </c>
      <c r="D644" s="201">
        <v>4.1079999999999997</v>
      </c>
      <c r="E644" s="202">
        <v>1514</v>
      </c>
      <c r="F644" s="163"/>
      <c r="G644" s="164"/>
      <c r="H644" s="165"/>
    </row>
    <row r="645" spans="1:8" ht="15.5" x14ac:dyDescent="0.35">
      <c r="A645" s="118" t="s">
        <v>1572</v>
      </c>
      <c r="B645" s="118" t="s">
        <v>1469</v>
      </c>
      <c r="C645" s="118" t="s">
        <v>1573</v>
      </c>
      <c r="D645" s="201">
        <v>6.6349999999999998</v>
      </c>
      <c r="E645" s="202">
        <v>2337</v>
      </c>
      <c r="F645" s="163"/>
      <c r="G645" s="164"/>
      <c r="H645" s="165"/>
    </row>
    <row r="646" spans="1:8" ht="15.5" x14ac:dyDescent="0.35">
      <c r="A646" s="118" t="s">
        <v>1574</v>
      </c>
      <c r="B646" s="118" t="s">
        <v>1469</v>
      </c>
      <c r="C646" s="118" t="s">
        <v>1575</v>
      </c>
      <c r="D646" s="201">
        <v>16.013999999999999</v>
      </c>
      <c r="E646" s="202">
        <v>3826</v>
      </c>
      <c r="F646" s="163"/>
      <c r="G646" s="164"/>
      <c r="H646" s="165"/>
    </row>
    <row r="647" spans="1:8" ht="15.5" x14ac:dyDescent="0.35">
      <c r="A647" s="118" t="s">
        <v>1576</v>
      </c>
      <c r="B647" s="118" t="s">
        <v>1469</v>
      </c>
      <c r="C647" s="118" t="s">
        <v>1577</v>
      </c>
      <c r="D647" s="201">
        <v>4.4050000000000002</v>
      </c>
      <c r="E647" s="202">
        <v>1710</v>
      </c>
      <c r="F647" s="163"/>
      <c r="G647" s="164"/>
      <c r="H647" s="165"/>
    </row>
    <row r="648" spans="1:8" ht="15.5" x14ac:dyDescent="0.35">
      <c r="A648" s="118" t="s">
        <v>1578</v>
      </c>
      <c r="B648" s="118" t="s">
        <v>1469</v>
      </c>
      <c r="C648" s="118" t="s">
        <v>1579</v>
      </c>
      <c r="D648" s="201">
        <v>21.088999999999999</v>
      </c>
      <c r="E648" s="202">
        <v>5868</v>
      </c>
      <c r="F648" s="163"/>
      <c r="G648" s="164"/>
      <c r="H648" s="165"/>
    </row>
    <row r="649" spans="1:8" ht="15.5" x14ac:dyDescent="0.35">
      <c r="A649" s="118" t="s">
        <v>1580</v>
      </c>
      <c r="B649" s="118" t="s">
        <v>1469</v>
      </c>
      <c r="C649" s="118" t="s">
        <v>1581</v>
      </c>
      <c r="D649" s="201">
        <v>23.082000000000001</v>
      </c>
      <c r="E649" s="202">
        <v>5674</v>
      </c>
      <c r="F649" s="163"/>
      <c r="G649" s="164"/>
      <c r="H649" s="165"/>
    </row>
    <row r="650" spans="1:8" ht="15.5" x14ac:dyDescent="0.35">
      <c r="A650" s="118" t="s">
        <v>1582</v>
      </c>
      <c r="B650" s="118" t="s">
        <v>1469</v>
      </c>
      <c r="C650" s="118" t="s">
        <v>1583</v>
      </c>
      <c r="D650" s="201">
        <v>4.2919999999999998</v>
      </c>
      <c r="E650" s="202">
        <v>1380</v>
      </c>
      <c r="F650" s="163"/>
      <c r="G650" s="164"/>
      <c r="H650" s="165"/>
    </row>
    <row r="651" spans="1:8" ht="15.5" x14ac:dyDescent="0.35">
      <c r="A651" s="203" t="s">
        <v>1584</v>
      </c>
      <c r="B651" s="203" t="s">
        <v>1585</v>
      </c>
      <c r="C651" s="118"/>
      <c r="D651" s="201">
        <v>0</v>
      </c>
      <c r="E651" s="202">
        <v>0</v>
      </c>
      <c r="F651" s="163"/>
      <c r="G651" s="164"/>
      <c r="H651" s="165"/>
    </row>
    <row r="652" spans="1:8" ht="15.5" x14ac:dyDescent="0.35">
      <c r="A652" s="118" t="s">
        <v>1586</v>
      </c>
      <c r="B652" s="118" t="s">
        <v>1585</v>
      </c>
      <c r="C652" s="118" t="s">
        <v>1587</v>
      </c>
      <c r="D652" s="201">
        <v>3.9740000000000002</v>
      </c>
      <c r="E652" s="202">
        <v>830</v>
      </c>
      <c r="F652" s="163"/>
      <c r="G652" s="164"/>
      <c r="H652" s="165"/>
    </row>
    <row r="653" spans="1:8" ht="15.5" x14ac:dyDescent="0.35">
      <c r="A653" s="118" t="s">
        <v>1588</v>
      </c>
      <c r="B653" s="118" t="s">
        <v>1585</v>
      </c>
      <c r="C653" s="118" t="s">
        <v>1589</v>
      </c>
      <c r="D653" s="201">
        <v>3.7</v>
      </c>
      <c r="E653" s="202">
        <v>916</v>
      </c>
      <c r="F653" s="163"/>
      <c r="G653" s="164"/>
      <c r="H653" s="165"/>
    </row>
    <row r="654" spans="1:8" ht="15.5" x14ac:dyDescent="0.35">
      <c r="A654" s="118" t="s">
        <v>1590</v>
      </c>
      <c r="B654" s="118" t="s">
        <v>1585</v>
      </c>
      <c r="C654" s="118" t="s">
        <v>1591</v>
      </c>
      <c r="D654" s="201">
        <v>5.8470000000000004</v>
      </c>
      <c r="E654" s="202">
        <v>1161</v>
      </c>
      <c r="F654" s="163"/>
      <c r="G654" s="164"/>
      <c r="H654" s="165"/>
    </row>
    <row r="655" spans="1:8" ht="15.5" x14ac:dyDescent="0.35">
      <c r="A655" s="118" t="s">
        <v>1592</v>
      </c>
      <c r="B655" s="118" t="s">
        <v>1585</v>
      </c>
      <c r="C655" s="118" t="s">
        <v>1593</v>
      </c>
      <c r="D655" s="201">
        <v>3.016</v>
      </c>
      <c r="E655" s="202">
        <v>766</v>
      </c>
      <c r="F655" s="163"/>
      <c r="G655" s="164"/>
      <c r="H655" s="165"/>
    </row>
    <row r="656" spans="1:8" ht="15.5" x14ac:dyDescent="0.35">
      <c r="A656" s="118" t="s">
        <v>1594</v>
      </c>
      <c r="B656" s="118" t="s">
        <v>1585</v>
      </c>
      <c r="C656" s="118" t="s">
        <v>1595</v>
      </c>
      <c r="D656" s="201">
        <v>10.074</v>
      </c>
      <c r="E656" s="202">
        <v>1972</v>
      </c>
      <c r="F656" s="163"/>
      <c r="G656" s="164"/>
      <c r="H656" s="165"/>
    </row>
    <row r="657" spans="1:8" ht="15.5" x14ac:dyDescent="0.35">
      <c r="A657" s="118" t="s">
        <v>1596</v>
      </c>
      <c r="B657" s="118" t="s">
        <v>1585</v>
      </c>
      <c r="C657" s="118" t="s">
        <v>1597</v>
      </c>
      <c r="D657" s="201">
        <v>10.856</v>
      </c>
      <c r="E657" s="202">
        <v>2080</v>
      </c>
      <c r="F657" s="163"/>
      <c r="G657" s="164"/>
      <c r="H657" s="165"/>
    </row>
    <row r="658" spans="1:8" ht="15.5" x14ac:dyDescent="0.35">
      <c r="A658" s="118" t="s">
        <v>1598</v>
      </c>
      <c r="B658" s="118" t="s">
        <v>1585</v>
      </c>
      <c r="C658" s="118" t="s">
        <v>1599</v>
      </c>
      <c r="D658" s="201">
        <v>11.962999999999999</v>
      </c>
      <c r="E658" s="202">
        <v>2147</v>
      </c>
      <c r="F658" s="163"/>
      <c r="G658" s="164"/>
      <c r="H658" s="165"/>
    </row>
    <row r="659" spans="1:8" ht="15.5" x14ac:dyDescent="0.35">
      <c r="A659" s="118" t="s">
        <v>1600</v>
      </c>
      <c r="B659" s="118" t="s">
        <v>1585</v>
      </c>
      <c r="C659" s="118" t="s">
        <v>1601</v>
      </c>
      <c r="D659" s="201">
        <v>4.6639999999999997</v>
      </c>
      <c r="E659" s="202">
        <v>1321</v>
      </c>
      <c r="F659" s="163"/>
      <c r="G659" s="164"/>
      <c r="H659" s="165"/>
    </row>
    <row r="660" spans="1:8" ht="15.5" x14ac:dyDescent="0.35">
      <c r="A660" s="118" t="s">
        <v>1602</v>
      </c>
      <c r="B660" s="118" t="s">
        <v>1585</v>
      </c>
      <c r="C660" s="118" t="s">
        <v>1603</v>
      </c>
      <c r="D660" s="201">
        <v>12.2</v>
      </c>
      <c r="E660" s="202">
        <v>2342</v>
      </c>
      <c r="F660" s="163"/>
      <c r="G660" s="164"/>
      <c r="H660" s="165"/>
    </row>
    <row r="661" spans="1:8" ht="15.5" x14ac:dyDescent="0.35">
      <c r="A661" s="118" t="s">
        <v>1604</v>
      </c>
      <c r="B661" s="118" t="s">
        <v>1585</v>
      </c>
      <c r="C661" s="118" t="s">
        <v>1605</v>
      </c>
      <c r="D661" s="201">
        <v>12.212999999999999</v>
      </c>
      <c r="E661" s="202">
        <v>1903</v>
      </c>
      <c r="F661" s="163"/>
      <c r="G661" s="164"/>
      <c r="H661" s="165"/>
    </row>
    <row r="662" spans="1:8" ht="15.5" x14ac:dyDescent="0.35">
      <c r="A662" s="118" t="s">
        <v>1606</v>
      </c>
      <c r="B662" s="118" t="s">
        <v>1585</v>
      </c>
      <c r="C662" s="118" t="s">
        <v>1607</v>
      </c>
      <c r="D662" s="201">
        <v>9.8439999999999994</v>
      </c>
      <c r="E662" s="202">
        <v>1933</v>
      </c>
      <c r="F662" s="163"/>
      <c r="G662" s="164"/>
      <c r="H662" s="165"/>
    </row>
    <row r="663" spans="1:8" ht="15.5" x14ac:dyDescent="0.35">
      <c r="A663" s="118" t="s">
        <v>1608</v>
      </c>
      <c r="B663" s="118" t="s">
        <v>1585</v>
      </c>
      <c r="C663" s="118" t="s">
        <v>1609</v>
      </c>
      <c r="D663" s="201">
        <v>10.42</v>
      </c>
      <c r="E663" s="202">
        <v>1950</v>
      </c>
      <c r="F663" s="163"/>
      <c r="G663" s="164"/>
      <c r="H663" s="165"/>
    </row>
    <row r="664" spans="1:8" ht="15.5" x14ac:dyDescent="0.35">
      <c r="A664" s="118" t="s">
        <v>1610</v>
      </c>
      <c r="B664" s="118" t="s">
        <v>1585</v>
      </c>
      <c r="C664" s="118" t="s">
        <v>1611</v>
      </c>
      <c r="D664" s="201">
        <v>7.6150000000000002</v>
      </c>
      <c r="E664" s="202">
        <v>1544</v>
      </c>
      <c r="F664" s="163"/>
      <c r="G664" s="164"/>
      <c r="H664" s="165"/>
    </row>
    <row r="665" spans="1:8" ht="15.5" x14ac:dyDescent="0.35">
      <c r="A665" s="118" t="s">
        <v>1612</v>
      </c>
      <c r="B665" s="118" t="s">
        <v>1585</v>
      </c>
      <c r="C665" s="118" t="s">
        <v>1613</v>
      </c>
      <c r="D665" s="201">
        <v>11.709</v>
      </c>
      <c r="E665" s="202">
        <v>2194</v>
      </c>
      <c r="F665" s="163"/>
      <c r="G665" s="164"/>
      <c r="H665" s="165"/>
    </row>
    <row r="666" spans="1:8" ht="15.5" x14ac:dyDescent="0.35">
      <c r="A666" s="118" t="s">
        <v>1614</v>
      </c>
      <c r="B666" s="118" t="s">
        <v>1585</v>
      </c>
      <c r="C666" s="118" t="s">
        <v>1615</v>
      </c>
      <c r="D666" s="201">
        <v>12.614000000000001</v>
      </c>
      <c r="E666" s="202">
        <v>2373</v>
      </c>
      <c r="F666" s="163"/>
      <c r="G666" s="164"/>
      <c r="H666" s="165"/>
    </row>
    <row r="667" spans="1:8" ht="15.5" x14ac:dyDescent="0.35">
      <c r="A667" s="118" t="s">
        <v>1616</v>
      </c>
      <c r="B667" s="118" t="s">
        <v>1585</v>
      </c>
      <c r="C667" s="118" t="s">
        <v>1617</v>
      </c>
      <c r="D667" s="201">
        <v>11.861000000000001</v>
      </c>
      <c r="E667" s="202">
        <v>2285</v>
      </c>
      <c r="F667" s="163"/>
      <c r="G667" s="164"/>
      <c r="H667" s="165"/>
    </row>
    <row r="668" spans="1:8" ht="15.5" x14ac:dyDescent="0.35">
      <c r="A668" s="118" t="s">
        <v>1618</v>
      </c>
      <c r="B668" s="118" t="s">
        <v>1585</v>
      </c>
      <c r="C668" s="118" t="s">
        <v>1619</v>
      </c>
      <c r="D668" s="201">
        <v>9.5630000000000006</v>
      </c>
      <c r="E668" s="202">
        <v>1927</v>
      </c>
      <c r="F668" s="163"/>
      <c r="G668" s="164"/>
      <c r="H668" s="165"/>
    </row>
    <row r="669" spans="1:8" ht="15.5" x14ac:dyDescent="0.35">
      <c r="A669" s="118" t="s">
        <v>1620</v>
      </c>
      <c r="B669" s="118" t="s">
        <v>1585</v>
      </c>
      <c r="C669" s="118" t="s">
        <v>1621</v>
      </c>
      <c r="D669" s="201">
        <v>11.042999999999999</v>
      </c>
      <c r="E669" s="202">
        <v>2101</v>
      </c>
      <c r="F669" s="163"/>
      <c r="G669" s="164"/>
      <c r="H669" s="165"/>
    </row>
    <row r="670" spans="1:8" ht="15.5" x14ac:dyDescent="0.35">
      <c r="A670" s="181"/>
      <c r="B670" s="118"/>
      <c r="C670" s="181"/>
      <c r="D670" s="201">
        <v>0</v>
      </c>
      <c r="E670" s="202">
        <v>0</v>
      </c>
    </row>
    <row r="671" spans="1:8" ht="15.5" x14ac:dyDescent="0.35">
      <c r="A671" s="181"/>
      <c r="B671" s="181"/>
      <c r="C671" s="181"/>
      <c r="D671" s="182"/>
      <c r="E671" s="182"/>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AF7BA-866A-48E1-B5A5-E5FBBC1A4A40}">
  <sheetPr>
    <pageSetUpPr fitToPage="1"/>
  </sheetPr>
  <dimension ref="A1:GR80"/>
  <sheetViews>
    <sheetView showGridLines="0" zoomScaleNormal="100" workbookViewId="0">
      <pane xSplit="1" topLeftCell="B1" activePane="topRight" state="frozen"/>
      <selection activeCell="B17" sqref="B17"/>
      <selection pane="topRight" activeCell="B1" sqref="B1"/>
    </sheetView>
  </sheetViews>
  <sheetFormatPr defaultColWidth="8.81640625" defaultRowHeight="20.149999999999999" customHeight="1" x14ac:dyDescent="0.35"/>
  <cols>
    <col min="1" max="1" width="39.1796875" style="6" customWidth="1"/>
    <col min="2" max="158" width="12.81640625" style="6" customWidth="1"/>
    <col min="159" max="159" width="12.1796875" style="6" customWidth="1"/>
    <col min="160" max="160" width="11.81640625" style="6" customWidth="1"/>
    <col min="161" max="163" width="12" style="6" customWidth="1"/>
    <col min="164" max="165" width="12.1796875" style="6" customWidth="1"/>
    <col min="166" max="166" width="12.453125" style="6" customWidth="1"/>
    <col min="167" max="173" width="11.81640625" style="6" customWidth="1"/>
    <col min="174" max="174" width="13.453125" style="6" customWidth="1"/>
    <col min="175" max="175" width="12.453125" style="6" customWidth="1"/>
    <col min="176" max="176" width="12.1796875" style="6" customWidth="1"/>
    <col min="177" max="177" width="11.54296875" style="6" customWidth="1"/>
    <col min="178" max="178" width="11" style="6" customWidth="1"/>
    <col min="179" max="179" width="12.1796875" style="6" customWidth="1"/>
    <col min="180" max="180" width="11.54296875" style="6" customWidth="1"/>
    <col min="181" max="181" width="12.1796875" style="6" customWidth="1"/>
    <col min="182" max="183" width="11.26953125" style="6" bestFit="1" customWidth="1"/>
    <col min="184" max="188" width="12" style="6" customWidth="1"/>
    <col min="189" max="190" width="11" style="6" bestFit="1" customWidth="1"/>
    <col min="191" max="191" width="11.1796875" style="6" customWidth="1"/>
    <col min="192" max="192" width="12.453125" style="6" customWidth="1"/>
    <col min="193" max="193" width="12.54296875" style="6" customWidth="1"/>
    <col min="194" max="194" width="11.1796875" style="6" customWidth="1"/>
    <col min="195" max="198" width="10.7265625" style="6" bestFit="1" customWidth="1"/>
    <col min="199" max="16384" width="8.81640625" style="6"/>
  </cols>
  <sheetData>
    <row r="1" spans="1:198" s="18" customFormat="1" ht="45" customHeight="1" x14ac:dyDescent="0.6">
      <c r="A1" s="17" t="s">
        <v>71</v>
      </c>
    </row>
    <row r="2" spans="1:198" s="19" customFormat="1" ht="20.149999999999999" customHeight="1" x14ac:dyDescent="0.35">
      <c r="A2" s="19" t="s">
        <v>72</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row>
    <row r="3" spans="1:198" s="19" customFormat="1" ht="20.149999999999999" customHeight="1" x14ac:dyDescent="0.35">
      <c r="A3" s="19" t="s">
        <v>73</v>
      </c>
      <c r="FQ3" s="175"/>
    </row>
    <row r="4" spans="1:198" s="19" customFormat="1" ht="20.149999999999999" customHeight="1" x14ac:dyDescent="0.35">
      <c r="A4" s="19" t="s">
        <v>74</v>
      </c>
    </row>
    <row r="5" spans="1:198" s="25" customFormat="1" ht="30" customHeight="1" x14ac:dyDescent="0.35">
      <c r="A5" s="21" t="s">
        <v>75</v>
      </c>
      <c r="B5" s="22" t="s">
        <v>76</v>
      </c>
      <c r="C5" s="23" t="s">
        <v>77</v>
      </c>
      <c r="D5" s="23" t="s">
        <v>78</v>
      </c>
      <c r="E5" s="23" t="s">
        <v>79</v>
      </c>
      <c r="F5" s="23" t="s">
        <v>80</v>
      </c>
      <c r="G5" s="23" t="s">
        <v>81</v>
      </c>
      <c r="H5" s="23" t="s">
        <v>82</v>
      </c>
      <c r="I5" s="23" t="s">
        <v>83</v>
      </c>
      <c r="J5" s="23" t="s">
        <v>84</v>
      </c>
      <c r="K5" s="23" t="s">
        <v>85</v>
      </c>
      <c r="L5" s="23" t="s">
        <v>86</v>
      </c>
      <c r="M5" s="23" t="s">
        <v>87</v>
      </c>
      <c r="N5" s="22" t="s">
        <v>88</v>
      </c>
      <c r="O5" s="23" t="s">
        <v>89</v>
      </c>
      <c r="P5" s="23" t="s">
        <v>90</v>
      </c>
      <c r="Q5" s="23" t="s">
        <v>91</v>
      </c>
      <c r="R5" s="23" t="s">
        <v>92</v>
      </c>
      <c r="S5" s="23" t="s">
        <v>93</v>
      </c>
      <c r="T5" s="23" t="s">
        <v>94</v>
      </c>
      <c r="U5" s="23" t="s">
        <v>95</v>
      </c>
      <c r="V5" s="23" t="s">
        <v>96</v>
      </c>
      <c r="W5" s="23" t="s">
        <v>97</v>
      </c>
      <c r="X5" s="23" t="s">
        <v>98</v>
      </c>
      <c r="Y5" s="23" t="s">
        <v>99</v>
      </c>
      <c r="Z5" s="22" t="s">
        <v>100</v>
      </c>
      <c r="AA5" s="23" t="s">
        <v>101</v>
      </c>
      <c r="AB5" s="23" t="s">
        <v>102</v>
      </c>
      <c r="AC5" s="23" t="s">
        <v>103</v>
      </c>
      <c r="AD5" s="23" t="s">
        <v>104</v>
      </c>
      <c r="AE5" s="23" t="s">
        <v>105</v>
      </c>
      <c r="AF5" s="23" t="s">
        <v>106</v>
      </c>
      <c r="AG5" s="23" t="s">
        <v>107</v>
      </c>
      <c r="AH5" s="23" t="s">
        <v>108</v>
      </c>
      <c r="AI5" s="23" t="s">
        <v>109</v>
      </c>
      <c r="AJ5" s="23" t="s">
        <v>110</v>
      </c>
      <c r="AK5" s="23" t="s">
        <v>111</v>
      </c>
      <c r="AL5" s="22" t="s">
        <v>112</v>
      </c>
      <c r="AM5" s="23" t="s">
        <v>113</v>
      </c>
      <c r="AN5" s="23" t="s">
        <v>114</v>
      </c>
      <c r="AO5" s="23" t="s">
        <v>115</v>
      </c>
      <c r="AP5" s="23" t="s">
        <v>116</v>
      </c>
      <c r="AQ5" s="23" t="s">
        <v>117</v>
      </c>
      <c r="AR5" s="23" t="s">
        <v>118</v>
      </c>
      <c r="AS5" s="23" t="s">
        <v>119</v>
      </c>
      <c r="AT5" s="23" t="s">
        <v>120</v>
      </c>
      <c r="AU5" s="23" t="s">
        <v>121</v>
      </c>
      <c r="AV5" s="23" t="s">
        <v>122</v>
      </c>
      <c r="AW5" s="24" t="s">
        <v>123</v>
      </c>
      <c r="AX5" s="23" t="s">
        <v>124</v>
      </c>
      <c r="AY5" s="23" t="s">
        <v>125</v>
      </c>
      <c r="AZ5" s="23" t="s">
        <v>126</v>
      </c>
      <c r="BA5" s="23" t="s">
        <v>127</v>
      </c>
      <c r="BB5" s="23" t="s">
        <v>128</v>
      </c>
      <c r="BC5" s="23" t="s">
        <v>129</v>
      </c>
      <c r="BD5" s="23" t="s">
        <v>130</v>
      </c>
      <c r="BE5" s="23" t="s">
        <v>131</v>
      </c>
      <c r="BF5" s="23" t="s">
        <v>132</v>
      </c>
      <c r="BG5" s="23" t="s">
        <v>133</v>
      </c>
      <c r="BH5" s="23" t="s">
        <v>134</v>
      </c>
      <c r="BI5" s="24" t="s">
        <v>135</v>
      </c>
      <c r="BJ5" s="23" t="s">
        <v>136</v>
      </c>
      <c r="BK5" s="23" t="s">
        <v>137</v>
      </c>
      <c r="BL5" s="23" t="s">
        <v>138</v>
      </c>
      <c r="BM5" s="23" t="s">
        <v>139</v>
      </c>
      <c r="BN5" s="23" t="s">
        <v>140</v>
      </c>
      <c r="BO5" s="23" t="s">
        <v>141</v>
      </c>
      <c r="BP5" s="23" t="s">
        <v>142</v>
      </c>
      <c r="BQ5" s="23" t="s">
        <v>143</v>
      </c>
      <c r="BR5" s="23" t="s">
        <v>144</v>
      </c>
      <c r="BS5" s="23" t="s">
        <v>145</v>
      </c>
      <c r="BT5" s="23" t="s">
        <v>146</v>
      </c>
      <c r="BU5" s="24" t="s">
        <v>147</v>
      </c>
      <c r="BV5" s="23" t="s">
        <v>148</v>
      </c>
      <c r="BW5" s="23" t="s">
        <v>149</v>
      </c>
      <c r="BX5" s="23" t="s">
        <v>150</v>
      </c>
      <c r="BY5" s="23" t="s">
        <v>151</v>
      </c>
      <c r="BZ5" s="23" t="s">
        <v>152</v>
      </c>
      <c r="CA5" s="23" t="s">
        <v>153</v>
      </c>
      <c r="CB5" s="23" t="s">
        <v>154</v>
      </c>
      <c r="CC5" s="23" t="s">
        <v>155</v>
      </c>
      <c r="CD5" s="23" t="s">
        <v>156</v>
      </c>
      <c r="CE5" s="23" t="s">
        <v>157</v>
      </c>
      <c r="CF5" s="23" t="s">
        <v>158</v>
      </c>
      <c r="CG5" s="24" t="s">
        <v>159</v>
      </c>
      <c r="CH5" s="23" t="s">
        <v>160</v>
      </c>
      <c r="CI5" s="23" t="s">
        <v>161</v>
      </c>
      <c r="CJ5" s="23" t="s">
        <v>162</v>
      </c>
      <c r="CK5" s="23" t="s">
        <v>163</v>
      </c>
      <c r="CL5" s="23" t="s">
        <v>164</v>
      </c>
      <c r="CM5" s="23" t="s">
        <v>165</v>
      </c>
      <c r="CN5" s="23" t="s">
        <v>166</v>
      </c>
      <c r="CO5" s="23" t="s">
        <v>167</v>
      </c>
      <c r="CP5" s="23" t="s">
        <v>168</v>
      </c>
      <c r="CQ5" s="23" t="s">
        <v>169</v>
      </c>
      <c r="CR5" s="23" t="s">
        <v>170</v>
      </c>
      <c r="CS5" s="24" t="s">
        <v>171</v>
      </c>
      <c r="CT5" s="23" t="s">
        <v>172</v>
      </c>
      <c r="CU5" s="23" t="s">
        <v>173</v>
      </c>
      <c r="CV5" s="23" t="s">
        <v>174</v>
      </c>
      <c r="CW5" s="23" t="s">
        <v>175</v>
      </c>
      <c r="CX5" s="23" t="s">
        <v>176</v>
      </c>
      <c r="CY5" s="23" t="s">
        <v>177</v>
      </c>
      <c r="CZ5" s="23" t="s">
        <v>178</v>
      </c>
      <c r="DA5" s="23" t="s">
        <v>179</v>
      </c>
      <c r="DB5" s="23" t="s">
        <v>180</v>
      </c>
      <c r="DC5" s="23" t="s">
        <v>181</v>
      </c>
      <c r="DD5" s="23" t="s">
        <v>182</v>
      </c>
      <c r="DE5" s="24" t="s">
        <v>183</v>
      </c>
      <c r="DF5" s="23" t="s">
        <v>184</v>
      </c>
      <c r="DG5" s="23" t="s">
        <v>185</v>
      </c>
      <c r="DH5" s="23" t="s">
        <v>186</v>
      </c>
      <c r="DI5" s="23" t="s">
        <v>187</v>
      </c>
      <c r="DJ5" s="23" t="s">
        <v>188</v>
      </c>
      <c r="DK5" s="23" t="s">
        <v>189</v>
      </c>
      <c r="DL5" s="23" t="s">
        <v>190</v>
      </c>
      <c r="DM5" s="23" t="s">
        <v>191</v>
      </c>
      <c r="DN5" s="23" t="s">
        <v>192</v>
      </c>
      <c r="DO5" s="23" t="s">
        <v>193</v>
      </c>
      <c r="DP5" s="23" t="s">
        <v>194</v>
      </c>
      <c r="DQ5" s="24" t="s">
        <v>195</v>
      </c>
      <c r="DR5" s="23" t="s">
        <v>196</v>
      </c>
      <c r="DS5" s="23" t="s">
        <v>197</v>
      </c>
      <c r="DT5" s="23" t="s">
        <v>198</v>
      </c>
      <c r="DU5" s="23" t="s">
        <v>199</v>
      </c>
      <c r="DV5" s="23" t="s">
        <v>200</v>
      </c>
      <c r="DW5" s="23" t="s">
        <v>201</v>
      </c>
      <c r="DX5" s="23" t="s">
        <v>202</v>
      </c>
      <c r="DY5" s="23" t="s">
        <v>203</v>
      </c>
      <c r="DZ5" s="23" t="s">
        <v>204</v>
      </c>
      <c r="EA5" s="23" t="s">
        <v>205</v>
      </c>
      <c r="EB5" s="23" t="s">
        <v>206</v>
      </c>
      <c r="EC5" s="24" t="s">
        <v>207</v>
      </c>
      <c r="ED5" s="23" t="s">
        <v>208</v>
      </c>
      <c r="EE5" s="23" t="s">
        <v>209</v>
      </c>
      <c r="EF5" s="23" t="s">
        <v>210</v>
      </c>
      <c r="EG5" s="23" t="s">
        <v>211</v>
      </c>
      <c r="EH5" s="23" t="s">
        <v>212</v>
      </c>
      <c r="EI5" s="23" t="s">
        <v>213</v>
      </c>
      <c r="EJ5" s="23" t="s">
        <v>214</v>
      </c>
      <c r="EK5" s="23" t="s">
        <v>215</v>
      </c>
      <c r="EL5" s="23" t="s">
        <v>216</v>
      </c>
      <c r="EM5" s="23" t="s">
        <v>217</v>
      </c>
      <c r="EN5" s="43" t="s">
        <v>218</v>
      </c>
      <c r="EO5" s="80" t="s">
        <v>219</v>
      </c>
      <c r="EP5" s="23" t="s">
        <v>220</v>
      </c>
      <c r="EQ5" s="43" t="s">
        <v>221</v>
      </c>
      <c r="ER5" s="43" t="s">
        <v>222</v>
      </c>
      <c r="ES5" s="43" t="s">
        <v>223</v>
      </c>
      <c r="ET5" s="43" t="s">
        <v>224</v>
      </c>
      <c r="EU5" s="43" t="s">
        <v>225</v>
      </c>
      <c r="EV5" s="43" t="s">
        <v>226</v>
      </c>
      <c r="EW5" s="43" t="s">
        <v>227</v>
      </c>
      <c r="EX5" s="43" t="s">
        <v>228</v>
      </c>
      <c r="EY5" s="43" t="s">
        <v>229</v>
      </c>
      <c r="EZ5" s="43" t="s">
        <v>230</v>
      </c>
      <c r="FA5" s="80" t="s">
        <v>231</v>
      </c>
      <c r="FB5" s="43" t="s">
        <v>232</v>
      </c>
      <c r="FC5" s="43" t="s">
        <v>233</v>
      </c>
      <c r="FD5" s="43" t="s">
        <v>234</v>
      </c>
      <c r="FE5" s="43" t="s">
        <v>235</v>
      </c>
      <c r="FF5" s="43" t="s">
        <v>236</v>
      </c>
      <c r="FG5" s="43" t="s">
        <v>237</v>
      </c>
      <c r="FH5" s="43" t="s">
        <v>238</v>
      </c>
      <c r="FI5" s="43" t="s">
        <v>239</v>
      </c>
      <c r="FJ5" s="43" t="s">
        <v>240</v>
      </c>
      <c r="FK5" s="43" t="s">
        <v>241</v>
      </c>
      <c r="FL5" s="43" t="s">
        <v>242</v>
      </c>
      <c r="FM5" s="43" t="s">
        <v>243</v>
      </c>
      <c r="FN5" s="147" t="s">
        <v>244</v>
      </c>
      <c r="FO5" s="43" t="s">
        <v>245</v>
      </c>
      <c r="FP5" s="43" t="s">
        <v>246</v>
      </c>
      <c r="FQ5" s="43" t="s">
        <v>247</v>
      </c>
      <c r="FR5" s="43" t="s">
        <v>248</v>
      </c>
      <c r="FS5" s="43" t="s">
        <v>249</v>
      </c>
      <c r="FT5" s="43" t="s">
        <v>250</v>
      </c>
      <c r="FU5" s="43" t="s">
        <v>251</v>
      </c>
      <c r="FV5" s="43" t="s">
        <v>252</v>
      </c>
      <c r="FW5" s="43" t="s">
        <v>253</v>
      </c>
      <c r="FX5" s="43" t="s">
        <v>254</v>
      </c>
      <c r="FY5" s="141" t="s">
        <v>255</v>
      </c>
      <c r="FZ5" s="43" t="s">
        <v>256</v>
      </c>
      <c r="GA5" s="43" t="s">
        <v>257</v>
      </c>
      <c r="GB5" s="43" t="s">
        <v>258</v>
      </c>
      <c r="GC5" s="43" t="s">
        <v>259</v>
      </c>
      <c r="GD5" s="43" t="s">
        <v>260</v>
      </c>
      <c r="GE5" s="43" t="s">
        <v>261</v>
      </c>
      <c r="GF5" s="43" t="s">
        <v>262</v>
      </c>
      <c r="GG5" s="43" t="s">
        <v>263</v>
      </c>
      <c r="GH5" s="43" t="s">
        <v>264</v>
      </c>
      <c r="GI5" s="43" t="s">
        <v>265</v>
      </c>
      <c r="GJ5" s="43" t="s">
        <v>1622</v>
      </c>
      <c r="GK5" s="141" t="s">
        <v>1629</v>
      </c>
      <c r="GL5" s="43" t="s">
        <v>1630</v>
      </c>
      <c r="GM5" s="43" t="s">
        <v>1635</v>
      </c>
      <c r="GN5" s="43" t="s">
        <v>1638</v>
      </c>
      <c r="GO5" s="43" t="s">
        <v>1645</v>
      </c>
      <c r="GP5" s="43" t="s">
        <v>1649</v>
      </c>
    </row>
    <row r="6" spans="1:198" s="30" customFormat="1" ht="20.149999999999999" customHeight="1" x14ac:dyDescent="0.35">
      <c r="A6" s="26" t="s">
        <v>266</v>
      </c>
      <c r="B6" s="27"/>
      <c r="C6" s="27"/>
      <c r="D6" s="27"/>
      <c r="E6" s="27"/>
      <c r="F6" s="27"/>
      <c r="G6" s="27"/>
      <c r="H6" s="27"/>
      <c r="I6" s="27"/>
      <c r="J6" s="27"/>
      <c r="K6" s="27"/>
      <c r="L6" s="27"/>
      <c r="M6" s="28"/>
      <c r="N6" s="29"/>
      <c r="O6" s="27"/>
      <c r="P6" s="27"/>
      <c r="Q6" s="27"/>
      <c r="R6" s="27"/>
      <c r="S6" s="27"/>
      <c r="T6" s="27"/>
      <c r="U6" s="27"/>
      <c r="V6" s="27"/>
      <c r="W6" s="27"/>
      <c r="X6" s="27"/>
      <c r="Y6" s="28"/>
      <c r="Z6" s="29"/>
      <c r="AA6" s="27"/>
      <c r="AB6" s="27"/>
      <c r="AC6" s="27"/>
      <c r="AD6" s="27"/>
      <c r="AE6" s="27"/>
      <c r="AF6" s="27"/>
      <c r="AG6" s="27"/>
      <c r="AH6" s="27"/>
      <c r="AI6" s="27"/>
      <c r="AJ6" s="27"/>
      <c r="AK6" s="28"/>
      <c r="AL6" s="29"/>
      <c r="AM6" s="27"/>
      <c r="AN6" s="27"/>
      <c r="AO6" s="27"/>
      <c r="AP6" s="27"/>
      <c r="AQ6" s="27"/>
      <c r="AR6" s="27"/>
      <c r="AS6" s="27"/>
      <c r="AT6" s="27"/>
      <c r="AU6" s="27"/>
      <c r="AV6" s="27"/>
      <c r="AW6" s="28"/>
      <c r="AX6" s="27"/>
      <c r="AY6" s="27"/>
      <c r="AZ6" s="27"/>
      <c r="BA6" s="27"/>
      <c r="BB6" s="27"/>
      <c r="BC6" s="27"/>
      <c r="BD6" s="27"/>
      <c r="BE6" s="27"/>
      <c r="BF6" s="27"/>
      <c r="BG6" s="27"/>
      <c r="BH6" s="27"/>
      <c r="BI6" s="28"/>
      <c r="BJ6" s="27"/>
      <c r="BK6" s="27"/>
      <c r="BL6" s="27"/>
      <c r="BM6" s="27"/>
      <c r="BN6" s="27"/>
      <c r="BO6" s="27"/>
      <c r="BP6" s="27"/>
      <c r="BQ6" s="27"/>
      <c r="BR6" s="27"/>
      <c r="BS6" s="27"/>
      <c r="BT6" s="27"/>
      <c r="BU6" s="28"/>
      <c r="BV6" s="27"/>
      <c r="BW6" s="27"/>
      <c r="BX6" s="27"/>
      <c r="BY6" s="27"/>
      <c r="BZ6" s="27"/>
      <c r="CA6" s="27"/>
      <c r="CB6" s="27"/>
      <c r="CC6" s="27"/>
      <c r="CD6" s="27"/>
      <c r="CE6" s="27"/>
      <c r="CF6" s="27"/>
      <c r="CG6" s="28"/>
      <c r="CH6" s="27"/>
      <c r="CI6" s="27"/>
      <c r="CJ6" s="27"/>
      <c r="CK6" s="27"/>
      <c r="CL6" s="27"/>
      <c r="CM6" s="27"/>
      <c r="CN6" s="27"/>
      <c r="CO6" s="27"/>
      <c r="CP6" s="27"/>
      <c r="CQ6" s="27"/>
      <c r="CR6" s="27"/>
      <c r="CS6" s="28"/>
      <c r="CT6" s="27"/>
      <c r="CU6" s="27"/>
      <c r="CV6" s="27"/>
      <c r="CW6" s="27"/>
      <c r="CX6" s="27"/>
      <c r="CY6" s="27"/>
      <c r="CZ6" s="27"/>
      <c r="DA6" s="27"/>
      <c r="DB6" s="27"/>
      <c r="DC6" s="27"/>
      <c r="DD6" s="27"/>
      <c r="DE6" s="28"/>
      <c r="DF6" s="27"/>
      <c r="DG6" s="27"/>
      <c r="DH6" s="27"/>
      <c r="DI6" s="27"/>
      <c r="DJ6" s="27"/>
      <c r="DK6" s="27"/>
      <c r="DL6" s="27"/>
      <c r="DM6" s="27"/>
      <c r="DN6" s="27"/>
      <c r="DO6" s="27"/>
      <c r="DP6" s="27"/>
      <c r="DQ6" s="28"/>
      <c r="DR6" s="27"/>
      <c r="DS6" s="27"/>
      <c r="DT6" s="27"/>
      <c r="DU6" s="27"/>
      <c r="DV6" s="27"/>
      <c r="DW6" s="27"/>
      <c r="DX6" s="27"/>
      <c r="DY6" s="27"/>
      <c r="DZ6" s="27"/>
      <c r="EA6" s="27"/>
      <c r="EB6" s="27"/>
      <c r="EC6" s="28"/>
      <c r="ED6" s="27"/>
      <c r="EE6" s="27"/>
      <c r="EF6" s="27"/>
      <c r="EG6" s="27"/>
      <c r="EH6" s="27"/>
      <c r="EI6" s="27"/>
      <c r="EJ6" s="27"/>
      <c r="EK6" s="45"/>
      <c r="EO6" s="81"/>
      <c r="EP6" s="27"/>
      <c r="EV6" s="67"/>
      <c r="EW6" s="67"/>
      <c r="EX6" s="67"/>
      <c r="EY6" s="67"/>
      <c r="EZ6" s="67"/>
      <c r="FA6" s="81"/>
      <c r="FB6" s="67"/>
      <c r="FC6" s="67"/>
      <c r="FD6" s="67"/>
      <c r="FE6" s="67"/>
      <c r="FF6" s="67"/>
      <c r="FG6" s="67"/>
      <c r="FH6" s="67"/>
      <c r="FI6" s="67"/>
      <c r="FJ6" s="67"/>
      <c r="FK6" s="67"/>
      <c r="FL6" s="67"/>
      <c r="FM6" s="67"/>
      <c r="FN6" s="169"/>
      <c r="FO6" s="67"/>
      <c r="FP6" s="67"/>
      <c r="FQ6" s="67"/>
      <c r="FR6" s="67"/>
      <c r="FS6" s="67"/>
      <c r="FT6" s="67"/>
      <c r="FU6" s="177"/>
      <c r="FV6" s="177"/>
      <c r="FW6" s="177"/>
      <c r="FX6" s="177"/>
      <c r="FY6" s="190"/>
      <c r="FZ6" s="177"/>
      <c r="GA6" s="177"/>
      <c r="GB6" s="177"/>
      <c r="GC6" s="177"/>
      <c r="GD6" s="177"/>
      <c r="GE6" s="177"/>
      <c r="GF6" s="177"/>
      <c r="GG6" s="177"/>
      <c r="GH6" s="177"/>
      <c r="GI6" s="177"/>
      <c r="GJ6" s="177"/>
      <c r="GK6" s="190"/>
      <c r="GL6" s="177"/>
      <c r="GM6" s="177"/>
      <c r="GN6" s="177"/>
      <c r="GO6" s="177"/>
      <c r="GP6" s="177"/>
    </row>
    <row r="7" spans="1:198" s="1" customFormat="1" ht="20.149999999999999" customHeight="1" x14ac:dyDescent="0.35">
      <c r="A7" s="31" t="s">
        <v>1623</v>
      </c>
      <c r="B7" s="45">
        <v>8.0210000000000008</v>
      </c>
      <c r="C7" s="45">
        <v>9.1530000000000005</v>
      </c>
      <c r="D7" s="45">
        <v>11.038</v>
      </c>
      <c r="E7" s="45">
        <v>13.255000000000001</v>
      </c>
      <c r="F7" s="45">
        <v>16.698</v>
      </c>
      <c r="G7" s="45">
        <v>20.916</v>
      </c>
      <c r="H7" s="45">
        <v>26.105</v>
      </c>
      <c r="I7" s="45">
        <v>31.254999999999999</v>
      </c>
      <c r="J7" s="45">
        <v>37.920999999999999</v>
      </c>
      <c r="K7" s="45">
        <v>45.965000000000003</v>
      </c>
      <c r="L7" s="45">
        <v>55.264000000000003</v>
      </c>
      <c r="M7" s="49">
        <v>62.441000000000003</v>
      </c>
      <c r="N7" s="50">
        <v>72.281999999999996</v>
      </c>
      <c r="O7" s="45">
        <v>83.525000000000006</v>
      </c>
      <c r="P7" s="45">
        <v>100.41500000000001</v>
      </c>
      <c r="Q7" s="45">
        <v>116.246</v>
      </c>
      <c r="R7" s="45">
        <v>135.05000000000001</v>
      </c>
      <c r="S7" s="45">
        <v>159.839</v>
      </c>
      <c r="T7" s="45">
        <v>188.624</v>
      </c>
      <c r="U7" s="45">
        <v>225.017</v>
      </c>
      <c r="V7" s="45">
        <v>269.74</v>
      </c>
      <c r="W7" s="45">
        <v>321.173</v>
      </c>
      <c r="X7" s="45">
        <v>465.851</v>
      </c>
      <c r="Y7" s="49">
        <v>578.45699999999999</v>
      </c>
      <c r="Z7" s="50">
        <v>599.39</v>
      </c>
      <c r="AA7" s="45">
        <v>705.98900000000003</v>
      </c>
      <c r="AB7" s="45">
        <v>771.01099999999997</v>
      </c>
      <c r="AC7" s="45">
        <v>783.86800000000005</v>
      </c>
      <c r="AD7" s="45">
        <v>807.89300000000003</v>
      </c>
      <c r="AE7" s="45">
        <v>837.66700000000003</v>
      </c>
      <c r="AF7" s="45">
        <v>893.29899999999998</v>
      </c>
      <c r="AG7" s="45">
        <v>902.399</v>
      </c>
      <c r="AH7" s="45">
        <v>913.875</v>
      </c>
      <c r="AI7" s="45">
        <v>935.70899999999995</v>
      </c>
      <c r="AJ7" s="45">
        <v>948.46699999999998</v>
      </c>
      <c r="AK7" s="49">
        <v>961.27599999999995</v>
      </c>
      <c r="AL7" s="50">
        <v>975.255</v>
      </c>
      <c r="AM7" s="45">
        <v>989.87699999999995</v>
      </c>
      <c r="AN7" s="45">
        <v>1006.06</v>
      </c>
      <c r="AO7" s="45">
        <v>1022.428</v>
      </c>
      <c r="AP7" s="45">
        <v>1038.3789999999999</v>
      </c>
      <c r="AQ7" s="45">
        <v>1060.6120000000001</v>
      </c>
      <c r="AR7" s="45">
        <v>1073.961</v>
      </c>
      <c r="AS7" s="45">
        <v>1089.2280000000001</v>
      </c>
      <c r="AT7" s="45">
        <v>1104.729</v>
      </c>
      <c r="AU7" s="45">
        <v>1121.47</v>
      </c>
      <c r="AV7" s="45">
        <v>1140.1079999999999</v>
      </c>
      <c r="AW7" s="49">
        <v>1155.393</v>
      </c>
      <c r="AX7" s="45">
        <v>1170.855</v>
      </c>
      <c r="AY7" s="45">
        <v>1187.434</v>
      </c>
      <c r="AZ7" s="45">
        <v>1212.9929999999999</v>
      </c>
      <c r="BA7" s="45">
        <v>1227.8979999999999</v>
      </c>
      <c r="BB7" s="45">
        <v>1243.7860000000001</v>
      </c>
      <c r="BC7" s="45">
        <v>1260.539</v>
      </c>
      <c r="BD7" s="45">
        <v>1280.277</v>
      </c>
      <c r="BE7" s="45">
        <v>1299.7170000000001</v>
      </c>
      <c r="BF7" s="45">
        <v>1323.018</v>
      </c>
      <c r="BG7" s="45">
        <v>1346.9190000000001</v>
      </c>
      <c r="BH7" s="45">
        <v>1369.2760000000001</v>
      </c>
      <c r="BI7" s="49">
        <v>1391.7670000000001</v>
      </c>
      <c r="BJ7" s="45">
        <v>1408.086</v>
      </c>
      <c r="BK7" s="45">
        <v>1427.8979999999999</v>
      </c>
      <c r="BL7" s="45">
        <v>1458.1610000000001</v>
      </c>
      <c r="BM7" s="45">
        <v>1478.8320000000001</v>
      </c>
      <c r="BN7" s="45">
        <v>1500.7280000000001</v>
      </c>
      <c r="BO7" s="45">
        <v>1532.336</v>
      </c>
      <c r="BP7" s="45">
        <v>1555.1969999999999</v>
      </c>
      <c r="BQ7" s="45">
        <v>1578.0550000000001</v>
      </c>
      <c r="BR7" s="45">
        <v>1615.6679999999999</v>
      </c>
      <c r="BS7" s="45">
        <v>1649.98</v>
      </c>
      <c r="BT7" s="45">
        <v>1695.6379999999999</v>
      </c>
      <c r="BU7" s="49">
        <v>1745.864</v>
      </c>
      <c r="BV7" s="45">
        <v>1776.472</v>
      </c>
      <c r="BW7" s="45">
        <v>1782.45</v>
      </c>
      <c r="BX7" s="45">
        <v>1789.7629999999999</v>
      </c>
      <c r="BY7" s="45">
        <v>1795.1210000000001</v>
      </c>
      <c r="BZ7" s="45">
        <v>1801.2070000000001</v>
      </c>
      <c r="CA7" s="45">
        <v>1807.9949999999999</v>
      </c>
      <c r="CB7" s="45">
        <v>1813.5229999999999</v>
      </c>
      <c r="CC7" s="45">
        <v>1818.6769999999999</v>
      </c>
      <c r="CD7" s="45">
        <v>1824.3150000000001</v>
      </c>
      <c r="CE7" s="45">
        <v>1828.952</v>
      </c>
      <c r="CF7" s="45">
        <v>1834.5239999999999</v>
      </c>
      <c r="CG7" s="49">
        <v>1838.691</v>
      </c>
      <c r="CH7" s="45">
        <v>1842.6590000000001</v>
      </c>
      <c r="CI7" s="45">
        <v>1847.2159999999999</v>
      </c>
      <c r="CJ7" s="45">
        <v>1853.1479999999999</v>
      </c>
      <c r="CK7" s="45">
        <v>1857.38</v>
      </c>
      <c r="CL7" s="45">
        <v>1862.2929999999999</v>
      </c>
      <c r="CM7" s="45">
        <v>1867.1559999999999</v>
      </c>
      <c r="CN7" s="45">
        <v>1871.6759999999999</v>
      </c>
      <c r="CO7" s="45">
        <v>1877.15</v>
      </c>
      <c r="CP7" s="45">
        <v>1882.3979999999999</v>
      </c>
      <c r="CQ7" s="45">
        <v>1887.279</v>
      </c>
      <c r="CR7" s="45">
        <v>1893.23</v>
      </c>
      <c r="CS7" s="49">
        <v>1897.231</v>
      </c>
      <c r="CT7" s="45">
        <v>1901.653</v>
      </c>
      <c r="CU7" s="45">
        <v>1905.7090000000001</v>
      </c>
      <c r="CV7" s="45">
        <v>1910.6310000000001</v>
      </c>
      <c r="CW7" s="45">
        <v>1915.35</v>
      </c>
      <c r="CX7" s="45">
        <v>1920.6769999999999</v>
      </c>
      <c r="CY7" s="45">
        <v>1926.08</v>
      </c>
      <c r="CZ7" s="45">
        <v>1931.309</v>
      </c>
      <c r="DA7" s="45">
        <v>1937.2660000000001</v>
      </c>
      <c r="DB7" s="45">
        <v>1943.3040000000001</v>
      </c>
      <c r="DC7" s="45">
        <v>1950.6010000000001</v>
      </c>
      <c r="DD7" s="45">
        <v>1958.3130000000001</v>
      </c>
      <c r="DE7" s="49">
        <v>1964.7159999999999</v>
      </c>
      <c r="DF7" s="45">
        <v>1974.0360000000001</v>
      </c>
      <c r="DG7" s="45">
        <v>1984.7619999999999</v>
      </c>
      <c r="DH7" s="45">
        <v>2009.3009999999999</v>
      </c>
      <c r="DI7" s="45">
        <v>2012.585</v>
      </c>
      <c r="DJ7" s="45">
        <v>2016.6089999999999</v>
      </c>
      <c r="DK7" s="45">
        <v>2020.932</v>
      </c>
      <c r="DL7" s="45">
        <v>2025.085</v>
      </c>
      <c r="DM7" s="45">
        <v>2029.4110000000001</v>
      </c>
      <c r="DN7" s="45">
        <v>2034.1320000000001</v>
      </c>
      <c r="DO7" s="45">
        <v>2038.865</v>
      </c>
      <c r="DP7" s="45">
        <v>2043.8710000000001</v>
      </c>
      <c r="DQ7" s="49">
        <v>2047.1189999999999</v>
      </c>
      <c r="DR7" s="45">
        <v>2051.3510000000001</v>
      </c>
      <c r="DS7" s="45">
        <v>2055.4560000000001</v>
      </c>
      <c r="DT7" s="45">
        <v>2059.6370000000002</v>
      </c>
      <c r="DU7" s="45">
        <v>2060.4450000000002</v>
      </c>
      <c r="DV7" s="45">
        <v>2061.7139999999999</v>
      </c>
      <c r="DW7" s="45">
        <v>2064.54</v>
      </c>
      <c r="DX7" s="45">
        <v>2068.5349999999999</v>
      </c>
      <c r="DY7" s="45">
        <v>2072.7620000000002</v>
      </c>
      <c r="DZ7" s="45">
        <v>2078.058</v>
      </c>
      <c r="EA7" s="45">
        <v>2083.2489999999998</v>
      </c>
      <c r="EB7" s="45">
        <v>2088.7840000000001</v>
      </c>
      <c r="EC7" s="49">
        <v>2092.944</v>
      </c>
      <c r="ED7" s="45">
        <v>2098.174</v>
      </c>
      <c r="EE7" s="45">
        <v>2102.8760000000002</v>
      </c>
      <c r="EF7" s="45">
        <v>2109.306</v>
      </c>
      <c r="EG7" s="45">
        <v>2116.1379999999999</v>
      </c>
      <c r="EH7" s="45">
        <v>2123.3980000000001</v>
      </c>
      <c r="EI7" s="45">
        <v>2130.7150000000001</v>
      </c>
      <c r="EJ7" s="45">
        <v>2137.4659999999999</v>
      </c>
      <c r="EK7" s="45">
        <v>2144.8820000000001</v>
      </c>
      <c r="EL7" s="45">
        <v>2153.1</v>
      </c>
      <c r="EM7" s="45">
        <v>2160.5520000000001</v>
      </c>
      <c r="EN7" s="45">
        <v>2170.1080000000002</v>
      </c>
      <c r="EO7" s="82">
        <v>2177.2759999999998</v>
      </c>
      <c r="EP7" s="45">
        <v>2185.8090000000002</v>
      </c>
      <c r="EQ7" s="45">
        <v>2196.7190000000001</v>
      </c>
      <c r="ER7" s="45">
        <v>2211.4760000000001</v>
      </c>
      <c r="ES7" s="45">
        <v>2225.5610000000001</v>
      </c>
      <c r="ET7" s="45">
        <v>2240.6979999999999</v>
      </c>
      <c r="EU7" s="45">
        <v>2256.5610000000001</v>
      </c>
      <c r="EV7" s="45">
        <v>2271.0810000000001</v>
      </c>
      <c r="EW7" s="45">
        <v>2287.1239999999998</v>
      </c>
      <c r="EX7" s="45">
        <v>2306.3380000000002</v>
      </c>
      <c r="EY7" s="45">
        <v>2323.6019999999999</v>
      </c>
      <c r="EZ7" s="45">
        <v>2342.3209999999999</v>
      </c>
      <c r="FA7" s="82">
        <v>2356.2289999999998</v>
      </c>
      <c r="FB7" s="45">
        <v>2374.9780000000001</v>
      </c>
      <c r="FC7" s="45">
        <v>2395.4810000000002</v>
      </c>
      <c r="FD7" s="45">
        <v>2418.422</v>
      </c>
      <c r="FE7" s="45">
        <v>2436.6610000000001</v>
      </c>
      <c r="FF7" s="45">
        <v>2456.38</v>
      </c>
      <c r="FG7" s="45">
        <v>2476.75</v>
      </c>
      <c r="FH7" s="45">
        <v>2494.5970000000002</v>
      </c>
      <c r="FI7" s="45">
        <v>2512.2570000000001</v>
      </c>
      <c r="FJ7" s="45">
        <v>2530.163</v>
      </c>
      <c r="FK7" s="155">
        <v>2547.509</v>
      </c>
      <c r="FL7" s="155">
        <v>2566.0070000000001</v>
      </c>
      <c r="FM7" s="155">
        <v>2577.799</v>
      </c>
      <c r="FN7" s="69">
        <v>2593.768</v>
      </c>
      <c r="FO7" s="155">
        <v>2610.8620000000001</v>
      </c>
      <c r="FP7" s="155">
        <v>2630.3789999999999</v>
      </c>
      <c r="FQ7" s="155">
        <v>2649.308</v>
      </c>
      <c r="FR7" s="155">
        <v>2669.2109999999998</v>
      </c>
      <c r="FS7" s="155">
        <v>2688.7040000000002</v>
      </c>
      <c r="FT7" s="155">
        <v>2708.895</v>
      </c>
      <c r="FU7" s="178">
        <v>2728.9560000000001</v>
      </c>
      <c r="FV7" s="178">
        <v>2751.4349999999999</v>
      </c>
      <c r="FW7" s="178">
        <v>2777.9769999999999</v>
      </c>
      <c r="FX7" s="178">
        <v>2806.2179999999998</v>
      </c>
      <c r="FY7" s="180">
        <v>2825.3789999999999</v>
      </c>
      <c r="FZ7" s="178">
        <v>2850.3910000000001</v>
      </c>
      <c r="GA7" s="178">
        <v>2879.174</v>
      </c>
      <c r="GB7" s="178">
        <v>2914.64</v>
      </c>
      <c r="GC7" s="178">
        <v>2940.8850000000002</v>
      </c>
      <c r="GD7" s="178">
        <v>2970.0230000000001</v>
      </c>
      <c r="GE7" s="178">
        <v>3000.1489999999999</v>
      </c>
      <c r="GF7" s="178">
        <v>3028.5450000000001</v>
      </c>
      <c r="GG7" s="178">
        <v>3053.377</v>
      </c>
      <c r="GH7" s="178">
        <v>3082.788</v>
      </c>
      <c r="GI7" s="178">
        <v>3115.83</v>
      </c>
      <c r="GJ7" s="178">
        <v>3146.2669999999998</v>
      </c>
      <c r="GK7" s="180">
        <v>3170.6039999999998</v>
      </c>
      <c r="GL7" s="178">
        <v>3197.569</v>
      </c>
      <c r="GM7" s="178">
        <v>3231.1080000000002</v>
      </c>
      <c r="GN7" s="178">
        <v>3273.73</v>
      </c>
      <c r="GO7" s="178">
        <v>3302.9589999999998</v>
      </c>
      <c r="GP7" s="178">
        <v>3324.4450000000002</v>
      </c>
    </row>
    <row r="8" spans="1:198" s="1" customFormat="1" ht="20.149999999999999" customHeight="1" x14ac:dyDescent="0.35">
      <c r="A8" s="31" t="s">
        <v>1626</v>
      </c>
      <c r="B8" s="45">
        <v>2.6389999999999998</v>
      </c>
      <c r="C8" s="45">
        <v>2.827</v>
      </c>
      <c r="D8" s="45">
        <v>3.1030000000000002</v>
      </c>
      <c r="E8" s="45">
        <v>3.286</v>
      </c>
      <c r="F8" s="45">
        <v>3.6179999999999999</v>
      </c>
      <c r="G8" s="45">
        <v>3.992</v>
      </c>
      <c r="H8" s="45">
        <v>4.3940000000000001</v>
      </c>
      <c r="I8" s="45">
        <v>4.782</v>
      </c>
      <c r="J8" s="45">
        <v>5.1890000000000001</v>
      </c>
      <c r="K8" s="45">
        <v>5.7629999999999999</v>
      </c>
      <c r="L8" s="45">
        <v>6.3620000000000001</v>
      </c>
      <c r="M8" s="49">
        <v>6.78</v>
      </c>
      <c r="N8" s="50">
        <v>7.5919999999999996</v>
      </c>
      <c r="O8" s="45">
        <v>8.4719999999999995</v>
      </c>
      <c r="P8" s="45">
        <v>9.84</v>
      </c>
      <c r="Q8" s="45">
        <v>11.526</v>
      </c>
      <c r="R8" s="45">
        <v>13.48</v>
      </c>
      <c r="S8" s="45">
        <v>15.819000000000001</v>
      </c>
      <c r="T8" s="45">
        <v>19.02</v>
      </c>
      <c r="U8" s="45">
        <v>24.344000000000001</v>
      </c>
      <c r="V8" s="45">
        <v>31.628</v>
      </c>
      <c r="W8" s="45">
        <v>40.993000000000002</v>
      </c>
      <c r="X8" s="45">
        <v>70.278999999999996</v>
      </c>
      <c r="Y8" s="49">
        <v>96.072000000000003</v>
      </c>
      <c r="Z8" s="50">
        <v>98.25</v>
      </c>
      <c r="AA8" s="45">
        <v>125.134</v>
      </c>
      <c r="AB8" s="45">
        <v>135.233</v>
      </c>
      <c r="AC8" s="45">
        <v>137.209</v>
      </c>
      <c r="AD8" s="45">
        <v>143.863</v>
      </c>
      <c r="AE8" s="45">
        <v>153.96199999999999</v>
      </c>
      <c r="AF8" s="45">
        <v>180.011</v>
      </c>
      <c r="AG8" s="45">
        <v>181.76400000000001</v>
      </c>
      <c r="AH8" s="45">
        <v>185.34</v>
      </c>
      <c r="AI8" s="45">
        <v>196.149</v>
      </c>
      <c r="AJ8" s="45">
        <v>200.12200000000001</v>
      </c>
      <c r="AK8" s="49">
        <v>204.93799999999999</v>
      </c>
      <c r="AL8" s="50">
        <v>210.17</v>
      </c>
      <c r="AM8" s="45">
        <v>216.55799999999999</v>
      </c>
      <c r="AN8" s="45">
        <v>224.73400000000001</v>
      </c>
      <c r="AO8" s="45">
        <v>234.10400000000001</v>
      </c>
      <c r="AP8" s="45">
        <v>244.52699999999999</v>
      </c>
      <c r="AQ8" s="45">
        <v>262.02600000000001</v>
      </c>
      <c r="AR8" s="45">
        <v>269.18700000000001</v>
      </c>
      <c r="AS8" s="45">
        <v>278.12099999999998</v>
      </c>
      <c r="AT8" s="45">
        <v>288.291</v>
      </c>
      <c r="AU8" s="45">
        <v>299.44299999999998</v>
      </c>
      <c r="AV8" s="45">
        <v>312.81200000000001</v>
      </c>
      <c r="AW8" s="49">
        <v>324.16000000000003</v>
      </c>
      <c r="AX8" s="45">
        <v>334.70100000000002</v>
      </c>
      <c r="AY8" s="45">
        <v>346.161</v>
      </c>
      <c r="AZ8" s="45">
        <v>369.63200000000001</v>
      </c>
      <c r="BA8" s="45">
        <v>380.04300000000001</v>
      </c>
      <c r="BB8" s="45">
        <v>392.16399999999999</v>
      </c>
      <c r="BC8" s="45">
        <v>406.01900000000001</v>
      </c>
      <c r="BD8" s="45">
        <v>420.738</v>
      </c>
      <c r="BE8" s="45">
        <v>434.67700000000002</v>
      </c>
      <c r="BF8" s="45">
        <v>450.55099999999999</v>
      </c>
      <c r="BG8" s="45">
        <v>467.44799999999998</v>
      </c>
      <c r="BH8" s="45">
        <v>484.44200000000001</v>
      </c>
      <c r="BI8" s="49">
        <v>503.32799999999997</v>
      </c>
      <c r="BJ8" s="45">
        <v>511.85599999999999</v>
      </c>
      <c r="BK8" s="45">
        <v>523.11099999999999</v>
      </c>
      <c r="BL8" s="45">
        <v>543.58900000000006</v>
      </c>
      <c r="BM8" s="45">
        <v>555.51199999999994</v>
      </c>
      <c r="BN8" s="45">
        <v>569.15800000000002</v>
      </c>
      <c r="BO8" s="45">
        <v>589.59500000000003</v>
      </c>
      <c r="BP8" s="45">
        <v>601.84400000000005</v>
      </c>
      <c r="BQ8" s="45">
        <v>614.45000000000005</v>
      </c>
      <c r="BR8" s="45">
        <v>636.89800000000002</v>
      </c>
      <c r="BS8" s="45">
        <v>653.22</v>
      </c>
      <c r="BT8" s="45">
        <v>673.59199999999998</v>
      </c>
      <c r="BU8" s="49">
        <v>699.96600000000001</v>
      </c>
      <c r="BV8" s="45">
        <v>712.97500000000002</v>
      </c>
      <c r="BW8" s="45">
        <v>714.95</v>
      </c>
      <c r="BX8" s="45">
        <v>718.16399999999999</v>
      </c>
      <c r="BY8" s="45">
        <v>720.85</v>
      </c>
      <c r="BZ8" s="45">
        <v>723.49699999999996</v>
      </c>
      <c r="CA8" s="45">
        <v>726.81700000000001</v>
      </c>
      <c r="CB8" s="45">
        <v>729.48199999999997</v>
      </c>
      <c r="CC8" s="45">
        <v>732.09</v>
      </c>
      <c r="CD8" s="45">
        <v>735.28899999999999</v>
      </c>
      <c r="CE8" s="45">
        <v>737.37900000000002</v>
      </c>
      <c r="CF8" s="45">
        <v>739.71</v>
      </c>
      <c r="CG8" s="49">
        <v>741.86099999999999</v>
      </c>
      <c r="CH8" s="45">
        <v>743.62099999999998</v>
      </c>
      <c r="CI8" s="45">
        <v>745.48</v>
      </c>
      <c r="CJ8" s="45">
        <v>748.197</v>
      </c>
      <c r="CK8" s="45">
        <v>750.07799999999997</v>
      </c>
      <c r="CL8" s="45">
        <v>752.62699999999995</v>
      </c>
      <c r="CM8" s="45">
        <v>755.54200000000003</v>
      </c>
      <c r="CN8" s="45">
        <v>758.12900000000002</v>
      </c>
      <c r="CO8" s="45">
        <v>760.58299999999997</v>
      </c>
      <c r="CP8" s="45">
        <v>763.58199999999999</v>
      </c>
      <c r="CQ8" s="45">
        <v>766.298</v>
      </c>
      <c r="CR8" s="45">
        <v>769.16700000000003</v>
      </c>
      <c r="CS8" s="49">
        <v>771.57100000000003</v>
      </c>
      <c r="CT8" s="45">
        <v>773.68</v>
      </c>
      <c r="CU8" s="45">
        <v>776.02300000000002</v>
      </c>
      <c r="CV8" s="45">
        <v>779.17200000000003</v>
      </c>
      <c r="CW8" s="45">
        <v>782.07</v>
      </c>
      <c r="CX8" s="45">
        <v>785.33</v>
      </c>
      <c r="CY8" s="45">
        <v>789.06700000000001</v>
      </c>
      <c r="CZ8" s="45">
        <v>792.21400000000006</v>
      </c>
      <c r="DA8" s="45">
        <v>795.62199999999996</v>
      </c>
      <c r="DB8" s="45">
        <v>799.91</v>
      </c>
      <c r="DC8" s="45">
        <v>803.923</v>
      </c>
      <c r="DD8" s="45">
        <v>809.28200000000004</v>
      </c>
      <c r="DE8" s="49">
        <v>814.28099999999995</v>
      </c>
      <c r="DF8" s="45">
        <v>819.48199999999997</v>
      </c>
      <c r="DG8" s="45">
        <v>827.31899999999996</v>
      </c>
      <c r="DH8" s="45">
        <v>847.41099999999994</v>
      </c>
      <c r="DI8" s="45">
        <v>848.17899999999997</v>
      </c>
      <c r="DJ8" s="45">
        <v>849.47199999999998</v>
      </c>
      <c r="DK8" s="45">
        <v>851.13900000000001</v>
      </c>
      <c r="DL8" s="45">
        <v>853.51</v>
      </c>
      <c r="DM8" s="45">
        <v>855.94100000000003</v>
      </c>
      <c r="DN8" s="45">
        <v>859.24300000000005</v>
      </c>
      <c r="DO8" s="45">
        <v>863.26300000000003</v>
      </c>
      <c r="DP8" s="45">
        <v>866.70399999999995</v>
      </c>
      <c r="DQ8" s="49">
        <v>869.46299999999997</v>
      </c>
      <c r="DR8" s="45">
        <v>872.91</v>
      </c>
      <c r="DS8" s="45">
        <v>876.46799999999996</v>
      </c>
      <c r="DT8" s="45">
        <v>880.39599999999996</v>
      </c>
      <c r="DU8" s="45">
        <v>881.90499999999997</v>
      </c>
      <c r="DV8" s="45">
        <v>884.46</v>
      </c>
      <c r="DW8" s="45">
        <v>889.14700000000005</v>
      </c>
      <c r="DX8" s="45">
        <v>894.20100000000002</v>
      </c>
      <c r="DY8" s="45">
        <v>898.79</v>
      </c>
      <c r="DZ8" s="45">
        <v>904.65899999999999</v>
      </c>
      <c r="EA8" s="45">
        <v>910.654</v>
      </c>
      <c r="EB8" s="45">
        <v>916.93299999999999</v>
      </c>
      <c r="EC8" s="49">
        <v>921.59</v>
      </c>
      <c r="ED8" s="45">
        <v>926.56700000000001</v>
      </c>
      <c r="EE8" s="45">
        <v>931.976</v>
      </c>
      <c r="EF8" s="45">
        <v>939.94799999999998</v>
      </c>
      <c r="EG8" s="45">
        <v>947.48800000000006</v>
      </c>
      <c r="EH8" s="45">
        <v>954.92499999999995</v>
      </c>
      <c r="EI8" s="45">
        <v>963.33</v>
      </c>
      <c r="EJ8" s="45">
        <v>971.46799999999996</v>
      </c>
      <c r="EK8" s="45">
        <v>978.76499999999999</v>
      </c>
      <c r="EL8" s="45">
        <v>988.66399999999999</v>
      </c>
      <c r="EM8" s="45">
        <v>998.47299999999996</v>
      </c>
      <c r="EN8" s="45">
        <v>1010.701</v>
      </c>
      <c r="EO8" s="82">
        <v>1019.726</v>
      </c>
      <c r="EP8" s="45">
        <v>1031.194</v>
      </c>
      <c r="EQ8" s="45">
        <v>1044.616</v>
      </c>
      <c r="ER8" s="45">
        <v>1063.2049999999999</v>
      </c>
      <c r="ES8" s="45">
        <v>1083.1579999999999</v>
      </c>
      <c r="ET8" s="45">
        <v>1107.3219999999999</v>
      </c>
      <c r="EU8" s="45">
        <v>1131.7529999999999</v>
      </c>
      <c r="EV8" s="45">
        <v>1158.838</v>
      </c>
      <c r="EW8" s="45">
        <v>1188.758</v>
      </c>
      <c r="EX8" s="45">
        <v>1224.242</v>
      </c>
      <c r="EY8" s="45">
        <v>1262.67</v>
      </c>
      <c r="EZ8" s="45">
        <v>1307.452</v>
      </c>
      <c r="FA8" s="82">
        <v>1342.3489999999999</v>
      </c>
      <c r="FB8" s="45">
        <v>1391.097</v>
      </c>
      <c r="FC8" s="45">
        <v>1442.1389999999999</v>
      </c>
      <c r="FD8" s="45">
        <v>1500.048</v>
      </c>
      <c r="FE8" s="45">
        <v>1547.1010000000001</v>
      </c>
      <c r="FF8" s="45">
        <v>1600.279</v>
      </c>
      <c r="FG8" s="45">
        <v>1653.0160000000001</v>
      </c>
      <c r="FH8" s="45">
        <v>1697.6949999999999</v>
      </c>
      <c r="FI8" s="45">
        <v>1743.509</v>
      </c>
      <c r="FJ8" s="45">
        <v>1787.1</v>
      </c>
      <c r="FK8" s="155">
        <v>1830.74</v>
      </c>
      <c r="FL8" s="155">
        <v>1873.5029999999999</v>
      </c>
      <c r="FM8" s="155">
        <v>1901.8019999999999</v>
      </c>
      <c r="FN8" s="69">
        <v>1936.4359999999999</v>
      </c>
      <c r="FO8" s="155">
        <v>1972.701</v>
      </c>
      <c r="FP8" s="155">
        <v>2009.424</v>
      </c>
      <c r="FQ8" s="155">
        <v>2049.038</v>
      </c>
      <c r="FR8" s="155">
        <v>2088.835</v>
      </c>
      <c r="FS8" s="155">
        <v>2124.6480000000001</v>
      </c>
      <c r="FT8" s="155">
        <v>2163.5720000000001</v>
      </c>
      <c r="FU8" s="178">
        <v>2197.826</v>
      </c>
      <c r="FV8" s="178">
        <v>2234.3629999999998</v>
      </c>
      <c r="FW8" s="178">
        <v>2275.5680000000002</v>
      </c>
      <c r="FX8" s="178">
        <v>2314.4180000000001</v>
      </c>
      <c r="FY8" s="180">
        <v>2342.567</v>
      </c>
      <c r="FZ8" s="178">
        <v>2378.1370000000002</v>
      </c>
      <c r="GA8" s="178">
        <v>2418.4189999999999</v>
      </c>
      <c r="GB8" s="178">
        <v>2466.2379999999998</v>
      </c>
      <c r="GC8" s="178">
        <v>2511.3310000000001</v>
      </c>
      <c r="GD8" s="178">
        <v>2560.6909999999998</v>
      </c>
      <c r="GE8" s="178">
        <v>2610.17</v>
      </c>
      <c r="GF8" s="178">
        <v>2663.2469999999998</v>
      </c>
      <c r="GG8" s="178">
        <v>2710.5720000000001</v>
      </c>
      <c r="GH8" s="178">
        <v>2764.0729999999999</v>
      </c>
      <c r="GI8" s="178">
        <v>2819.9569999999999</v>
      </c>
      <c r="GJ8" s="178">
        <v>2868.8380000000002</v>
      </c>
      <c r="GK8" s="180">
        <v>2904.373</v>
      </c>
      <c r="GL8" s="178">
        <v>2943.806</v>
      </c>
      <c r="GM8" s="178">
        <v>2986.2959999999998</v>
      </c>
      <c r="GN8" s="178">
        <v>3035.8040000000001</v>
      </c>
      <c r="GO8" s="178">
        <v>3087.6289999999999</v>
      </c>
      <c r="GP8" s="178">
        <v>3128.9110000000001</v>
      </c>
    </row>
    <row r="9" spans="1:198" s="1" customFormat="1" ht="20.149999999999999" customHeight="1" x14ac:dyDescent="0.35">
      <c r="A9" s="31" t="s">
        <v>1625</v>
      </c>
      <c r="B9" s="45">
        <v>2.4329999999999998</v>
      </c>
      <c r="C9" s="45">
        <v>2.5289999999999999</v>
      </c>
      <c r="D9" s="45">
        <v>2.8620000000000001</v>
      </c>
      <c r="E9" s="45">
        <v>3.1070000000000002</v>
      </c>
      <c r="F9" s="45">
        <v>3.4620000000000002</v>
      </c>
      <c r="G9" s="45">
        <v>3.6829999999999998</v>
      </c>
      <c r="H9" s="45">
        <v>3.8180000000000001</v>
      </c>
      <c r="I9" s="45">
        <v>4.101</v>
      </c>
      <c r="J9" s="45">
        <v>4.55</v>
      </c>
      <c r="K9" s="45">
        <v>4.92</v>
      </c>
      <c r="L9" s="45">
        <v>5.4130000000000003</v>
      </c>
      <c r="M9" s="49">
        <v>5.6619999999999999</v>
      </c>
      <c r="N9" s="50">
        <v>6.2169999999999996</v>
      </c>
      <c r="O9" s="45">
        <v>7.0419999999999998</v>
      </c>
      <c r="P9" s="45">
        <v>7.8730000000000002</v>
      </c>
      <c r="Q9" s="45">
        <v>8.8810000000000002</v>
      </c>
      <c r="R9" s="45">
        <v>10.105</v>
      </c>
      <c r="S9" s="45">
        <v>11.478</v>
      </c>
      <c r="T9" s="45">
        <v>14.74</v>
      </c>
      <c r="U9" s="45">
        <v>18.001999999999999</v>
      </c>
      <c r="V9" s="45">
        <v>22.283000000000001</v>
      </c>
      <c r="W9" s="45">
        <v>26.594999999999999</v>
      </c>
      <c r="X9" s="45">
        <v>49.494999999999997</v>
      </c>
      <c r="Y9" s="49">
        <v>96.29</v>
      </c>
      <c r="Z9" s="50">
        <v>97.43</v>
      </c>
      <c r="AA9" s="45">
        <v>134.60499999999999</v>
      </c>
      <c r="AB9" s="45">
        <v>160.904</v>
      </c>
      <c r="AC9" s="45">
        <v>162.559</v>
      </c>
      <c r="AD9" s="45">
        <v>166.95</v>
      </c>
      <c r="AE9" s="45">
        <v>176.238</v>
      </c>
      <c r="AF9" s="45">
        <v>213.36699999999999</v>
      </c>
      <c r="AG9" s="45">
        <v>214.72200000000001</v>
      </c>
      <c r="AH9" s="45">
        <v>216.928</v>
      </c>
      <c r="AI9" s="45">
        <v>224.791</v>
      </c>
      <c r="AJ9" s="45">
        <v>227.315</v>
      </c>
      <c r="AK9" s="49">
        <v>230.095</v>
      </c>
      <c r="AL9" s="50">
        <v>233.60599999999999</v>
      </c>
      <c r="AM9" s="45">
        <v>239.37299999999999</v>
      </c>
      <c r="AN9" s="45">
        <v>247.19</v>
      </c>
      <c r="AO9" s="45">
        <v>256.12900000000002</v>
      </c>
      <c r="AP9" s="45">
        <v>263.983</v>
      </c>
      <c r="AQ9" s="45">
        <v>284.38600000000002</v>
      </c>
      <c r="AR9" s="45">
        <v>288.46600000000001</v>
      </c>
      <c r="AS9" s="45">
        <v>294.779</v>
      </c>
      <c r="AT9" s="45">
        <v>301.60599999999999</v>
      </c>
      <c r="AU9" s="45">
        <v>307.464</v>
      </c>
      <c r="AV9" s="45">
        <v>313.87799999999999</v>
      </c>
      <c r="AW9" s="49">
        <v>320.63799999999998</v>
      </c>
      <c r="AX9" s="45">
        <v>325.86399999999998</v>
      </c>
      <c r="AY9" s="45">
        <v>331.56599999999997</v>
      </c>
      <c r="AZ9" s="45">
        <v>352.976</v>
      </c>
      <c r="BA9" s="45">
        <v>356.59399999999999</v>
      </c>
      <c r="BB9" s="45">
        <v>361.69400000000002</v>
      </c>
      <c r="BC9" s="45">
        <v>368.93099999999998</v>
      </c>
      <c r="BD9" s="45">
        <v>375.78800000000001</v>
      </c>
      <c r="BE9" s="45">
        <v>382.35399999999998</v>
      </c>
      <c r="BF9" s="45">
        <v>390.33699999999999</v>
      </c>
      <c r="BG9" s="45">
        <v>398.041</v>
      </c>
      <c r="BH9" s="45">
        <v>405.80399999999997</v>
      </c>
      <c r="BI9" s="49">
        <v>422.32</v>
      </c>
      <c r="BJ9" s="45">
        <v>425.346</v>
      </c>
      <c r="BK9" s="45">
        <v>431.61500000000001</v>
      </c>
      <c r="BL9" s="45">
        <v>442.61200000000002</v>
      </c>
      <c r="BM9" s="45">
        <v>449.03100000000001</v>
      </c>
      <c r="BN9" s="45">
        <v>455.54399999999998</v>
      </c>
      <c r="BO9" s="45">
        <v>465.73500000000001</v>
      </c>
      <c r="BP9" s="45">
        <v>474.55200000000002</v>
      </c>
      <c r="BQ9" s="45">
        <v>484.46</v>
      </c>
      <c r="BR9" s="45">
        <v>506.053</v>
      </c>
      <c r="BS9" s="45">
        <v>517.08600000000001</v>
      </c>
      <c r="BT9" s="45">
        <v>534.798</v>
      </c>
      <c r="BU9" s="49">
        <v>584.30700000000002</v>
      </c>
      <c r="BV9" s="45">
        <v>607.99</v>
      </c>
      <c r="BW9" s="45">
        <v>610.12099999999998</v>
      </c>
      <c r="BX9" s="45">
        <v>614.52800000000002</v>
      </c>
      <c r="BY9" s="45">
        <v>617.19200000000001</v>
      </c>
      <c r="BZ9" s="45">
        <v>619.82100000000003</v>
      </c>
      <c r="CA9" s="45">
        <v>623.82600000000002</v>
      </c>
      <c r="CB9" s="45">
        <v>627.495</v>
      </c>
      <c r="CC9" s="45">
        <v>632.65899999999999</v>
      </c>
      <c r="CD9" s="45">
        <v>640.36900000000003</v>
      </c>
      <c r="CE9" s="45">
        <v>643.10299999999995</v>
      </c>
      <c r="CF9" s="45">
        <v>646.04300000000001</v>
      </c>
      <c r="CG9" s="49">
        <v>650.53599999999994</v>
      </c>
      <c r="CH9" s="45">
        <v>652.19200000000001</v>
      </c>
      <c r="CI9" s="45">
        <v>654.55799999999999</v>
      </c>
      <c r="CJ9" s="45">
        <v>659.14700000000005</v>
      </c>
      <c r="CK9" s="45">
        <v>662.05799999999999</v>
      </c>
      <c r="CL9" s="45">
        <v>665.65300000000002</v>
      </c>
      <c r="CM9" s="45">
        <v>669.58799999999997</v>
      </c>
      <c r="CN9" s="45">
        <v>673.34100000000001</v>
      </c>
      <c r="CO9" s="45">
        <v>677.29</v>
      </c>
      <c r="CP9" s="45">
        <v>682.173</v>
      </c>
      <c r="CQ9" s="45">
        <v>686.04300000000001</v>
      </c>
      <c r="CR9" s="45">
        <v>691.00099999999998</v>
      </c>
      <c r="CS9" s="49">
        <v>694.87300000000005</v>
      </c>
      <c r="CT9" s="45">
        <v>698.96600000000001</v>
      </c>
      <c r="CU9" s="45">
        <v>702.697</v>
      </c>
      <c r="CV9" s="45">
        <v>708.01199999999994</v>
      </c>
      <c r="CW9" s="45">
        <v>711.38199999999995</v>
      </c>
      <c r="CX9" s="45">
        <v>714.82600000000002</v>
      </c>
      <c r="CY9" s="45">
        <v>719.59699999999998</v>
      </c>
      <c r="CZ9" s="45">
        <v>723.92100000000005</v>
      </c>
      <c r="DA9" s="45">
        <v>729.03200000000004</v>
      </c>
      <c r="DB9" s="45">
        <v>733.53300000000002</v>
      </c>
      <c r="DC9" s="45">
        <v>738.57899999999995</v>
      </c>
      <c r="DD9" s="45">
        <v>743.55200000000002</v>
      </c>
      <c r="DE9" s="49">
        <v>749.18799999999999</v>
      </c>
      <c r="DF9" s="45">
        <v>755.51499999999999</v>
      </c>
      <c r="DG9" s="45">
        <v>765.51300000000003</v>
      </c>
      <c r="DH9" s="45">
        <v>804.25199999999995</v>
      </c>
      <c r="DI9" s="45">
        <v>805.803</v>
      </c>
      <c r="DJ9" s="45">
        <v>807.40599999999995</v>
      </c>
      <c r="DK9" s="45">
        <v>809.38699999999994</v>
      </c>
      <c r="DL9" s="45">
        <v>811.70299999999997</v>
      </c>
      <c r="DM9" s="45">
        <v>814.99099999999999</v>
      </c>
      <c r="DN9" s="45">
        <v>818.31299999999999</v>
      </c>
      <c r="DO9" s="45">
        <v>821.54100000000005</v>
      </c>
      <c r="DP9" s="45">
        <v>825.15200000000004</v>
      </c>
      <c r="DQ9" s="49">
        <v>827.50400000000002</v>
      </c>
      <c r="DR9" s="45">
        <v>831.03899999999999</v>
      </c>
      <c r="DS9" s="45">
        <v>834.73400000000004</v>
      </c>
      <c r="DT9" s="45">
        <v>840.33199999999999</v>
      </c>
      <c r="DU9" s="45">
        <v>841.57399999999996</v>
      </c>
      <c r="DV9" s="45">
        <v>842.59400000000005</v>
      </c>
      <c r="DW9" s="45">
        <v>845.25300000000004</v>
      </c>
      <c r="DX9" s="45">
        <v>848.39</v>
      </c>
      <c r="DY9" s="45">
        <v>850.97199999999998</v>
      </c>
      <c r="DZ9" s="45">
        <v>855.10500000000002</v>
      </c>
      <c r="EA9" s="45">
        <v>858.86900000000003</v>
      </c>
      <c r="EB9" s="45">
        <v>863.12400000000002</v>
      </c>
      <c r="EC9" s="49">
        <v>866.07399999999996</v>
      </c>
      <c r="ED9" s="45">
        <v>869.06100000000004</v>
      </c>
      <c r="EE9" s="45">
        <v>872.53300000000002</v>
      </c>
      <c r="EF9" s="45">
        <v>877.31399999999996</v>
      </c>
      <c r="EG9" s="45">
        <v>881.05100000000004</v>
      </c>
      <c r="EH9" s="45">
        <v>884.82</v>
      </c>
      <c r="EI9" s="45">
        <v>888.18799999999999</v>
      </c>
      <c r="EJ9" s="45">
        <v>892.92600000000004</v>
      </c>
      <c r="EK9" s="45">
        <v>898.13900000000001</v>
      </c>
      <c r="EL9" s="45">
        <v>903.44799999999998</v>
      </c>
      <c r="EM9" s="45">
        <v>908.44</v>
      </c>
      <c r="EN9" s="45">
        <v>914.93700000000001</v>
      </c>
      <c r="EO9" s="82">
        <v>918.32100000000003</v>
      </c>
      <c r="EP9" s="45">
        <v>923.01099999999997</v>
      </c>
      <c r="EQ9" s="45">
        <v>928.149</v>
      </c>
      <c r="ER9" s="45">
        <v>936.05100000000004</v>
      </c>
      <c r="ES9" s="45">
        <v>941.91099999999994</v>
      </c>
      <c r="ET9" s="45">
        <v>950.053</v>
      </c>
      <c r="EU9" s="45">
        <v>957.00699999999995</v>
      </c>
      <c r="EV9" s="45">
        <v>964.40499999999997</v>
      </c>
      <c r="EW9" s="45">
        <v>972.61099999999999</v>
      </c>
      <c r="EX9" s="45">
        <v>980.93899999999996</v>
      </c>
      <c r="EY9" s="45">
        <v>989.67399999999998</v>
      </c>
      <c r="EZ9" s="45">
        <v>1000.307</v>
      </c>
      <c r="FA9" s="82">
        <v>1008.284</v>
      </c>
      <c r="FB9" s="45">
        <v>1018.731</v>
      </c>
      <c r="FC9" s="45">
        <v>1031.8040000000001</v>
      </c>
      <c r="FD9" s="45">
        <v>1047.5609999999999</v>
      </c>
      <c r="FE9" s="45">
        <v>1061.2919999999999</v>
      </c>
      <c r="FF9" s="45">
        <v>1078.816</v>
      </c>
      <c r="FG9" s="45">
        <v>1099.0740000000001</v>
      </c>
      <c r="FH9" s="45">
        <v>1116.076</v>
      </c>
      <c r="FI9" s="45">
        <v>1133.1610000000001</v>
      </c>
      <c r="FJ9" s="45">
        <v>1152.145</v>
      </c>
      <c r="FK9" s="155">
        <v>1168.4059999999999</v>
      </c>
      <c r="FL9" s="155">
        <v>1185.2940000000001</v>
      </c>
      <c r="FM9" s="155">
        <v>1195.7260000000001</v>
      </c>
      <c r="FN9" s="69">
        <v>1210.549</v>
      </c>
      <c r="FO9" s="155">
        <v>1223.8820000000001</v>
      </c>
      <c r="FP9" s="155">
        <v>1239.616</v>
      </c>
      <c r="FQ9" s="155">
        <v>1255.3630000000001</v>
      </c>
      <c r="FR9" s="155">
        <v>1273.67</v>
      </c>
      <c r="FS9" s="155">
        <v>1290.7950000000001</v>
      </c>
      <c r="FT9" s="155">
        <v>1309.538</v>
      </c>
      <c r="FU9" s="178">
        <v>1327.3130000000001</v>
      </c>
      <c r="FV9" s="178">
        <v>1344.579</v>
      </c>
      <c r="FW9" s="178">
        <v>1362.2260000000001</v>
      </c>
      <c r="FX9" s="178">
        <v>1380.4580000000001</v>
      </c>
      <c r="FY9" s="180">
        <v>1392.864</v>
      </c>
      <c r="FZ9" s="178">
        <v>1409.9839999999999</v>
      </c>
      <c r="GA9" s="178">
        <v>1430.308</v>
      </c>
      <c r="GB9" s="178">
        <v>1452.356</v>
      </c>
      <c r="GC9" s="178">
        <v>1473.3019999999999</v>
      </c>
      <c r="GD9" s="178">
        <v>1496.3889999999999</v>
      </c>
      <c r="GE9" s="178">
        <v>1518.172</v>
      </c>
      <c r="GF9" s="178">
        <v>1541.7840000000001</v>
      </c>
      <c r="GG9" s="178">
        <v>1563.1869999999999</v>
      </c>
      <c r="GH9" s="178">
        <v>1587.625</v>
      </c>
      <c r="GI9" s="178">
        <v>1611.5809999999999</v>
      </c>
      <c r="GJ9" s="178">
        <v>1632.4369999999999</v>
      </c>
      <c r="GK9" s="180">
        <v>1650.431</v>
      </c>
      <c r="GL9" s="178">
        <v>1671.0350000000001</v>
      </c>
      <c r="GM9" s="178">
        <v>1694.981</v>
      </c>
      <c r="GN9" s="178">
        <v>1725.173</v>
      </c>
      <c r="GO9" s="178">
        <v>1751.8689999999999</v>
      </c>
      <c r="GP9" s="178">
        <v>1771.864</v>
      </c>
    </row>
    <row r="10" spans="1:198" s="1" customFormat="1" ht="20.149999999999999" customHeight="1" x14ac:dyDescent="0.35">
      <c r="A10" s="31" t="s">
        <v>1627</v>
      </c>
      <c r="B10" s="45">
        <v>1.133</v>
      </c>
      <c r="C10" s="45">
        <v>1.133</v>
      </c>
      <c r="D10" s="45">
        <v>1.133</v>
      </c>
      <c r="E10" s="45">
        <v>1.133</v>
      </c>
      <c r="F10" s="45">
        <v>1.3009999999999999</v>
      </c>
      <c r="G10" s="45">
        <v>2.101</v>
      </c>
      <c r="H10" s="45">
        <v>2.2509999999999999</v>
      </c>
      <c r="I10" s="45">
        <v>2.2509999999999999</v>
      </c>
      <c r="J10" s="45">
        <v>2.2509999999999999</v>
      </c>
      <c r="K10" s="45">
        <v>2.6989999999999998</v>
      </c>
      <c r="L10" s="45">
        <v>2.75</v>
      </c>
      <c r="M10" s="49">
        <v>2.8969999999999998</v>
      </c>
      <c r="N10" s="50">
        <v>2.8969999999999998</v>
      </c>
      <c r="O10" s="45">
        <v>3.4209999999999998</v>
      </c>
      <c r="P10" s="45">
        <v>4.2380000000000004</v>
      </c>
      <c r="Q10" s="45">
        <v>10.138999999999999</v>
      </c>
      <c r="R10" s="45">
        <v>11.798</v>
      </c>
      <c r="S10" s="45">
        <v>17.247</v>
      </c>
      <c r="T10" s="45">
        <v>139.82599999999999</v>
      </c>
      <c r="U10" s="45">
        <v>140.78100000000001</v>
      </c>
      <c r="V10" s="45">
        <v>156.404</v>
      </c>
      <c r="W10" s="45">
        <v>212.83099999999999</v>
      </c>
      <c r="X10" s="45">
        <v>214.464</v>
      </c>
      <c r="Y10" s="49">
        <v>222.828</v>
      </c>
      <c r="Z10" s="50">
        <v>222.98699999999999</v>
      </c>
      <c r="AA10" s="45">
        <v>226.87100000000001</v>
      </c>
      <c r="AB10" s="45">
        <v>237.54900000000001</v>
      </c>
      <c r="AC10" s="45">
        <v>238.36199999999999</v>
      </c>
      <c r="AD10" s="45">
        <v>239.48400000000001</v>
      </c>
      <c r="AE10" s="45">
        <v>255.54900000000001</v>
      </c>
      <c r="AF10" s="45">
        <v>332.488</v>
      </c>
      <c r="AG10" s="45">
        <v>335.31599999999997</v>
      </c>
      <c r="AH10" s="45">
        <v>336.98399999999998</v>
      </c>
      <c r="AI10" s="45">
        <v>340.86500000000001</v>
      </c>
      <c r="AJ10" s="45">
        <v>349.964</v>
      </c>
      <c r="AK10" s="49">
        <v>352.09300000000002</v>
      </c>
      <c r="AL10" s="50">
        <v>357.94299999999998</v>
      </c>
      <c r="AM10" s="45">
        <v>362.40699999999998</v>
      </c>
      <c r="AN10" s="45">
        <v>465.38900000000001</v>
      </c>
      <c r="AO10" s="45">
        <v>491.91699999999997</v>
      </c>
      <c r="AP10" s="45">
        <v>503.65499999999997</v>
      </c>
      <c r="AQ10" s="45">
        <v>518.17399999999998</v>
      </c>
      <c r="AR10" s="45">
        <v>532.851</v>
      </c>
      <c r="AS10" s="45">
        <v>549.86599999999999</v>
      </c>
      <c r="AT10" s="45">
        <v>560.64099999999996</v>
      </c>
      <c r="AU10" s="45">
        <v>573.18100000000004</v>
      </c>
      <c r="AV10" s="45">
        <v>581.32299999999998</v>
      </c>
      <c r="AW10" s="49">
        <v>597.08299999999997</v>
      </c>
      <c r="AX10" s="45">
        <v>611.36500000000001</v>
      </c>
      <c r="AY10" s="45">
        <v>630.97900000000004</v>
      </c>
      <c r="AZ10" s="45">
        <v>722.92</v>
      </c>
      <c r="BA10" s="45">
        <v>738.09199999999998</v>
      </c>
      <c r="BB10" s="45">
        <v>756.10299999999995</v>
      </c>
      <c r="BC10" s="45">
        <v>797.31200000000001</v>
      </c>
      <c r="BD10" s="45">
        <v>816.40899999999999</v>
      </c>
      <c r="BE10" s="45">
        <v>832.19200000000001</v>
      </c>
      <c r="BF10" s="45">
        <v>848.96100000000001</v>
      </c>
      <c r="BG10" s="45">
        <v>865.47900000000004</v>
      </c>
      <c r="BH10" s="45">
        <v>883.91</v>
      </c>
      <c r="BI10" s="49">
        <v>924.32600000000002</v>
      </c>
      <c r="BJ10" s="45">
        <v>934.88900000000001</v>
      </c>
      <c r="BK10" s="45">
        <v>953.92499999999995</v>
      </c>
      <c r="BL10" s="45">
        <v>1074.6379999999999</v>
      </c>
      <c r="BM10" s="45">
        <v>1085.0329999999999</v>
      </c>
      <c r="BN10" s="45">
        <v>1107.5619999999999</v>
      </c>
      <c r="BO10" s="45">
        <v>1172.73</v>
      </c>
      <c r="BP10" s="45">
        <v>1202.5719999999999</v>
      </c>
      <c r="BQ10" s="45">
        <v>1239.7239999999999</v>
      </c>
      <c r="BR10" s="45">
        <v>1285.2750000000001</v>
      </c>
      <c r="BS10" s="45">
        <v>1362.4469999999999</v>
      </c>
      <c r="BT10" s="45">
        <v>1446.28</v>
      </c>
      <c r="BU10" s="49">
        <v>1946.8679999999999</v>
      </c>
      <c r="BV10" s="45">
        <v>2016.425</v>
      </c>
      <c r="BW10" s="45">
        <v>2077.5039999999999</v>
      </c>
      <c r="BX10" s="45">
        <v>2595.66</v>
      </c>
      <c r="BY10" s="45">
        <v>2640.4490000000001</v>
      </c>
      <c r="BZ10" s="45">
        <v>2672.375</v>
      </c>
      <c r="CA10" s="45">
        <v>2830.4490000000001</v>
      </c>
      <c r="CB10" s="45">
        <v>2844.674</v>
      </c>
      <c r="CC10" s="45">
        <v>2873.1280000000002</v>
      </c>
      <c r="CD10" s="45">
        <v>2900.346</v>
      </c>
      <c r="CE10" s="45">
        <v>2926.3290000000002</v>
      </c>
      <c r="CF10" s="45">
        <v>2957.3649999999998</v>
      </c>
      <c r="CG10" s="49">
        <v>2997.886</v>
      </c>
      <c r="CH10" s="45">
        <v>3006.4760000000001</v>
      </c>
      <c r="CI10" s="45">
        <v>3058.5680000000002</v>
      </c>
      <c r="CJ10" s="45">
        <v>3423.1260000000002</v>
      </c>
      <c r="CK10" s="45">
        <v>3433.0520000000001</v>
      </c>
      <c r="CL10" s="45">
        <v>3439.7370000000001</v>
      </c>
      <c r="CM10" s="45">
        <v>3444.9639999999999</v>
      </c>
      <c r="CN10" s="45">
        <v>3454.2460000000001</v>
      </c>
      <c r="CO10" s="45">
        <v>3459.7049999999999</v>
      </c>
      <c r="CP10" s="45">
        <v>3463.279</v>
      </c>
      <c r="CQ10" s="45">
        <v>3465.72</v>
      </c>
      <c r="CR10" s="45">
        <v>3467.64</v>
      </c>
      <c r="CS10" s="49">
        <v>3468.7750000000001</v>
      </c>
      <c r="CT10" s="45">
        <v>3470.4189999999999</v>
      </c>
      <c r="CU10" s="45">
        <v>3471.1750000000002</v>
      </c>
      <c r="CV10" s="45">
        <v>3474.3020000000001</v>
      </c>
      <c r="CW10" s="45">
        <v>3477.0859999999998</v>
      </c>
      <c r="CX10" s="45">
        <v>3481.3119999999999</v>
      </c>
      <c r="CY10" s="45">
        <v>3487.819</v>
      </c>
      <c r="CZ10" s="45">
        <v>3490.5410000000002</v>
      </c>
      <c r="DA10" s="45">
        <v>3493.0430000000001</v>
      </c>
      <c r="DB10" s="45">
        <v>3495.4580000000001</v>
      </c>
      <c r="DC10" s="45">
        <v>3497.5549999999998</v>
      </c>
      <c r="DD10" s="45">
        <v>3506.5369999999998</v>
      </c>
      <c r="DE10" s="49">
        <v>3513.8409999999999</v>
      </c>
      <c r="DF10" s="45">
        <v>3516.81</v>
      </c>
      <c r="DG10" s="45">
        <v>3520.3980000000001</v>
      </c>
      <c r="DH10" s="45">
        <v>3524.49</v>
      </c>
      <c r="DI10" s="45">
        <v>3537.145</v>
      </c>
      <c r="DJ10" s="45">
        <v>3537.8530000000001</v>
      </c>
      <c r="DK10" s="45">
        <v>3540.0970000000002</v>
      </c>
      <c r="DL10" s="45">
        <v>3542.6889999999999</v>
      </c>
      <c r="DM10" s="45">
        <v>3549.45</v>
      </c>
      <c r="DN10" s="45">
        <v>3564.328</v>
      </c>
      <c r="DO10" s="45">
        <v>3565.462</v>
      </c>
      <c r="DP10" s="45">
        <v>3566.2220000000002</v>
      </c>
      <c r="DQ10" s="49">
        <v>3567.848</v>
      </c>
      <c r="DR10" s="45">
        <v>3576.598</v>
      </c>
      <c r="DS10" s="45">
        <v>3577.1979999999999</v>
      </c>
      <c r="DT10" s="45">
        <v>3579.5859999999998</v>
      </c>
      <c r="DU10" s="45">
        <v>3581.0369999999998</v>
      </c>
      <c r="DV10" s="45">
        <v>3581.2910000000002</v>
      </c>
      <c r="DW10" s="45">
        <v>3581.4409999999998</v>
      </c>
      <c r="DX10" s="45">
        <v>3588.2910000000002</v>
      </c>
      <c r="DY10" s="45">
        <v>3589.0410000000002</v>
      </c>
      <c r="DZ10" s="45">
        <v>3589.5410000000002</v>
      </c>
      <c r="EA10" s="45">
        <v>3593.491</v>
      </c>
      <c r="EB10" s="45">
        <v>3595.4409999999998</v>
      </c>
      <c r="EC10" s="49">
        <v>3598.7910000000002</v>
      </c>
      <c r="ED10" s="45">
        <v>3599.366</v>
      </c>
      <c r="EE10" s="45">
        <v>3601.1660000000002</v>
      </c>
      <c r="EF10" s="45">
        <v>3601.7159999999999</v>
      </c>
      <c r="EG10" s="45">
        <v>3602.0659999999998</v>
      </c>
      <c r="EH10" s="45">
        <v>3603.2159999999999</v>
      </c>
      <c r="EI10" s="45">
        <v>3604.616</v>
      </c>
      <c r="EJ10" s="45">
        <v>3610.7359999999999</v>
      </c>
      <c r="EK10" s="45">
        <v>3612.3150000000001</v>
      </c>
      <c r="EL10" s="45">
        <v>3619.51</v>
      </c>
      <c r="EM10" s="45">
        <v>3623.375</v>
      </c>
      <c r="EN10" s="45">
        <v>3625.875</v>
      </c>
      <c r="EO10" s="82">
        <v>3630.0590000000002</v>
      </c>
      <c r="EP10" s="45">
        <v>3650.2130000000002</v>
      </c>
      <c r="EQ10" s="45">
        <v>3653.6880000000001</v>
      </c>
      <c r="ER10" s="45">
        <v>3665.21</v>
      </c>
      <c r="ES10" s="45">
        <v>3672.5720000000001</v>
      </c>
      <c r="ET10" s="45">
        <v>3679.9009999999998</v>
      </c>
      <c r="EU10" s="45">
        <v>3683.5250000000001</v>
      </c>
      <c r="EV10" s="45">
        <v>3690.3629999999998</v>
      </c>
      <c r="EW10" s="45">
        <v>3691.7240000000002</v>
      </c>
      <c r="EX10" s="45">
        <v>3695.1469999999999</v>
      </c>
      <c r="EY10" s="45">
        <v>3701.0590000000002</v>
      </c>
      <c r="EZ10" s="45">
        <v>3706.1869999999999</v>
      </c>
      <c r="FA10" s="82">
        <v>3713.924</v>
      </c>
      <c r="FB10" s="45">
        <v>3716.8690000000001</v>
      </c>
      <c r="FC10" s="45">
        <v>3724.625</v>
      </c>
      <c r="FD10" s="45">
        <v>3738.7060000000001</v>
      </c>
      <c r="FE10" s="45">
        <v>3743.165</v>
      </c>
      <c r="FF10" s="45">
        <v>3748.1880000000001</v>
      </c>
      <c r="FG10" s="45">
        <v>3757.99</v>
      </c>
      <c r="FH10" s="45">
        <v>3765.6889999999999</v>
      </c>
      <c r="FI10" s="45">
        <v>3771.672</v>
      </c>
      <c r="FJ10" s="45">
        <v>3779.9929999999999</v>
      </c>
      <c r="FK10" s="155">
        <v>3791.3389999999999</v>
      </c>
      <c r="FL10" s="155">
        <v>3797.3649999999998</v>
      </c>
      <c r="FM10" s="155">
        <v>3800.9969999999998</v>
      </c>
      <c r="FN10" s="69">
        <v>3813.7829999999999</v>
      </c>
      <c r="FO10" s="155">
        <v>3819.0030000000002</v>
      </c>
      <c r="FP10" s="155">
        <v>3830.027</v>
      </c>
      <c r="FQ10" s="155">
        <v>3833.0070000000001</v>
      </c>
      <c r="FR10" s="155">
        <v>3841.105</v>
      </c>
      <c r="FS10" s="155">
        <v>3848.3049999999998</v>
      </c>
      <c r="FT10" s="155">
        <v>3857.248</v>
      </c>
      <c r="FU10" s="178">
        <v>3861.0169999999998</v>
      </c>
      <c r="FV10" s="178">
        <v>3864.7089999999998</v>
      </c>
      <c r="FW10" s="178">
        <v>3869.9760000000001</v>
      </c>
      <c r="FX10" s="178">
        <v>3875.116</v>
      </c>
      <c r="FY10" s="180">
        <v>3876.116</v>
      </c>
      <c r="FZ10" s="178">
        <v>3878.1419999999998</v>
      </c>
      <c r="GA10" s="178">
        <v>3880.98</v>
      </c>
      <c r="GB10" s="178">
        <v>3884.5619999999999</v>
      </c>
      <c r="GC10" s="178">
        <v>3887.5770000000002</v>
      </c>
      <c r="GD10" s="178">
        <v>3894.7280000000001</v>
      </c>
      <c r="GE10" s="178">
        <v>3899.6640000000002</v>
      </c>
      <c r="GF10" s="178">
        <v>3912.92</v>
      </c>
      <c r="GG10" s="178">
        <v>3917.547</v>
      </c>
      <c r="GH10" s="178">
        <v>3921.857</v>
      </c>
      <c r="GI10" s="178">
        <v>3929.4670000000001</v>
      </c>
      <c r="GJ10" s="178">
        <v>3936.672</v>
      </c>
      <c r="GK10" s="180">
        <v>3950.7719999999999</v>
      </c>
      <c r="GL10" s="178">
        <v>3953.5210000000002</v>
      </c>
      <c r="GM10" s="178">
        <v>3955.65</v>
      </c>
      <c r="GN10" s="178">
        <v>3957.75</v>
      </c>
      <c r="GO10" s="178">
        <v>3959.2</v>
      </c>
      <c r="GP10" s="178">
        <v>3959.95</v>
      </c>
    </row>
    <row r="11" spans="1:198" s="1" customFormat="1" ht="20.149999999999999" customHeight="1" x14ac:dyDescent="0.35">
      <c r="A11" s="31" t="s">
        <v>1624</v>
      </c>
      <c r="B11" s="45">
        <v>0</v>
      </c>
      <c r="C11" s="45">
        <v>0</v>
      </c>
      <c r="D11" s="45">
        <v>0</v>
      </c>
      <c r="E11" s="45">
        <v>0</v>
      </c>
      <c r="F11" s="45">
        <v>0</v>
      </c>
      <c r="G11" s="45">
        <v>0</v>
      </c>
      <c r="H11" s="45">
        <v>0</v>
      </c>
      <c r="I11" s="45">
        <v>0</v>
      </c>
      <c r="J11" s="45">
        <v>0</v>
      </c>
      <c r="K11" s="45">
        <v>0</v>
      </c>
      <c r="L11" s="45">
        <v>0</v>
      </c>
      <c r="M11" s="49">
        <v>0</v>
      </c>
      <c r="N11" s="50">
        <v>0</v>
      </c>
      <c r="O11" s="45">
        <v>0</v>
      </c>
      <c r="P11" s="45">
        <v>0</v>
      </c>
      <c r="Q11" s="45">
        <v>0</v>
      </c>
      <c r="R11" s="45">
        <v>0</v>
      </c>
      <c r="S11" s="45">
        <v>0</v>
      </c>
      <c r="T11" s="45">
        <v>0</v>
      </c>
      <c r="U11" s="45">
        <v>0</v>
      </c>
      <c r="V11" s="45">
        <v>0</v>
      </c>
      <c r="W11" s="45">
        <v>0</v>
      </c>
      <c r="X11" s="45">
        <v>0</v>
      </c>
      <c r="Y11" s="49">
        <v>0</v>
      </c>
      <c r="Z11" s="50">
        <v>6</v>
      </c>
      <c r="AA11" s="45">
        <v>6</v>
      </c>
      <c r="AB11" s="45">
        <v>6</v>
      </c>
      <c r="AC11" s="45">
        <v>6</v>
      </c>
      <c r="AD11" s="45">
        <v>6</v>
      </c>
      <c r="AE11" s="45">
        <v>6</v>
      </c>
      <c r="AF11" s="45">
        <v>6</v>
      </c>
      <c r="AG11" s="45">
        <v>6</v>
      </c>
      <c r="AH11" s="45">
        <v>6</v>
      </c>
      <c r="AI11" s="45">
        <v>6</v>
      </c>
      <c r="AJ11" s="45">
        <v>6</v>
      </c>
      <c r="AK11" s="49">
        <v>6</v>
      </c>
      <c r="AL11" s="50">
        <v>6</v>
      </c>
      <c r="AM11" s="45">
        <v>45.012</v>
      </c>
      <c r="AN11" s="45">
        <v>272.49900000000002</v>
      </c>
      <c r="AO11" s="45">
        <v>272.49900000000002</v>
      </c>
      <c r="AP11" s="45">
        <v>296.28300000000002</v>
      </c>
      <c r="AQ11" s="45">
        <v>349.51299999999998</v>
      </c>
      <c r="AR11" s="45">
        <v>349.51299999999998</v>
      </c>
      <c r="AS11" s="45">
        <v>368.68799999999999</v>
      </c>
      <c r="AT11" s="45">
        <v>368.68799999999999</v>
      </c>
      <c r="AU11" s="45">
        <v>368.68799999999999</v>
      </c>
      <c r="AV11" s="45">
        <v>423.68799999999999</v>
      </c>
      <c r="AW11" s="49">
        <v>445.23200000000003</v>
      </c>
      <c r="AX11" s="45">
        <v>522.36</v>
      </c>
      <c r="AY11" s="45">
        <v>554.51599999999996</v>
      </c>
      <c r="AZ11" s="45">
        <v>1400.913</v>
      </c>
      <c r="BA11" s="45">
        <v>1409.904</v>
      </c>
      <c r="BB11" s="45">
        <v>1460.3620000000001</v>
      </c>
      <c r="BC11" s="45">
        <v>1515.2339999999999</v>
      </c>
      <c r="BD11" s="45">
        <v>1588.1410000000001</v>
      </c>
      <c r="BE11" s="45">
        <v>1594.2139999999999</v>
      </c>
      <c r="BF11" s="45">
        <v>1661.1849999999999</v>
      </c>
      <c r="BG11" s="45">
        <v>1701.164</v>
      </c>
      <c r="BH11" s="45">
        <v>1774.3140000000001</v>
      </c>
      <c r="BI11" s="49">
        <v>1893.9839999999999</v>
      </c>
      <c r="BJ11" s="45">
        <v>1953.204</v>
      </c>
      <c r="BK11" s="45">
        <v>2058.9949999999999</v>
      </c>
      <c r="BL11" s="45">
        <v>3596.6210000000001</v>
      </c>
      <c r="BM11" s="45">
        <v>3596.6210000000001</v>
      </c>
      <c r="BN11" s="45">
        <v>3596.6210000000001</v>
      </c>
      <c r="BO11" s="45">
        <v>3602.241</v>
      </c>
      <c r="BP11" s="45">
        <v>3613.2919999999999</v>
      </c>
      <c r="BQ11" s="45">
        <v>3647.6060000000002</v>
      </c>
      <c r="BR11" s="45">
        <v>3647.6060000000002</v>
      </c>
      <c r="BS11" s="45">
        <v>3678.098</v>
      </c>
      <c r="BT11" s="45">
        <v>3720.444</v>
      </c>
      <c r="BU11" s="49">
        <v>3775.3470000000002</v>
      </c>
      <c r="BV11" s="45">
        <v>3802.4180000000001</v>
      </c>
      <c r="BW11" s="45">
        <v>3835.288</v>
      </c>
      <c r="BX11" s="45">
        <v>4065.373</v>
      </c>
      <c r="BY11" s="45">
        <v>4075.9929999999999</v>
      </c>
      <c r="BZ11" s="45">
        <v>4075.9929999999999</v>
      </c>
      <c r="CA11" s="45">
        <v>4121.8329999999996</v>
      </c>
      <c r="CB11" s="45">
        <v>4136.433</v>
      </c>
      <c r="CC11" s="45">
        <v>4155.8329999999996</v>
      </c>
      <c r="CD11" s="45">
        <v>4155.8329999999996</v>
      </c>
      <c r="CE11" s="45">
        <v>4160.8329999999996</v>
      </c>
      <c r="CF11" s="45">
        <v>4160.8329999999996</v>
      </c>
      <c r="CG11" s="49">
        <v>4185.8329999999996</v>
      </c>
      <c r="CH11" s="45">
        <v>4207.8329999999996</v>
      </c>
      <c r="CI11" s="45">
        <v>4212.8329999999996</v>
      </c>
      <c r="CJ11" s="45">
        <v>4312.473</v>
      </c>
      <c r="CK11" s="45">
        <v>4312.473</v>
      </c>
      <c r="CL11" s="45">
        <v>4312.473</v>
      </c>
      <c r="CM11" s="45">
        <v>4312.473</v>
      </c>
      <c r="CN11" s="45">
        <v>4321.0129999999999</v>
      </c>
      <c r="CO11" s="45">
        <v>4321.0129999999999</v>
      </c>
      <c r="CP11" s="45">
        <v>4321.0129999999999</v>
      </c>
      <c r="CQ11" s="45">
        <v>4331.7129999999997</v>
      </c>
      <c r="CR11" s="45">
        <v>4331.7129999999997</v>
      </c>
      <c r="CS11" s="49">
        <v>4331.7129999999997</v>
      </c>
      <c r="CT11" s="45">
        <v>4331.7129999999997</v>
      </c>
      <c r="CU11" s="45">
        <v>4331.7129999999997</v>
      </c>
      <c r="CV11" s="45">
        <v>4331.7129999999997</v>
      </c>
      <c r="CW11" s="45">
        <v>4331.7129999999997</v>
      </c>
      <c r="CX11" s="45">
        <v>4331.7129999999997</v>
      </c>
      <c r="CY11" s="45">
        <v>4331.7129999999997</v>
      </c>
      <c r="CZ11" s="45">
        <v>4331.7129999999997</v>
      </c>
      <c r="DA11" s="45">
        <v>4331.7129999999997</v>
      </c>
      <c r="DB11" s="45">
        <v>4331.7129999999997</v>
      </c>
      <c r="DC11" s="45">
        <v>4339.2129999999997</v>
      </c>
      <c r="DD11" s="45">
        <v>4339.2129999999997</v>
      </c>
      <c r="DE11" s="49">
        <v>4344.2129999999997</v>
      </c>
      <c r="DF11" s="45">
        <v>4344.2129999999997</v>
      </c>
      <c r="DG11" s="45">
        <v>4344.2129999999997</v>
      </c>
      <c r="DH11" s="45">
        <v>4344.2129999999997</v>
      </c>
      <c r="DI11" s="45">
        <v>4344.2129999999997</v>
      </c>
      <c r="DJ11" s="45">
        <v>4344.2129999999997</v>
      </c>
      <c r="DK11" s="45">
        <v>4344.2129999999997</v>
      </c>
      <c r="DL11" s="45">
        <v>4351.4129999999996</v>
      </c>
      <c r="DM11" s="45">
        <v>4351.4129999999996</v>
      </c>
      <c r="DN11" s="45">
        <v>4351.4129999999996</v>
      </c>
      <c r="DO11" s="45">
        <v>4351.4129999999996</v>
      </c>
      <c r="DP11" s="45">
        <v>4351.4129999999996</v>
      </c>
      <c r="DQ11" s="49">
        <v>4351.4129999999996</v>
      </c>
      <c r="DR11" s="45">
        <v>4370.7209999999995</v>
      </c>
      <c r="DS11" s="45">
        <v>4375.7209999999995</v>
      </c>
      <c r="DT11" s="45">
        <v>4375.7209999999995</v>
      </c>
      <c r="DU11" s="45">
        <v>4375.7209999999995</v>
      </c>
      <c r="DV11" s="45">
        <v>4384.6210000000001</v>
      </c>
      <c r="DW11" s="45">
        <v>4384.6210000000001</v>
      </c>
      <c r="DX11" s="45">
        <v>4384.6210000000001</v>
      </c>
      <c r="DY11" s="45">
        <v>4389.6210000000001</v>
      </c>
      <c r="DZ11" s="45">
        <v>4389.6210000000001</v>
      </c>
      <c r="EA11" s="45">
        <v>4389.6210000000001</v>
      </c>
      <c r="EB11" s="45">
        <v>4389.6210000000001</v>
      </c>
      <c r="EC11" s="49">
        <v>4401.6459999999997</v>
      </c>
      <c r="ED11" s="45">
        <v>4409.6459999999997</v>
      </c>
      <c r="EE11" s="45">
        <v>4409.6459999999997</v>
      </c>
      <c r="EF11" s="45">
        <v>4417.6459999999997</v>
      </c>
      <c r="EG11" s="45">
        <v>4417.6459999999997</v>
      </c>
      <c r="EH11" s="45">
        <v>4424.6459999999997</v>
      </c>
      <c r="EI11" s="45">
        <v>4438.6459999999997</v>
      </c>
      <c r="EJ11" s="45">
        <v>4438.6459999999997</v>
      </c>
      <c r="EK11" s="45">
        <v>4438.6459999999997</v>
      </c>
      <c r="EL11" s="45">
        <v>4438.6459999999997</v>
      </c>
      <c r="EM11" s="45">
        <v>4438.6459999999997</v>
      </c>
      <c r="EN11" s="45">
        <v>4438.6459999999997</v>
      </c>
      <c r="EO11" s="82">
        <v>4438.6459999999997</v>
      </c>
      <c r="EP11" s="45">
        <v>4481.2730000000001</v>
      </c>
      <c r="EQ11" s="45">
        <v>4481.2730000000001</v>
      </c>
      <c r="ER11" s="45">
        <v>4481.2730000000001</v>
      </c>
      <c r="ES11" s="45">
        <v>4481.2730000000001</v>
      </c>
      <c r="ET11" s="45">
        <v>4486.2730000000001</v>
      </c>
      <c r="EU11" s="45">
        <v>4486.2730000000001</v>
      </c>
      <c r="EV11" s="45">
        <v>4501.4430000000002</v>
      </c>
      <c r="EW11" s="45">
        <v>4501.4430000000002</v>
      </c>
      <c r="EX11" s="45">
        <v>4519.4430000000002</v>
      </c>
      <c r="EY11" s="45">
        <v>4562.4430000000002</v>
      </c>
      <c r="EZ11" s="45">
        <v>4562.4430000000002</v>
      </c>
      <c r="FA11" s="82">
        <v>4580.6729999999998</v>
      </c>
      <c r="FB11" s="45">
        <v>4652.0230000000001</v>
      </c>
      <c r="FC11" s="45">
        <v>4702.7290000000003</v>
      </c>
      <c r="FD11" s="45">
        <v>4740.3789999999999</v>
      </c>
      <c r="FE11" s="45">
        <v>4745.3789999999999</v>
      </c>
      <c r="FF11" s="45">
        <v>4767.2290000000003</v>
      </c>
      <c r="FG11" s="45">
        <v>4787.2290000000003</v>
      </c>
      <c r="FH11" s="45">
        <v>4787.2290000000003</v>
      </c>
      <c r="FI11" s="45">
        <v>4787.2290000000003</v>
      </c>
      <c r="FJ11" s="45">
        <v>4796.9189999999999</v>
      </c>
      <c r="FK11" s="155">
        <v>4834.0690000000004</v>
      </c>
      <c r="FL11" s="155">
        <v>4872.9690000000001</v>
      </c>
      <c r="FM11" s="155">
        <v>4872.9690000000001</v>
      </c>
      <c r="FN11" s="69">
        <v>4909.7439999999997</v>
      </c>
      <c r="FO11" s="155">
        <v>4909.7439999999997</v>
      </c>
      <c r="FP11" s="155">
        <v>4962.4780000000001</v>
      </c>
      <c r="FQ11" s="155">
        <v>4962.4780000000001</v>
      </c>
      <c r="FR11" s="67">
        <v>4962.4780000000001</v>
      </c>
      <c r="FS11" s="67">
        <v>5005.8680000000004</v>
      </c>
      <c r="FT11" s="67">
        <v>5005.8680000000004</v>
      </c>
      <c r="FU11" s="178">
        <v>5005.8680000000004</v>
      </c>
      <c r="FV11" s="178">
        <v>5005.8680000000004</v>
      </c>
      <c r="FW11" s="178">
        <v>5029.1000000000004</v>
      </c>
      <c r="FX11" s="178">
        <v>5029.1000000000004</v>
      </c>
      <c r="FY11" s="180">
        <v>5039.1000000000004</v>
      </c>
      <c r="FZ11" s="178">
        <v>5067.37</v>
      </c>
      <c r="GA11" s="178">
        <v>5077.37</v>
      </c>
      <c r="GB11" s="178">
        <v>5077.37</v>
      </c>
      <c r="GC11" s="178">
        <v>5077.37</v>
      </c>
      <c r="GD11" s="178">
        <v>5108.32</v>
      </c>
      <c r="GE11" s="178">
        <v>5127.32</v>
      </c>
      <c r="GF11" s="178">
        <v>5127.32</v>
      </c>
      <c r="GG11" s="178">
        <v>5145.32</v>
      </c>
      <c r="GH11" s="178">
        <v>5145.32</v>
      </c>
      <c r="GI11" s="178">
        <v>5152.2700000000004</v>
      </c>
      <c r="GJ11" s="178">
        <v>5152.2700000000004</v>
      </c>
      <c r="GK11" s="180">
        <v>5152.2700000000004</v>
      </c>
      <c r="GL11" s="178">
        <v>5152.2700000000004</v>
      </c>
      <c r="GM11" s="178">
        <v>5152.2700000000004</v>
      </c>
      <c r="GN11" s="178">
        <v>5152.2700000000004</v>
      </c>
      <c r="GO11" s="178">
        <v>5152.2700000000004</v>
      </c>
      <c r="GP11" s="178">
        <v>5152.2700000000004</v>
      </c>
    </row>
    <row r="12" spans="1:198" s="1" customFormat="1" ht="20.149999999999999" customHeight="1" x14ac:dyDescent="0.4">
      <c r="A12" s="31" t="s">
        <v>1628</v>
      </c>
      <c r="B12" s="46">
        <v>0</v>
      </c>
      <c r="C12" s="46">
        <v>0</v>
      </c>
      <c r="D12" s="46">
        <v>0</v>
      </c>
      <c r="E12" s="46">
        <v>0</v>
      </c>
      <c r="F12" s="46">
        <v>0</v>
      </c>
      <c r="G12" s="46">
        <v>0</v>
      </c>
      <c r="H12" s="46">
        <v>0</v>
      </c>
      <c r="I12" s="46">
        <v>0</v>
      </c>
      <c r="J12" s="46">
        <v>0</v>
      </c>
      <c r="K12" s="46">
        <v>0</v>
      </c>
      <c r="L12" s="46">
        <v>0</v>
      </c>
      <c r="M12" s="48">
        <v>0</v>
      </c>
      <c r="N12" s="47">
        <v>0</v>
      </c>
      <c r="O12" s="46">
        <v>0</v>
      </c>
      <c r="P12" s="46">
        <v>0</v>
      </c>
      <c r="Q12" s="46">
        <v>0</v>
      </c>
      <c r="R12" s="46">
        <v>0</v>
      </c>
      <c r="S12" s="46">
        <v>0</v>
      </c>
      <c r="T12" s="46">
        <v>0</v>
      </c>
      <c r="U12" s="46">
        <v>0</v>
      </c>
      <c r="V12" s="46">
        <v>0</v>
      </c>
      <c r="W12" s="46">
        <v>0</v>
      </c>
      <c r="X12" s="46">
        <v>0</v>
      </c>
      <c r="Y12" s="48">
        <v>0</v>
      </c>
      <c r="Z12" s="47">
        <v>0</v>
      </c>
      <c r="AA12" s="46">
        <v>0</v>
      </c>
      <c r="AB12" s="46">
        <v>0</v>
      </c>
      <c r="AC12" s="46">
        <v>0</v>
      </c>
      <c r="AD12" s="46">
        <v>0</v>
      </c>
      <c r="AE12" s="46">
        <v>0</v>
      </c>
      <c r="AF12" s="46">
        <v>0</v>
      </c>
      <c r="AG12" s="46">
        <v>0</v>
      </c>
      <c r="AH12" s="46">
        <v>0</v>
      </c>
      <c r="AI12" s="46">
        <v>0</v>
      </c>
      <c r="AJ12" s="46">
        <v>0</v>
      </c>
      <c r="AK12" s="48">
        <v>0</v>
      </c>
      <c r="AL12" s="47">
        <v>0</v>
      </c>
      <c r="AM12" s="46">
        <v>0</v>
      </c>
      <c r="AN12" s="46">
        <v>34.47</v>
      </c>
      <c r="AO12" s="46">
        <v>34.47</v>
      </c>
      <c r="AP12" s="46">
        <v>34.47</v>
      </c>
      <c r="AQ12" s="46">
        <v>34.47</v>
      </c>
      <c r="AR12" s="46">
        <v>34.47</v>
      </c>
      <c r="AS12" s="46">
        <v>34.47</v>
      </c>
      <c r="AT12" s="46">
        <v>34.47</v>
      </c>
      <c r="AU12" s="46">
        <v>34.47</v>
      </c>
      <c r="AV12" s="46">
        <v>34.47</v>
      </c>
      <c r="AW12" s="48">
        <v>34.47</v>
      </c>
      <c r="AX12" s="46">
        <v>34.47</v>
      </c>
      <c r="AY12" s="46">
        <v>66.171000000000006</v>
      </c>
      <c r="AZ12" s="46">
        <v>97.760999999999996</v>
      </c>
      <c r="BA12" s="46">
        <v>129.77099999999999</v>
      </c>
      <c r="BB12" s="46">
        <v>129.77099999999999</v>
      </c>
      <c r="BC12" s="46">
        <v>129.77099999999999</v>
      </c>
      <c r="BD12" s="46">
        <v>162.221</v>
      </c>
      <c r="BE12" s="46">
        <v>162.221</v>
      </c>
      <c r="BF12" s="46">
        <v>236.06399999999999</v>
      </c>
      <c r="BG12" s="46">
        <v>296.745</v>
      </c>
      <c r="BH12" s="46">
        <v>296.745</v>
      </c>
      <c r="BI12" s="48">
        <v>383.32100000000003</v>
      </c>
      <c r="BJ12" s="46">
        <v>383.32100000000003</v>
      </c>
      <c r="BK12" s="46">
        <v>383.32100000000003</v>
      </c>
      <c r="BL12" s="46">
        <v>1030.6369999999999</v>
      </c>
      <c r="BM12" s="46">
        <v>1030.6369999999999</v>
      </c>
      <c r="BN12" s="46">
        <v>1030.6369999999999</v>
      </c>
      <c r="BO12" s="46">
        <v>1030.6369999999999</v>
      </c>
      <c r="BP12" s="46">
        <v>1030.6369999999999</v>
      </c>
      <c r="BQ12" s="46">
        <v>1030.6369999999999</v>
      </c>
      <c r="BR12" s="46">
        <v>1030.6369999999999</v>
      </c>
      <c r="BS12" s="46">
        <v>1030.6369999999999</v>
      </c>
      <c r="BT12" s="46">
        <v>1030.6369999999999</v>
      </c>
      <c r="BU12" s="48">
        <v>1030.6369999999999</v>
      </c>
      <c r="BV12" s="46">
        <v>1030.6369999999999</v>
      </c>
      <c r="BW12" s="46">
        <v>1030.6369999999999</v>
      </c>
      <c r="BX12" s="46">
        <v>1435.4369999999999</v>
      </c>
      <c r="BY12" s="46">
        <v>1435.4369999999999</v>
      </c>
      <c r="BZ12" s="46">
        <v>1435.4369999999999</v>
      </c>
      <c r="CA12" s="46">
        <v>1435.4369999999999</v>
      </c>
      <c r="CB12" s="46">
        <v>1435.4369999999999</v>
      </c>
      <c r="CC12" s="46">
        <v>1435.4369999999999</v>
      </c>
      <c r="CD12" s="46">
        <v>1435.4369999999999</v>
      </c>
      <c r="CE12" s="46">
        <v>1435.4369999999999</v>
      </c>
      <c r="CF12" s="46">
        <v>1435.4369999999999</v>
      </c>
      <c r="CG12" s="48">
        <v>1435.4369999999999</v>
      </c>
      <c r="CH12" s="45">
        <v>1435.4369999999999</v>
      </c>
      <c r="CI12" s="45">
        <v>1435.4369999999999</v>
      </c>
      <c r="CJ12" s="45">
        <v>1435.4369999999999</v>
      </c>
      <c r="CK12" s="45">
        <v>1435.4369999999999</v>
      </c>
      <c r="CL12" s="45">
        <v>1435.4369999999999</v>
      </c>
      <c r="CM12" s="45">
        <v>1435.4369999999999</v>
      </c>
      <c r="CN12" s="45">
        <v>1435.4369999999999</v>
      </c>
      <c r="CO12" s="45">
        <v>1435.4369999999999</v>
      </c>
      <c r="CP12" s="45">
        <v>1435.4369999999999</v>
      </c>
      <c r="CQ12" s="45">
        <v>1435.4369999999999</v>
      </c>
      <c r="CR12" s="45">
        <v>1435.4369999999999</v>
      </c>
      <c r="CS12" s="49">
        <v>1435.4369999999999</v>
      </c>
      <c r="CT12" s="45">
        <v>1435.4369999999999</v>
      </c>
      <c r="CU12" s="45">
        <v>1435.4369999999999</v>
      </c>
      <c r="CV12" s="45">
        <v>1435.4369999999999</v>
      </c>
      <c r="CW12" s="45">
        <v>1435.4369999999999</v>
      </c>
      <c r="CX12" s="45">
        <v>1435.4369999999999</v>
      </c>
      <c r="CY12" s="45">
        <v>1435.4369999999999</v>
      </c>
      <c r="CZ12" s="45">
        <v>1435.4369999999999</v>
      </c>
      <c r="DA12" s="45">
        <v>1435.4369999999999</v>
      </c>
      <c r="DB12" s="45">
        <v>1435.4369999999999</v>
      </c>
      <c r="DC12" s="45">
        <v>1435.4369999999999</v>
      </c>
      <c r="DD12" s="46">
        <v>1435.4369999999999</v>
      </c>
      <c r="DE12" s="48">
        <v>1435.4369999999999</v>
      </c>
      <c r="DF12" s="45">
        <v>1435.4369999999999</v>
      </c>
      <c r="DG12" s="45">
        <v>1435.4369999999999</v>
      </c>
      <c r="DH12" s="46">
        <v>1435.4369999999999</v>
      </c>
      <c r="DI12" s="45">
        <v>1435.4369999999999</v>
      </c>
      <c r="DJ12" s="45">
        <v>1435.4369999999999</v>
      </c>
      <c r="DK12" s="45">
        <v>1435.4369999999999</v>
      </c>
      <c r="DL12" s="46">
        <v>1435.4369999999999</v>
      </c>
      <c r="DM12" s="45">
        <v>1435.4369999999999</v>
      </c>
      <c r="DN12" s="45">
        <v>1435.4369999999999</v>
      </c>
      <c r="DO12" s="45">
        <v>1435.4369999999999</v>
      </c>
      <c r="DP12" s="45">
        <v>1435.4369999999999</v>
      </c>
      <c r="DQ12" s="48">
        <v>1470.1369999999999</v>
      </c>
      <c r="DR12" s="45">
        <v>1513.357</v>
      </c>
      <c r="DS12" s="45">
        <v>1513.357</v>
      </c>
      <c r="DT12" s="45">
        <v>1513.357</v>
      </c>
      <c r="DU12" s="45">
        <v>1513.357</v>
      </c>
      <c r="DV12" s="45">
        <v>1513.357</v>
      </c>
      <c r="DW12" s="45">
        <v>1513.357</v>
      </c>
      <c r="DX12" s="45">
        <v>1513.357</v>
      </c>
      <c r="DY12" s="45">
        <v>1513.357</v>
      </c>
      <c r="DZ12" s="45">
        <v>1513.357</v>
      </c>
      <c r="EA12" s="45">
        <v>1513.357</v>
      </c>
      <c r="EB12" s="45">
        <v>1513.357</v>
      </c>
      <c r="EC12" s="49">
        <v>1563.357</v>
      </c>
      <c r="ED12" s="45">
        <v>1563.357</v>
      </c>
      <c r="EE12" s="45">
        <v>1563.357</v>
      </c>
      <c r="EF12" s="45">
        <v>1670.357</v>
      </c>
      <c r="EG12" s="45">
        <v>1720.2570000000001</v>
      </c>
      <c r="EH12" s="45">
        <v>1720.2570000000001</v>
      </c>
      <c r="EI12" s="45">
        <v>1720.2570000000001</v>
      </c>
      <c r="EJ12" s="45">
        <v>1720.2570000000001</v>
      </c>
      <c r="EK12" s="45">
        <v>1720.2570000000001</v>
      </c>
      <c r="EL12" s="45">
        <v>1720.2570000000001</v>
      </c>
      <c r="EM12" s="45">
        <v>1720.2570000000001</v>
      </c>
      <c r="EN12" s="45">
        <v>1720.2570000000001</v>
      </c>
      <c r="EO12" s="82">
        <v>1720.2570000000001</v>
      </c>
      <c r="EP12" s="45">
        <v>1720.2570000000001</v>
      </c>
      <c r="EQ12" s="45">
        <v>1720.2570000000001</v>
      </c>
      <c r="ER12" s="45">
        <v>1720.2570000000001</v>
      </c>
      <c r="ES12" s="45">
        <v>1720.2570000000001</v>
      </c>
      <c r="ET12" s="45">
        <v>1720.2570000000001</v>
      </c>
      <c r="EU12" s="45">
        <v>1720.2570000000001</v>
      </c>
      <c r="EV12" s="45">
        <v>1720.2570000000001</v>
      </c>
      <c r="EW12" s="45">
        <v>1720.2570000000001</v>
      </c>
      <c r="EX12" s="45">
        <v>1720.2570000000001</v>
      </c>
      <c r="EY12" s="45">
        <v>1720.2570000000001</v>
      </c>
      <c r="EZ12" s="45">
        <v>1720.2570000000001</v>
      </c>
      <c r="FA12" s="82">
        <v>1760.2570000000001</v>
      </c>
      <c r="FB12" s="45">
        <v>2033.057</v>
      </c>
      <c r="FC12" s="45">
        <v>2254.1640000000002</v>
      </c>
      <c r="FD12" s="45">
        <v>2644.4540000000002</v>
      </c>
      <c r="FE12" s="45">
        <v>2644.4540000000002</v>
      </c>
      <c r="FF12" s="45">
        <v>2694.3539999999998</v>
      </c>
      <c r="FG12" s="45">
        <v>2722.8539999999998</v>
      </c>
      <c r="FH12" s="45">
        <v>2722.8539999999998</v>
      </c>
      <c r="FI12" s="45">
        <v>2722.8539999999998</v>
      </c>
      <c r="FJ12" s="45">
        <v>2810.7539999999999</v>
      </c>
      <c r="FK12" s="155">
        <v>2810.7539999999999</v>
      </c>
      <c r="FL12" s="155">
        <v>2810.7539999999999</v>
      </c>
      <c r="FM12" s="155">
        <v>2810.7539999999999</v>
      </c>
      <c r="FN12" s="69">
        <v>2850.7539999999999</v>
      </c>
      <c r="FO12" s="155">
        <v>2876.7539999999999</v>
      </c>
      <c r="FP12" s="155">
        <v>2978.5540000000001</v>
      </c>
      <c r="FQ12" s="155">
        <v>3028.4540000000002</v>
      </c>
      <c r="FR12" s="155">
        <v>3078.3539999999998</v>
      </c>
      <c r="FS12" s="155">
        <v>3123.3539999999998</v>
      </c>
      <c r="FT12" s="155">
        <v>3179.8040000000001</v>
      </c>
      <c r="FU12" s="178">
        <v>3212.8040000000001</v>
      </c>
      <c r="FV12" s="178">
        <v>3212.8040000000001</v>
      </c>
      <c r="FW12" s="178">
        <v>3464.7040000000002</v>
      </c>
      <c r="FX12" s="178">
        <v>3514.6039999999998</v>
      </c>
      <c r="FY12" s="180">
        <v>3549.6039999999998</v>
      </c>
      <c r="FZ12" s="178">
        <v>3635.5940000000001</v>
      </c>
      <c r="GA12" s="178">
        <v>3635.5940000000001</v>
      </c>
      <c r="GB12" s="178">
        <v>3880.194</v>
      </c>
      <c r="GC12" s="178">
        <v>3930.194</v>
      </c>
      <c r="GD12" s="178">
        <v>3930.194</v>
      </c>
      <c r="GE12" s="178">
        <v>3978.194</v>
      </c>
      <c r="GF12" s="178">
        <v>4436.0940000000001</v>
      </c>
      <c r="GG12" s="178">
        <v>4513.9939999999997</v>
      </c>
      <c r="GH12" s="178">
        <v>4555.9939999999997</v>
      </c>
      <c r="GI12" s="178">
        <v>4703.7340000000004</v>
      </c>
      <c r="GJ12" s="178">
        <v>4769.7340000000004</v>
      </c>
      <c r="GK12" s="180">
        <v>4819.634</v>
      </c>
      <c r="GL12" s="178">
        <v>4819.634</v>
      </c>
      <c r="GM12" s="178">
        <v>4819.634</v>
      </c>
      <c r="GN12" s="178">
        <v>4869.5339999999997</v>
      </c>
      <c r="GO12" s="178">
        <v>4869.5339999999997</v>
      </c>
      <c r="GP12" s="178">
        <v>4869.5339999999997</v>
      </c>
    </row>
    <row r="13" spans="1:198" s="25" customFormat="1" ht="20.149999999999999" customHeight="1" thickBot="1" x14ac:dyDescent="0.4">
      <c r="A13" s="32" t="s">
        <v>267</v>
      </c>
      <c r="B13" s="51">
        <f>SUM(B7:B12)</f>
        <v>14.225999999999999</v>
      </c>
      <c r="C13" s="52">
        <f t="shared" ref="C13:BN13" si="0">SUM(C7:C12)</f>
        <v>15.641999999999999</v>
      </c>
      <c r="D13" s="52">
        <f t="shared" si="0"/>
        <v>18.135999999999999</v>
      </c>
      <c r="E13" s="52">
        <f t="shared" si="0"/>
        <v>20.780999999999999</v>
      </c>
      <c r="F13" s="52">
        <f t="shared" si="0"/>
        <v>25.078999999999997</v>
      </c>
      <c r="G13" s="52">
        <f t="shared" si="0"/>
        <v>30.692</v>
      </c>
      <c r="H13" s="52">
        <f t="shared" si="0"/>
        <v>36.567999999999998</v>
      </c>
      <c r="I13" s="52">
        <f t="shared" si="0"/>
        <v>42.388999999999996</v>
      </c>
      <c r="J13" s="52">
        <f t="shared" si="0"/>
        <v>49.910999999999994</v>
      </c>
      <c r="K13" s="52">
        <f t="shared" si="0"/>
        <v>59.347000000000001</v>
      </c>
      <c r="L13" s="52">
        <f t="shared" si="0"/>
        <v>69.789000000000001</v>
      </c>
      <c r="M13" s="52">
        <f t="shared" si="0"/>
        <v>77.780000000000015</v>
      </c>
      <c r="N13" s="51">
        <f t="shared" si="0"/>
        <v>88.988</v>
      </c>
      <c r="O13" s="52">
        <f t="shared" si="0"/>
        <v>102.46000000000001</v>
      </c>
      <c r="P13" s="52">
        <f t="shared" si="0"/>
        <v>122.36600000000001</v>
      </c>
      <c r="Q13" s="52">
        <f t="shared" si="0"/>
        <v>146.792</v>
      </c>
      <c r="R13" s="52">
        <f t="shared" si="0"/>
        <v>170.43299999999999</v>
      </c>
      <c r="S13" s="52">
        <f t="shared" si="0"/>
        <v>204.38299999999998</v>
      </c>
      <c r="T13" s="52">
        <f t="shared" si="0"/>
        <v>362.21000000000004</v>
      </c>
      <c r="U13" s="52">
        <f t="shared" si="0"/>
        <v>408.14400000000001</v>
      </c>
      <c r="V13" s="52">
        <f t="shared" si="0"/>
        <v>480.05500000000001</v>
      </c>
      <c r="W13" s="52">
        <f t="shared" si="0"/>
        <v>601.59199999999998</v>
      </c>
      <c r="X13" s="52">
        <f t="shared" si="0"/>
        <v>800.08899999999994</v>
      </c>
      <c r="Y13" s="52">
        <f t="shared" si="0"/>
        <v>993.64699999999993</v>
      </c>
      <c r="Z13" s="51">
        <f t="shared" si="0"/>
        <v>1024.0569999999998</v>
      </c>
      <c r="AA13" s="52">
        <f t="shared" si="0"/>
        <v>1198.5990000000002</v>
      </c>
      <c r="AB13" s="52">
        <f t="shared" si="0"/>
        <v>1310.6969999999999</v>
      </c>
      <c r="AC13" s="52">
        <f t="shared" si="0"/>
        <v>1327.998</v>
      </c>
      <c r="AD13" s="52">
        <f t="shared" si="0"/>
        <v>1364.19</v>
      </c>
      <c r="AE13" s="52">
        <f t="shared" si="0"/>
        <v>1429.4159999999999</v>
      </c>
      <c r="AF13" s="52">
        <f t="shared" si="0"/>
        <v>1625.165</v>
      </c>
      <c r="AG13" s="52">
        <f t="shared" si="0"/>
        <v>1640.201</v>
      </c>
      <c r="AH13" s="52">
        <f t="shared" si="0"/>
        <v>1659.127</v>
      </c>
      <c r="AI13" s="52">
        <f t="shared" si="0"/>
        <v>1703.5139999999999</v>
      </c>
      <c r="AJ13" s="52">
        <f t="shared" si="0"/>
        <v>1731.8679999999999</v>
      </c>
      <c r="AK13" s="53">
        <f t="shared" si="0"/>
        <v>1754.402</v>
      </c>
      <c r="AL13" s="52">
        <f t="shared" si="0"/>
        <v>1782.9739999999999</v>
      </c>
      <c r="AM13" s="52">
        <f t="shared" si="0"/>
        <v>1853.2269999999999</v>
      </c>
      <c r="AN13" s="52">
        <f t="shared" si="0"/>
        <v>2250.3420000000001</v>
      </c>
      <c r="AO13" s="52">
        <f t="shared" si="0"/>
        <v>2311.547</v>
      </c>
      <c r="AP13" s="52">
        <f t="shared" si="0"/>
        <v>2381.2969999999996</v>
      </c>
      <c r="AQ13" s="52">
        <f t="shared" si="0"/>
        <v>2509.181</v>
      </c>
      <c r="AR13" s="52">
        <f t="shared" si="0"/>
        <v>2548.4479999999999</v>
      </c>
      <c r="AS13" s="52">
        <f t="shared" si="0"/>
        <v>2615.152</v>
      </c>
      <c r="AT13" s="52">
        <f t="shared" si="0"/>
        <v>2658.4249999999997</v>
      </c>
      <c r="AU13" s="52">
        <f t="shared" si="0"/>
        <v>2704.7159999999999</v>
      </c>
      <c r="AV13" s="52">
        <f t="shared" si="0"/>
        <v>2806.279</v>
      </c>
      <c r="AW13" s="54">
        <f t="shared" si="0"/>
        <v>2876.9759999999997</v>
      </c>
      <c r="AX13" s="52">
        <f t="shared" si="0"/>
        <v>2999.6149999999998</v>
      </c>
      <c r="AY13" s="52">
        <f t="shared" si="0"/>
        <v>3116.8270000000002</v>
      </c>
      <c r="AZ13" s="52">
        <f t="shared" si="0"/>
        <v>4157.1950000000006</v>
      </c>
      <c r="BA13" s="52">
        <f t="shared" si="0"/>
        <v>4242.3019999999997</v>
      </c>
      <c r="BB13" s="52">
        <f t="shared" si="0"/>
        <v>4343.88</v>
      </c>
      <c r="BC13" s="52">
        <f t="shared" si="0"/>
        <v>4477.8059999999996</v>
      </c>
      <c r="BD13" s="52">
        <f t="shared" si="0"/>
        <v>4643.5740000000005</v>
      </c>
      <c r="BE13" s="52">
        <f t="shared" si="0"/>
        <v>4705.375</v>
      </c>
      <c r="BF13" s="52">
        <f t="shared" si="0"/>
        <v>4910.116</v>
      </c>
      <c r="BG13" s="52">
        <f t="shared" si="0"/>
        <v>5075.7960000000003</v>
      </c>
      <c r="BH13" s="52">
        <f t="shared" si="0"/>
        <v>5214.491</v>
      </c>
      <c r="BI13" s="54">
        <f t="shared" si="0"/>
        <v>5519.0460000000003</v>
      </c>
      <c r="BJ13" s="52">
        <f t="shared" si="0"/>
        <v>5616.7020000000002</v>
      </c>
      <c r="BK13" s="52">
        <f t="shared" si="0"/>
        <v>5778.8649999999998</v>
      </c>
      <c r="BL13" s="52">
        <f t="shared" si="0"/>
        <v>8146.2579999999998</v>
      </c>
      <c r="BM13" s="52">
        <f t="shared" si="0"/>
        <v>8195.6660000000011</v>
      </c>
      <c r="BN13" s="52">
        <f t="shared" si="0"/>
        <v>8260.25</v>
      </c>
      <c r="BO13" s="52">
        <f t="shared" ref="BO13:DZ13" si="1">SUM(BO7:BO12)</f>
        <v>8393.2740000000013</v>
      </c>
      <c r="BP13" s="52">
        <f t="shared" si="1"/>
        <v>8478.094000000001</v>
      </c>
      <c r="BQ13" s="52">
        <f t="shared" si="1"/>
        <v>8594.9320000000007</v>
      </c>
      <c r="BR13" s="52">
        <f t="shared" si="1"/>
        <v>8722.1370000000006</v>
      </c>
      <c r="BS13" s="52">
        <f t="shared" si="1"/>
        <v>8891.4680000000008</v>
      </c>
      <c r="BT13" s="52">
        <f t="shared" si="1"/>
        <v>9101.389000000001</v>
      </c>
      <c r="BU13" s="54">
        <f t="shared" si="1"/>
        <v>9782.9889999999996</v>
      </c>
      <c r="BV13" s="52">
        <f t="shared" si="1"/>
        <v>9946.9170000000013</v>
      </c>
      <c r="BW13" s="52">
        <f t="shared" si="1"/>
        <v>10050.950000000001</v>
      </c>
      <c r="BX13" s="52">
        <f t="shared" si="1"/>
        <v>11218.924999999999</v>
      </c>
      <c r="BY13" s="52">
        <f t="shared" si="1"/>
        <v>11285.041999999999</v>
      </c>
      <c r="BZ13" s="52">
        <f t="shared" si="1"/>
        <v>11328.33</v>
      </c>
      <c r="CA13" s="52">
        <f t="shared" si="1"/>
        <v>11546.356999999998</v>
      </c>
      <c r="CB13" s="52">
        <f t="shared" si="1"/>
        <v>11587.044</v>
      </c>
      <c r="CC13" s="52">
        <f t="shared" si="1"/>
        <v>11647.823999999999</v>
      </c>
      <c r="CD13" s="52">
        <f t="shared" si="1"/>
        <v>11691.589</v>
      </c>
      <c r="CE13" s="52">
        <f t="shared" si="1"/>
        <v>11732.033000000001</v>
      </c>
      <c r="CF13" s="52">
        <f t="shared" si="1"/>
        <v>11773.911999999998</v>
      </c>
      <c r="CG13" s="54">
        <f t="shared" si="1"/>
        <v>11850.244000000001</v>
      </c>
      <c r="CH13" s="52">
        <f t="shared" si="1"/>
        <v>11888.217999999999</v>
      </c>
      <c r="CI13" s="52">
        <f t="shared" si="1"/>
        <v>11954.091999999999</v>
      </c>
      <c r="CJ13" s="52">
        <f t="shared" si="1"/>
        <v>12431.528</v>
      </c>
      <c r="CK13" s="52">
        <f t="shared" si="1"/>
        <v>12450.478000000001</v>
      </c>
      <c r="CL13" s="52">
        <f t="shared" si="1"/>
        <v>12468.22</v>
      </c>
      <c r="CM13" s="52">
        <f t="shared" si="1"/>
        <v>12485.16</v>
      </c>
      <c r="CN13" s="52">
        <f t="shared" si="1"/>
        <v>12513.841999999999</v>
      </c>
      <c r="CO13" s="52">
        <f t="shared" si="1"/>
        <v>12531.178</v>
      </c>
      <c r="CP13" s="52">
        <f t="shared" si="1"/>
        <v>12547.882</v>
      </c>
      <c r="CQ13" s="52">
        <f t="shared" si="1"/>
        <v>12572.49</v>
      </c>
      <c r="CR13" s="52">
        <f t="shared" si="1"/>
        <v>12588.188</v>
      </c>
      <c r="CS13" s="54">
        <f t="shared" si="1"/>
        <v>12599.6</v>
      </c>
      <c r="CT13" s="52">
        <f t="shared" si="1"/>
        <v>12611.868</v>
      </c>
      <c r="CU13" s="52">
        <f t="shared" si="1"/>
        <v>12622.753999999999</v>
      </c>
      <c r="CV13" s="52">
        <f t="shared" si="1"/>
        <v>12639.267</v>
      </c>
      <c r="CW13" s="52">
        <f t="shared" si="1"/>
        <v>12653.037999999999</v>
      </c>
      <c r="CX13" s="52">
        <f t="shared" si="1"/>
        <v>12669.295</v>
      </c>
      <c r="CY13" s="52">
        <f t="shared" si="1"/>
        <v>12689.713</v>
      </c>
      <c r="CZ13" s="52">
        <f t="shared" si="1"/>
        <v>12705.135</v>
      </c>
      <c r="DA13" s="52">
        <f t="shared" si="1"/>
        <v>12722.112999999999</v>
      </c>
      <c r="DB13" s="52">
        <f t="shared" si="1"/>
        <v>12739.355</v>
      </c>
      <c r="DC13" s="52">
        <f t="shared" si="1"/>
        <v>12765.307999999999</v>
      </c>
      <c r="DD13" s="52">
        <f t="shared" si="1"/>
        <v>12792.334000000001</v>
      </c>
      <c r="DE13" s="54">
        <f t="shared" si="1"/>
        <v>12821.675999999999</v>
      </c>
      <c r="DF13" s="52">
        <f t="shared" si="1"/>
        <v>12845.493</v>
      </c>
      <c r="DG13" s="52">
        <f t="shared" si="1"/>
        <v>12877.642</v>
      </c>
      <c r="DH13" s="52">
        <f t="shared" si="1"/>
        <v>12965.103999999999</v>
      </c>
      <c r="DI13" s="52">
        <f t="shared" si="1"/>
        <v>12983.361999999999</v>
      </c>
      <c r="DJ13" s="52">
        <f t="shared" si="1"/>
        <v>12990.99</v>
      </c>
      <c r="DK13" s="52">
        <f t="shared" si="1"/>
        <v>13001.205</v>
      </c>
      <c r="DL13" s="52">
        <f t="shared" si="1"/>
        <v>13019.837</v>
      </c>
      <c r="DM13" s="52">
        <f t="shared" si="1"/>
        <v>13036.642999999998</v>
      </c>
      <c r="DN13" s="52">
        <f t="shared" si="1"/>
        <v>13062.866</v>
      </c>
      <c r="DO13" s="52">
        <f t="shared" si="1"/>
        <v>13075.981</v>
      </c>
      <c r="DP13" s="52">
        <f t="shared" si="1"/>
        <v>13088.799000000001</v>
      </c>
      <c r="DQ13" s="54">
        <f t="shared" si="1"/>
        <v>13133.483999999999</v>
      </c>
      <c r="DR13" s="52">
        <f t="shared" si="1"/>
        <v>13215.975999999999</v>
      </c>
      <c r="DS13" s="52">
        <f t="shared" si="1"/>
        <v>13232.933999999999</v>
      </c>
      <c r="DT13" s="52">
        <f t="shared" si="1"/>
        <v>13249.028999999999</v>
      </c>
      <c r="DU13" s="52">
        <f t="shared" si="1"/>
        <v>13254.039000000001</v>
      </c>
      <c r="DV13" s="52">
        <f t="shared" si="1"/>
        <v>13268.037</v>
      </c>
      <c r="DW13" s="52">
        <f t="shared" si="1"/>
        <v>13278.359</v>
      </c>
      <c r="DX13" s="52">
        <f t="shared" si="1"/>
        <v>13297.395</v>
      </c>
      <c r="DY13" s="52">
        <f t="shared" si="1"/>
        <v>13314.543000000001</v>
      </c>
      <c r="DZ13" s="52">
        <f t="shared" si="1"/>
        <v>13330.341</v>
      </c>
      <c r="EA13" s="52">
        <f t="shared" ref="EA13:GL13" si="2">SUM(EA7:EA12)</f>
        <v>13349.241</v>
      </c>
      <c r="EB13" s="52">
        <f t="shared" si="2"/>
        <v>13367.26</v>
      </c>
      <c r="EC13" s="54">
        <f t="shared" si="2"/>
        <v>13444.402</v>
      </c>
      <c r="ED13" s="52">
        <f t="shared" si="2"/>
        <v>13466.170999999998</v>
      </c>
      <c r="EE13" s="52">
        <f t="shared" si="2"/>
        <v>13481.554</v>
      </c>
      <c r="EF13" s="52">
        <f t="shared" si="2"/>
        <v>13616.287</v>
      </c>
      <c r="EG13" s="52">
        <f t="shared" si="2"/>
        <v>13684.645999999999</v>
      </c>
      <c r="EH13" s="52">
        <f t="shared" si="2"/>
        <v>13711.262000000001</v>
      </c>
      <c r="EI13" s="52">
        <f t="shared" si="2"/>
        <v>13745.751999999999</v>
      </c>
      <c r="EJ13" s="52">
        <f t="shared" si="2"/>
        <v>13771.498999999998</v>
      </c>
      <c r="EK13" s="52">
        <f t="shared" si="2"/>
        <v>13793.003999999999</v>
      </c>
      <c r="EL13" s="52">
        <f t="shared" si="2"/>
        <v>13823.624999999998</v>
      </c>
      <c r="EM13" s="52">
        <f t="shared" si="2"/>
        <v>13849.743</v>
      </c>
      <c r="EN13" s="52">
        <f t="shared" si="2"/>
        <v>13880.523999999999</v>
      </c>
      <c r="EO13" s="53">
        <f t="shared" si="2"/>
        <v>13904.285</v>
      </c>
      <c r="EP13" s="52">
        <f t="shared" si="2"/>
        <v>13991.757</v>
      </c>
      <c r="EQ13" s="52">
        <f t="shared" si="2"/>
        <v>14024.701999999999</v>
      </c>
      <c r="ER13" s="52">
        <f t="shared" si="2"/>
        <v>14077.472</v>
      </c>
      <c r="ES13" s="52">
        <f t="shared" si="2"/>
        <v>14124.732</v>
      </c>
      <c r="ET13" s="52">
        <f t="shared" si="2"/>
        <v>14184.503999999999</v>
      </c>
      <c r="EU13" s="52">
        <f t="shared" si="2"/>
        <v>14235.375999999998</v>
      </c>
      <c r="EV13" s="52">
        <f t="shared" si="2"/>
        <v>14306.387000000001</v>
      </c>
      <c r="EW13" s="52">
        <f t="shared" si="2"/>
        <v>14361.916999999999</v>
      </c>
      <c r="EX13" s="52">
        <f t="shared" si="2"/>
        <v>14446.366</v>
      </c>
      <c r="EY13" s="52">
        <f t="shared" si="2"/>
        <v>14559.705</v>
      </c>
      <c r="EZ13" s="52">
        <f t="shared" si="2"/>
        <v>14638.966999999999</v>
      </c>
      <c r="FA13" s="53">
        <f t="shared" si="2"/>
        <v>14761.715999999999</v>
      </c>
      <c r="FB13" s="52">
        <f t="shared" si="2"/>
        <v>15186.755000000001</v>
      </c>
      <c r="FC13" s="52">
        <f t="shared" si="2"/>
        <v>15550.941999999999</v>
      </c>
      <c r="FD13" s="52">
        <f t="shared" si="2"/>
        <v>16089.570000000002</v>
      </c>
      <c r="FE13" s="52">
        <f t="shared" si="2"/>
        <v>16178.052000000001</v>
      </c>
      <c r="FF13" s="52">
        <f t="shared" si="2"/>
        <v>16345.245999999999</v>
      </c>
      <c r="FG13" s="52">
        <f t="shared" si="2"/>
        <v>16496.913</v>
      </c>
      <c r="FH13" s="52">
        <f t="shared" si="2"/>
        <v>16584.14</v>
      </c>
      <c r="FI13" s="52">
        <f t="shared" si="2"/>
        <v>16670.682000000001</v>
      </c>
      <c r="FJ13" s="52">
        <f t="shared" si="2"/>
        <v>16857.074000000001</v>
      </c>
      <c r="FK13" s="157">
        <f t="shared" si="2"/>
        <v>16982.816999999999</v>
      </c>
      <c r="FL13" s="157">
        <f t="shared" si="2"/>
        <v>17105.892</v>
      </c>
      <c r="FM13" s="157">
        <f t="shared" si="2"/>
        <v>17160.046999999999</v>
      </c>
      <c r="FN13" s="125">
        <f t="shared" si="2"/>
        <v>17315.034</v>
      </c>
      <c r="FO13" s="157">
        <f t="shared" si="2"/>
        <v>17412.946</v>
      </c>
      <c r="FP13" s="157">
        <f t="shared" si="2"/>
        <v>17650.477999999999</v>
      </c>
      <c r="FQ13" s="157">
        <f t="shared" si="2"/>
        <v>17777.648000000001</v>
      </c>
      <c r="FR13" s="157">
        <f t="shared" si="2"/>
        <v>17913.652999999998</v>
      </c>
      <c r="FS13" s="157">
        <f t="shared" si="2"/>
        <v>18081.674000000003</v>
      </c>
      <c r="FT13" s="157">
        <f t="shared" si="2"/>
        <v>18224.925000000003</v>
      </c>
      <c r="FU13" s="157">
        <f t="shared" si="2"/>
        <v>18333.784</v>
      </c>
      <c r="FV13" s="157">
        <f t="shared" si="2"/>
        <v>18413.758000000002</v>
      </c>
      <c r="FW13" s="157">
        <f t="shared" si="2"/>
        <v>18779.551000000003</v>
      </c>
      <c r="FX13" s="157">
        <f t="shared" si="2"/>
        <v>18919.914000000001</v>
      </c>
      <c r="FY13" s="191">
        <f t="shared" si="2"/>
        <v>19025.63</v>
      </c>
      <c r="FZ13" s="157">
        <f t="shared" si="2"/>
        <v>19219.618000000002</v>
      </c>
      <c r="GA13" s="157">
        <f t="shared" si="2"/>
        <v>19321.845000000001</v>
      </c>
      <c r="GB13" s="157">
        <f t="shared" si="2"/>
        <v>19675.359999999997</v>
      </c>
      <c r="GC13" s="157">
        <f t="shared" si="2"/>
        <v>19820.659</v>
      </c>
      <c r="GD13" s="157">
        <f t="shared" si="2"/>
        <v>19960.345000000001</v>
      </c>
      <c r="GE13" s="157">
        <f t="shared" si="2"/>
        <v>20133.669000000002</v>
      </c>
      <c r="GF13" s="157">
        <f t="shared" si="2"/>
        <v>20709.91</v>
      </c>
      <c r="GG13" s="157">
        <f t="shared" si="2"/>
        <v>20903.996999999999</v>
      </c>
      <c r="GH13" s="157">
        <f t="shared" si="2"/>
        <v>21057.656999999999</v>
      </c>
      <c r="GI13" s="157">
        <f t="shared" si="2"/>
        <v>21332.839000000004</v>
      </c>
      <c r="GJ13" s="157">
        <f t="shared" si="2"/>
        <v>21506.218000000001</v>
      </c>
      <c r="GK13" s="191">
        <f t="shared" si="2"/>
        <v>21648.084000000003</v>
      </c>
      <c r="GL13" s="157">
        <f t="shared" si="2"/>
        <v>21737.834999999999</v>
      </c>
      <c r="GM13" s="157">
        <f t="shared" ref="GM13:GP13" si="3">SUM(GM7:GM12)</f>
        <v>21839.938999999998</v>
      </c>
      <c r="GN13" s="157">
        <f t="shared" si="3"/>
        <v>22014.260999999999</v>
      </c>
      <c r="GO13" s="157">
        <f t="shared" si="3"/>
        <v>22123.460999999999</v>
      </c>
      <c r="GP13" s="157">
        <f t="shared" si="3"/>
        <v>22206.973999999998</v>
      </c>
    </row>
    <row r="14" spans="1:198" s="30" customFormat="1" ht="20.149999999999999" customHeight="1" thickTop="1" x14ac:dyDescent="0.35">
      <c r="A14" s="26" t="s">
        <v>268</v>
      </c>
      <c r="B14" s="45"/>
      <c r="C14" s="45"/>
      <c r="D14" s="45"/>
      <c r="E14" s="45"/>
      <c r="F14" s="45"/>
      <c r="G14" s="45"/>
      <c r="H14" s="45"/>
      <c r="I14" s="45"/>
      <c r="J14" s="45"/>
      <c r="K14" s="45"/>
      <c r="L14" s="45"/>
      <c r="M14" s="49"/>
      <c r="N14" s="50"/>
      <c r="O14" s="45"/>
      <c r="P14" s="45"/>
      <c r="Q14" s="45"/>
      <c r="R14" s="45"/>
      <c r="S14" s="45"/>
      <c r="T14" s="45"/>
      <c r="U14" s="45"/>
      <c r="V14" s="45"/>
      <c r="W14" s="45"/>
      <c r="X14" s="45"/>
      <c r="Y14" s="49"/>
      <c r="Z14" s="50"/>
      <c r="AA14" s="45"/>
      <c r="AB14" s="45"/>
      <c r="AC14" s="45"/>
      <c r="AD14" s="45"/>
      <c r="AE14" s="45"/>
      <c r="AF14" s="45"/>
      <c r="AG14" s="45"/>
      <c r="AH14" s="45"/>
      <c r="AI14" s="45"/>
      <c r="AJ14" s="45"/>
      <c r="AK14" s="49"/>
      <c r="AL14" s="50"/>
      <c r="AM14" s="45"/>
      <c r="AN14" s="45"/>
      <c r="AO14" s="45"/>
      <c r="AP14" s="45"/>
      <c r="AQ14" s="45"/>
      <c r="AR14" s="45"/>
      <c r="AS14" s="45"/>
      <c r="AT14" s="45"/>
      <c r="AU14" s="45"/>
      <c r="AV14" s="45"/>
      <c r="AW14" s="49"/>
      <c r="AX14" s="45"/>
      <c r="AY14" s="45"/>
      <c r="AZ14" s="45"/>
      <c r="BA14" s="45"/>
      <c r="BB14" s="45"/>
      <c r="BC14" s="45"/>
      <c r="BD14" s="45"/>
      <c r="BE14" s="45"/>
      <c r="BF14" s="45"/>
      <c r="BG14" s="45"/>
      <c r="BH14" s="45"/>
      <c r="BI14" s="49"/>
      <c r="BJ14" s="45"/>
      <c r="BK14" s="45"/>
      <c r="BL14" s="45"/>
      <c r="BM14" s="45"/>
      <c r="BN14" s="45"/>
      <c r="BO14" s="45"/>
      <c r="BP14" s="45"/>
      <c r="BQ14" s="45"/>
      <c r="BR14" s="45"/>
      <c r="BS14" s="45"/>
      <c r="BT14" s="45"/>
      <c r="BU14" s="49"/>
      <c r="BV14" s="45"/>
      <c r="BW14" s="45"/>
      <c r="BX14" s="45"/>
      <c r="BY14" s="45"/>
      <c r="BZ14" s="45"/>
      <c r="CA14" s="45"/>
      <c r="CB14" s="45"/>
      <c r="CC14" s="45"/>
      <c r="CD14" s="45"/>
      <c r="CE14" s="45"/>
      <c r="CF14" s="45"/>
      <c r="CG14" s="49"/>
      <c r="CH14" s="45"/>
      <c r="CI14" s="45"/>
      <c r="CJ14" s="45"/>
      <c r="CK14" s="45"/>
      <c r="CL14" s="45"/>
      <c r="CM14" s="45"/>
      <c r="CN14" s="45"/>
      <c r="CO14" s="45"/>
      <c r="CP14" s="45"/>
      <c r="CQ14" s="45"/>
      <c r="CR14" s="45"/>
      <c r="CS14" s="49"/>
      <c r="CT14" s="45"/>
      <c r="CU14" s="45"/>
      <c r="CV14" s="45"/>
      <c r="CW14" s="45"/>
      <c r="CX14" s="45"/>
      <c r="CY14" s="45"/>
      <c r="CZ14" s="45"/>
      <c r="DA14" s="45"/>
      <c r="DB14" s="45"/>
      <c r="DC14" s="45"/>
      <c r="DD14" s="45"/>
      <c r="DE14" s="49"/>
      <c r="DF14" s="45"/>
      <c r="DG14" s="45"/>
      <c r="DH14" s="45"/>
      <c r="DI14" s="45"/>
      <c r="DJ14" s="45"/>
      <c r="DK14" s="45"/>
      <c r="DL14" s="45"/>
      <c r="DM14" s="45"/>
      <c r="DN14" s="45"/>
      <c r="DO14" s="45"/>
      <c r="DP14" s="45"/>
      <c r="DQ14" s="49"/>
      <c r="DR14" s="45"/>
      <c r="DS14" s="45"/>
      <c r="DT14" s="45"/>
      <c r="DU14" s="45"/>
      <c r="DV14" s="45"/>
      <c r="DW14" s="45"/>
      <c r="DX14" s="45"/>
      <c r="DY14" s="45"/>
      <c r="DZ14" s="45"/>
      <c r="EA14" s="45"/>
      <c r="EB14" s="45"/>
      <c r="EC14" s="49"/>
      <c r="ED14" s="45"/>
      <c r="EE14" s="45"/>
      <c r="EF14" s="45"/>
      <c r="EG14" s="45"/>
      <c r="EH14" s="45"/>
      <c r="EI14" s="45"/>
      <c r="EJ14" s="45"/>
      <c r="EK14" s="45"/>
      <c r="EL14" s="45"/>
      <c r="EM14" s="45"/>
      <c r="EN14" s="45"/>
      <c r="EO14" s="82"/>
      <c r="EP14" s="45"/>
      <c r="EQ14" s="45"/>
      <c r="ER14" s="45"/>
      <c r="ES14" s="45"/>
      <c r="ET14" s="45"/>
      <c r="EU14" s="45"/>
      <c r="EV14" s="45"/>
      <c r="EW14" s="45"/>
      <c r="EX14" s="45"/>
      <c r="EY14" s="45"/>
      <c r="EZ14" s="45"/>
      <c r="FA14" s="82"/>
      <c r="FB14" s="45"/>
      <c r="FC14" s="45"/>
      <c r="FD14" s="45"/>
      <c r="FE14" s="45"/>
      <c r="FF14" s="45"/>
      <c r="FG14" s="45"/>
      <c r="FH14" s="45"/>
      <c r="FI14" s="45"/>
      <c r="FJ14" s="45"/>
      <c r="FK14" s="155"/>
      <c r="FL14" s="155"/>
      <c r="FM14" s="155"/>
      <c r="FN14" s="69"/>
      <c r="FO14" s="155"/>
      <c r="FP14" s="155"/>
      <c r="FQ14" s="155"/>
      <c r="FR14" s="155"/>
      <c r="FS14" s="155"/>
      <c r="FT14" s="155"/>
      <c r="FU14" s="177"/>
      <c r="FV14" s="177"/>
      <c r="FW14" s="177"/>
      <c r="FX14" s="177"/>
      <c r="FY14" s="192"/>
      <c r="FZ14" s="177"/>
      <c r="GA14" s="178"/>
      <c r="GB14" s="178"/>
      <c r="GC14" s="178"/>
      <c r="GD14" s="178"/>
      <c r="GE14" s="178"/>
      <c r="GF14" s="178"/>
      <c r="GG14" s="178"/>
      <c r="GH14" s="178"/>
      <c r="GI14" s="178"/>
      <c r="GJ14" s="178"/>
      <c r="GK14" s="192"/>
      <c r="GL14" s="177"/>
      <c r="GM14" s="177"/>
      <c r="GN14" s="177"/>
      <c r="GO14" s="177"/>
      <c r="GP14" s="177"/>
    </row>
    <row r="15" spans="1:198" s="1" customFormat="1" ht="20.149999999999999" customHeight="1" x14ac:dyDescent="0.35">
      <c r="A15" s="31" t="s">
        <v>1623</v>
      </c>
      <c r="B15" s="45">
        <v>0.316</v>
      </c>
      <c r="C15" s="45">
        <v>0.316</v>
      </c>
      <c r="D15" s="45">
        <v>0.32300000000000001</v>
      </c>
      <c r="E15" s="45">
        <v>0.33600000000000002</v>
      </c>
      <c r="F15" s="45">
        <v>0.34200000000000003</v>
      </c>
      <c r="G15" s="45">
        <v>0.35799999999999998</v>
      </c>
      <c r="H15" s="45">
        <v>0.36199999999999999</v>
      </c>
      <c r="I15" s="45">
        <v>0.36499999999999999</v>
      </c>
      <c r="J15" s="45">
        <v>0.36599999999999999</v>
      </c>
      <c r="K15" s="45">
        <v>0.371</v>
      </c>
      <c r="L15" s="45">
        <v>0.39</v>
      </c>
      <c r="M15" s="49">
        <v>0.39700000000000002</v>
      </c>
      <c r="N15" s="50">
        <v>0.39700000000000002</v>
      </c>
      <c r="O15" s="45">
        <v>0.39900000000000002</v>
      </c>
      <c r="P15" s="45">
        <v>0.40799999999999997</v>
      </c>
      <c r="Q15" s="45">
        <v>0.41199999999999998</v>
      </c>
      <c r="R15" s="45">
        <v>0.437</v>
      </c>
      <c r="S15" s="45">
        <v>0.442</v>
      </c>
      <c r="T15" s="45">
        <v>0.44500000000000001</v>
      </c>
      <c r="U15" s="45">
        <v>0.46200000000000002</v>
      </c>
      <c r="V15" s="45">
        <v>0.498</v>
      </c>
      <c r="W15" s="45">
        <v>0.53700000000000003</v>
      </c>
      <c r="X15" s="45">
        <v>0.59599999999999997</v>
      </c>
      <c r="Y15" s="49">
        <v>0.65400000000000003</v>
      </c>
      <c r="Z15" s="50">
        <v>0.72699999999999998</v>
      </c>
      <c r="AA15" s="45">
        <v>0.74399999999999999</v>
      </c>
      <c r="AB15" s="45">
        <v>0.80700000000000005</v>
      </c>
      <c r="AC15" s="45">
        <v>0.83599999999999997</v>
      </c>
      <c r="AD15" s="45">
        <v>0.85799999999999998</v>
      </c>
      <c r="AE15" s="45">
        <v>0.878</v>
      </c>
      <c r="AF15" s="45">
        <v>0.90900000000000003</v>
      </c>
      <c r="AG15" s="45">
        <v>1.0469999999999999</v>
      </c>
      <c r="AH15" s="45">
        <v>1.1919999999999999</v>
      </c>
      <c r="AI15" s="45">
        <v>1.3380000000000001</v>
      </c>
      <c r="AJ15" s="45">
        <v>1.474</v>
      </c>
      <c r="AK15" s="49">
        <v>1.5680000000000001</v>
      </c>
      <c r="AL15" s="50">
        <v>1.758</v>
      </c>
      <c r="AM15" s="45">
        <v>1.9119999999999999</v>
      </c>
      <c r="AN15" s="45">
        <v>2.0510000000000002</v>
      </c>
      <c r="AO15" s="45">
        <v>2.1539999999999999</v>
      </c>
      <c r="AP15" s="45">
        <v>2.3159999999999998</v>
      </c>
      <c r="AQ15" s="45">
        <v>2.3980000000000001</v>
      </c>
      <c r="AR15" s="45">
        <v>2.6019999999999999</v>
      </c>
      <c r="AS15" s="45">
        <v>2.8929999999999998</v>
      </c>
      <c r="AT15" s="45">
        <v>3.1779999999999999</v>
      </c>
      <c r="AU15" s="45">
        <v>3.49</v>
      </c>
      <c r="AV15" s="45">
        <v>3.7320000000000002</v>
      </c>
      <c r="AW15" s="49">
        <v>3.9929999999999999</v>
      </c>
      <c r="AX15" s="45">
        <v>4.181</v>
      </c>
      <c r="AY15" s="45">
        <v>4.4059999999999997</v>
      </c>
      <c r="AZ15" s="45">
        <v>4.72</v>
      </c>
      <c r="BA15" s="45">
        <v>5.0129999999999999</v>
      </c>
      <c r="BB15" s="45">
        <v>5.4589999999999996</v>
      </c>
      <c r="BC15" s="45">
        <v>6.0069999999999997</v>
      </c>
      <c r="BD15" s="45">
        <v>6.6070000000000002</v>
      </c>
      <c r="BE15" s="45">
        <v>7.1980000000000004</v>
      </c>
      <c r="BF15" s="45">
        <v>7.8239999999999998</v>
      </c>
      <c r="BG15" s="45">
        <v>8.391</v>
      </c>
      <c r="BH15" s="45">
        <v>8.9890000000000008</v>
      </c>
      <c r="BI15" s="49">
        <v>9.4209999999999994</v>
      </c>
      <c r="BJ15" s="45">
        <v>9.8360000000000003</v>
      </c>
      <c r="BK15" s="45">
        <v>10.257</v>
      </c>
      <c r="BL15" s="45">
        <v>10.647</v>
      </c>
      <c r="BM15" s="45">
        <v>11.041</v>
      </c>
      <c r="BN15" s="45">
        <v>11.557</v>
      </c>
      <c r="BO15" s="45">
        <v>12.1</v>
      </c>
      <c r="BP15" s="45">
        <v>12.648</v>
      </c>
      <c r="BQ15" s="45">
        <v>13.362</v>
      </c>
      <c r="BR15" s="45">
        <v>14.593999999999999</v>
      </c>
      <c r="BS15" s="45">
        <v>15.196</v>
      </c>
      <c r="BT15" s="45">
        <v>15.941000000000001</v>
      </c>
      <c r="BU15" s="49">
        <v>16.712</v>
      </c>
      <c r="BV15" s="45">
        <v>17.59</v>
      </c>
      <c r="BW15" s="45">
        <v>18.434000000000001</v>
      </c>
      <c r="BX15" s="45">
        <v>19.350999999999999</v>
      </c>
      <c r="BY15" s="45">
        <v>19.905999999999999</v>
      </c>
      <c r="BZ15" s="45">
        <v>20.122</v>
      </c>
      <c r="CA15" s="45">
        <v>20.332000000000001</v>
      </c>
      <c r="CB15" s="45">
        <v>20.701000000000001</v>
      </c>
      <c r="CC15" s="45">
        <v>21.068000000000001</v>
      </c>
      <c r="CD15" s="45">
        <v>22.835999999999999</v>
      </c>
      <c r="CE15" s="45">
        <v>22.876000000000001</v>
      </c>
      <c r="CF15" s="45">
        <v>22.956</v>
      </c>
      <c r="CG15" s="49">
        <v>23.007000000000001</v>
      </c>
      <c r="CH15" s="45">
        <v>23.114999999999998</v>
      </c>
      <c r="CI15" s="45">
        <v>23.443999999999999</v>
      </c>
      <c r="CJ15" s="45">
        <v>24.19</v>
      </c>
      <c r="CK15" s="45">
        <v>24.216000000000001</v>
      </c>
      <c r="CL15" s="45">
        <v>24.254000000000001</v>
      </c>
      <c r="CM15" s="45">
        <v>24.408000000000001</v>
      </c>
      <c r="CN15" s="45">
        <v>24.442</v>
      </c>
      <c r="CO15" s="45">
        <v>24.486000000000001</v>
      </c>
      <c r="CP15" s="45">
        <v>24.556999999999999</v>
      </c>
      <c r="CQ15" s="45">
        <v>24.625</v>
      </c>
      <c r="CR15" s="45">
        <v>24.702000000000002</v>
      </c>
      <c r="CS15" s="49">
        <v>24.736000000000001</v>
      </c>
      <c r="CT15" s="45">
        <v>24.77</v>
      </c>
      <c r="CU15" s="45">
        <v>24.795999999999999</v>
      </c>
      <c r="CV15" s="45">
        <v>24.824999999999999</v>
      </c>
      <c r="CW15" s="45">
        <v>24.843</v>
      </c>
      <c r="CX15" s="45">
        <v>24.873000000000001</v>
      </c>
      <c r="CY15" s="45">
        <v>24.896999999999998</v>
      </c>
      <c r="CZ15" s="45">
        <v>24.908000000000001</v>
      </c>
      <c r="DA15" s="45">
        <v>24.931000000000001</v>
      </c>
      <c r="DB15" s="45">
        <v>24.939</v>
      </c>
      <c r="DC15" s="45">
        <v>25.062999999999999</v>
      </c>
      <c r="DD15" s="45">
        <v>25.132999999999999</v>
      </c>
      <c r="DE15" s="49">
        <v>25.140999999999998</v>
      </c>
      <c r="DF15" s="45">
        <v>25.242999999999999</v>
      </c>
      <c r="DG15" s="45">
        <v>25.32</v>
      </c>
      <c r="DH15" s="45">
        <v>25.349</v>
      </c>
      <c r="DI15" s="45">
        <v>25.372</v>
      </c>
      <c r="DJ15" s="45">
        <v>25.414000000000001</v>
      </c>
      <c r="DK15" s="45">
        <v>25.454000000000001</v>
      </c>
      <c r="DL15" s="45">
        <v>25.495000000000001</v>
      </c>
      <c r="DM15" s="45">
        <v>25.544</v>
      </c>
      <c r="DN15" s="45">
        <v>25.616</v>
      </c>
      <c r="DO15" s="45">
        <v>25.652999999999999</v>
      </c>
      <c r="DP15" s="45">
        <v>25.681999999999999</v>
      </c>
      <c r="DQ15" s="49">
        <v>25.69</v>
      </c>
      <c r="DR15" s="45">
        <v>25.718</v>
      </c>
      <c r="DS15" s="45">
        <v>25.741</v>
      </c>
      <c r="DT15" s="45">
        <v>25.763000000000002</v>
      </c>
      <c r="DU15" s="45">
        <v>25.763000000000002</v>
      </c>
      <c r="DV15" s="45">
        <v>25.766999999999999</v>
      </c>
      <c r="DW15" s="45">
        <v>25.8</v>
      </c>
      <c r="DX15" s="45">
        <v>25.803999999999998</v>
      </c>
      <c r="DY15" s="45">
        <v>25.853999999999999</v>
      </c>
      <c r="DZ15" s="45">
        <v>25.904</v>
      </c>
      <c r="EA15" s="45">
        <v>25.939</v>
      </c>
      <c r="EB15" s="45">
        <v>25.956</v>
      </c>
      <c r="EC15" s="49">
        <v>25.956</v>
      </c>
      <c r="ED15" s="45">
        <v>26.026</v>
      </c>
      <c r="EE15" s="45">
        <v>26.041</v>
      </c>
      <c r="EF15" s="45">
        <v>26.068000000000001</v>
      </c>
      <c r="EG15" s="45">
        <v>26.093</v>
      </c>
      <c r="EH15" s="45">
        <v>26.126000000000001</v>
      </c>
      <c r="EI15" s="45">
        <v>26.193999999999999</v>
      </c>
      <c r="EJ15" s="45">
        <v>26.236999999999998</v>
      </c>
      <c r="EK15" s="45">
        <v>26.306999999999999</v>
      </c>
      <c r="EL15" s="45">
        <v>26.422000000000001</v>
      </c>
      <c r="EM15" s="45">
        <v>26.509</v>
      </c>
      <c r="EN15" s="45">
        <v>26.617000000000001</v>
      </c>
      <c r="EO15" s="82">
        <v>26.657</v>
      </c>
      <c r="EP15" s="45">
        <v>26.731999999999999</v>
      </c>
      <c r="EQ15" s="45">
        <v>26.795999999999999</v>
      </c>
      <c r="ER15" s="45">
        <v>26.823</v>
      </c>
      <c r="ES15" s="45">
        <v>26.844000000000001</v>
      </c>
      <c r="ET15" s="45">
        <v>26.927</v>
      </c>
      <c r="EU15" s="45">
        <v>26.966999999999999</v>
      </c>
      <c r="EV15" s="45">
        <v>27.03</v>
      </c>
      <c r="EW15" s="45">
        <v>27.1</v>
      </c>
      <c r="EX15" s="45">
        <v>27.195</v>
      </c>
      <c r="EY15" s="45">
        <v>27.253</v>
      </c>
      <c r="EZ15" s="45">
        <v>27.327999999999999</v>
      </c>
      <c r="FA15" s="82">
        <v>27.370999999999999</v>
      </c>
      <c r="FB15" s="45">
        <v>27.419</v>
      </c>
      <c r="FC15" s="45">
        <v>27.483000000000001</v>
      </c>
      <c r="FD15" s="45">
        <v>27.524999999999999</v>
      </c>
      <c r="FE15" s="45">
        <v>27.56</v>
      </c>
      <c r="FF15" s="45">
        <v>27.602</v>
      </c>
      <c r="FG15" s="45">
        <v>27.635999999999999</v>
      </c>
      <c r="FH15" s="45">
        <v>27.677</v>
      </c>
      <c r="FI15" s="45">
        <v>27.736999999999998</v>
      </c>
      <c r="FJ15" s="45">
        <v>27.824000000000002</v>
      </c>
      <c r="FK15" s="155">
        <v>27.893999999999998</v>
      </c>
      <c r="FL15" s="155">
        <v>27.946999999999999</v>
      </c>
      <c r="FM15" s="155">
        <v>27.969000000000001</v>
      </c>
      <c r="FN15" s="69">
        <v>28.010999999999999</v>
      </c>
      <c r="FO15" s="155">
        <v>28.129000000000001</v>
      </c>
      <c r="FP15" s="155">
        <v>28.172000000000001</v>
      </c>
      <c r="FQ15" s="155">
        <v>28.369</v>
      </c>
      <c r="FR15" s="155">
        <v>28.472999999999999</v>
      </c>
      <c r="FS15" s="155">
        <v>28.670999999999999</v>
      </c>
      <c r="FT15" s="155">
        <v>28.797999999999998</v>
      </c>
      <c r="FU15" s="178">
        <v>28.934000000000001</v>
      </c>
      <c r="FV15" s="178">
        <v>29.082000000000001</v>
      </c>
      <c r="FW15" s="178">
        <v>29.311</v>
      </c>
      <c r="FX15" s="178">
        <v>29.652999999999999</v>
      </c>
      <c r="FY15" s="180">
        <v>29.727</v>
      </c>
      <c r="FZ15" s="178">
        <v>29.817</v>
      </c>
      <c r="GA15" s="178">
        <v>29.994</v>
      </c>
      <c r="GB15" s="178">
        <v>30.239000000000001</v>
      </c>
      <c r="GC15" s="178">
        <v>30.388000000000002</v>
      </c>
      <c r="GD15" s="178">
        <v>30.748999999999999</v>
      </c>
      <c r="GE15" s="178">
        <v>31.053000000000001</v>
      </c>
      <c r="GF15" s="178">
        <v>31.196000000000002</v>
      </c>
      <c r="GG15" s="178">
        <v>31.393000000000001</v>
      </c>
      <c r="GH15" s="178">
        <v>31.507000000000001</v>
      </c>
      <c r="GI15" s="178">
        <v>31.759</v>
      </c>
      <c r="GJ15" s="178">
        <v>32.072000000000003</v>
      </c>
      <c r="GK15" s="180">
        <v>32.249000000000002</v>
      </c>
      <c r="GL15" s="178">
        <v>32.451999999999998</v>
      </c>
      <c r="GM15" s="178">
        <v>32.685000000000002</v>
      </c>
      <c r="GN15" s="178">
        <v>33.045999999999999</v>
      </c>
      <c r="GO15" s="178">
        <v>33.314</v>
      </c>
      <c r="GP15" s="178">
        <v>33.508000000000003</v>
      </c>
    </row>
    <row r="16" spans="1:198" s="1" customFormat="1" ht="20.149999999999999" customHeight="1" x14ac:dyDescent="0.35">
      <c r="A16" s="31" t="s">
        <v>1626</v>
      </c>
      <c r="B16" s="45">
        <v>0.51300000000000001</v>
      </c>
      <c r="C16" s="45">
        <v>0.51300000000000001</v>
      </c>
      <c r="D16" s="45">
        <v>0.51300000000000001</v>
      </c>
      <c r="E16" s="45">
        <v>0.51300000000000001</v>
      </c>
      <c r="F16" s="45">
        <v>0.51300000000000001</v>
      </c>
      <c r="G16" s="45">
        <v>0.51300000000000001</v>
      </c>
      <c r="H16" s="45">
        <v>0.51300000000000001</v>
      </c>
      <c r="I16" s="45">
        <v>0.51300000000000001</v>
      </c>
      <c r="J16" s="45">
        <v>0.51300000000000001</v>
      </c>
      <c r="K16" s="45">
        <v>0.51900000000000002</v>
      </c>
      <c r="L16" s="45">
        <v>0.51900000000000002</v>
      </c>
      <c r="M16" s="49">
        <v>0.52400000000000002</v>
      </c>
      <c r="N16" s="50">
        <v>0.52400000000000002</v>
      </c>
      <c r="O16" s="45">
        <v>0.53100000000000003</v>
      </c>
      <c r="P16" s="45">
        <v>0.53600000000000003</v>
      </c>
      <c r="Q16" s="45">
        <v>0.54100000000000004</v>
      </c>
      <c r="R16" s="45">
        <v>0.56899999999999995</v>
      </c>
      <c r="S16" s="45">
        <v>0.60699999999999998</v>
      </c>
      <c r="T16" s="45">
        <v>0.621</v>
      </c>
      <c r="U16" s="45">
        <v>0.63700000000000001</v>
      </c>
      <c r="V16" s="45">
        <v>0.65100000000000002</v>
      </c>
      <c r="W16" s="45">
        <v>0.70199999999999996</v>
      </c>
      <c r="X16" s="45">
        <v>0.76</v>
      </c>
      <c r="Y16" s="49">
        <v>0.86199999999999999</v>
      </c>
      <c r="Z16" s="50">
        <v>0.97299999999999998</v>
      </c>
      <c r="AA16" s="45">
        <v>0.999</v>
      </c>
      <c r="AB16" s="45">
        <v>1.0309999999999999</v>
      </c>
      <c r="AC16" s="45">
        <v>1.0740000000000001</v>
      </c>
      <c r="AD16" s="45">
        <v>1.1319999999999999</v>
      </c>
      <c r="AE16" s="45">
        <v>1.1579999999999999</v>
      </c>
      <c r="AF16" s="45">
        <v>1.2290000000000001</v>
      </c>
      <c r="AG16" s="45">
        <v>1.454</v>
      </c>
      <c r="AH16" s="45">
        <v>1.7070000000000001</v>
      </c>
      <c r="AI16" s="45">
        <v>2.1859999999999999</v>
      </c>
      <c r="AJ16" s="45">
        <v>2.681</v>
      </c>
      <c r="AK16" s="49">
        <v>3.121</v>
      </c>
      <c r="AL16" s="50">
        <v>3.669</v>
      </c>
      <c r="AM16" s="45">
        <v>4.1459999999999999</v>
      </c>
      <c r="AN16" s="45">
        <v>4.8150000000000004</v>
      </c>
      <c r="AO16" s="45">
        <v>5.45</v>
      </c>
      <c r="AP16" s="45">
        <v>6.2290000000000001</v>
      </c>
      <c r="AQ16" s="45">
        <v>6.9690000000000003</v>
      </c>
      <c r="AR16" s="45">
        <v>8.1440000000000001</v>
      </c>
      <c r="AS16" s="45">
        <v>9.7829999999999995</v>
      </c>
      <c r="AT16" s="45">
        <v>11.89</v>
      </c>
      <c r="AU16" s="45">
        <v>13.694000000000001</v>
      </c>
      <c r="AV16" s="45">
        <v>15.805</v>
      </c>
      <c r="AW16" s="49">
        <v>17.353000000000002</v>
      </c>
      <c r="AX16" s="45">
        <v>19.427</v>
      </c>
      <c r="AY16" s="45">
        <v>25.596</v>
      </c>
      <c r="AZ16" s="45">
        <v>26.675000000000001</v>
      </c>
      <c r="BA16" s="45">
        <v>27.686</v>
      </c>
      <c r="BB16" s="45">
        <v>28.856000000000002</v>
      </c>
      <c r="BC16" s="45">
        <v>30.077000000000002</v>
      </c>
      <c r="BD16" s="45">
        <v>31.099</v>
      </c>
      <c r="BE16" s="45">
        <v>32.238</v>
      </c>
      <c r="BF16" s="45">
        <v>33.601999999999997</v>
      </c>
      <c r="BG16" s="45">
        <v>34.972999999999999</v>
      </c>
      <c r="BH16" s="45">
        <v>36.171999999999997</v>
      </c>
      <c r="BI16" s="49">
        <v>37.15</v>
      </c>
      <c r="BJ16" s="45">
        <v>38.067999999999998</v>
      </c>
      <c r="BK16" s="45">
        <v>39.154000000000003</v>
      </c>
      <c r="BL16" s="45">
        <v>40.268000000000001</v>
      </c>
      <c r="BM16" s="45">
        <v>41.366999999999997</v>
      </c>
      <c r="BN16" s="45">
        <v>42.468000000000004</v>
      </c>
      <c r="BO16" s="45">
        <v>43.582000000000001</v>
      </c>
      <c r="BP16" s="45">
        <v>44.698999999999998</v>
      </c>
      <c r="BQ16" s="45">
        <v>46.607999999999997</v>
      </c>
      <c r="BR16" s="45">
        <v>50.621000000000002</v>
      </c>
      <c r="BS16" s="45">
        <v>51.173000000000002</v>
      </c>
      <c r="BT16" s="45">
        <v>51.738999999999997</v>
      </c>
      <c r="BU16" s="49">
        <v>52.182000000000002</v>
      </c>
      <c r="BV16" s="45">
        <v>52.679000000000002</v>
      </c>
      <c r="BW16" s="45">
        <v>53.104999999999997</v>
      </c>
      <c r="BX16" s="45">
        <v>53.646999999999998</v>
      </c>
      <c r="BY16" s="45">
        <v>54.215000000000003</v>
      </c>
      <c r="BZ16" s="45">
        <v>54.838000000000001</v>
      </c>
      <c r="CA16" s="45">
        <v>55.567999999999998</v>
      </c>
      <c r="CB16" s="45">
        <v>56.152000000000001</v>
      </c>
      <c r="CC16" s="45">
        <v>57.045000000000002</v>
      </c>
      <c r="CD16" s="45">
        <v>58.844000000000001</v>
      </c>
      <c r="CE16" s="45">
        <v>58.892000000000003</v>
      </c>
      <c r="CF16" s="45">
        <v>59.024999999999999</v>
      </c>
      <c r="CG16" s="49">
        <v>59.146999999999998</v>
      </c>
      <c r="CH16" s="45">
        <v>59.232999999999997</v>
      </c>
      <c r="CI16" s="45">
        <v>59.392000000000003</v>
      </c>
      <c r="CJ16" s="45">
        <v>59.881999999999998</v>
      </c>
      <c r="CK16" s="45">
        <v>59.898000000000003</v>
      </c>
      <c r="CL16" s="45">
        <v>59.902000000000001</v>
      </c>
      <c r="CM16" s="45">
        <v>59.902000000000001</v>
      </c>
      <c r="CN16" s="45">
        <v>59.905999999999999</v>
      </c>
      <c r="CO16" s="45">
        <v>59.93</v>
      </c>
      <c r="CP16" s="45">
        <v>59.948</v>
      </c>
      <c r="CQ16" s="45">
        <v>59.948</v>
      </c>
      <c r="CR16" s="45">
        <v>59.965000000000003</v>
      </c>
      <c r="CS16" s="49">
        <v>59.969000000000001</v>
      </c>
      <c r="CT16" s="45">
        <v>59.976999999999997</v>
      </c>
      <c r="CU16" s="45">
        <v>60.024999999999999</v>
      </c>
      <c r="CV16" s="45">
        <v>60.076999999999998</v>
      </c>
      <c r="CW16" s="45">
        <v>60.125999999999998</v>
      </c>
      <c r="CX16" s="45">
        <v>60.155999999999999</v>
      </c>
      <c r="CY16" s="45">
        <v>60.189</v>
      </c>
      <c r="CZ16" s="45">
        <v>60.231999999999999</v>
      </c>
      <c r="DA16" s="45">
        <v>60.280999999999999</v>
      </c>
      <c r="DB16" s="45">
        <v>60.311</v>
      </c>
      <c r="DC16" s="45">
        <v>60.319000000000003</v>
      </c>
      <c r="DD16" s="45">
        <v>60.331000000000003</v>
      </c>
      <c r="DE16" s="49">
        <v>60.354999999999997</v>
      </c>
      <c r="DF16" s="45">
        <v>60.378</v>
      </c>
      <c r="DG16" s="45">
        <v>60.406999999999996</v>
      </c>
      <c r="DH16" s="45">
        <v>60.427</v>
      </c>
      <c r="DI16" s="45">
        <v>60.436</v>
      </c>
      <c r="DJ16" s="45">
        <v>60.448</v>
      </c>
      <c r="DK16" s="45">
        <v>60.476999999999997</v>
      </c>
      <c r="DL16" s="45">
        <v>60.508000000000003</v>
      </c>
      <c r="DM16" s="45">
        <v>60.524999999999999</v>
      </c>
      <c r="DN16" s="45">
        <v>60.555999999999997</v>
      </c>
      <c r="DO16" s="45">
        <v>60.567999999999998</v>
      </c>
      <c r="DP16" s="45">
        <v>60.576999999999998</v>
      </c>
      <c r="DQ16" s="49">
        <v>60.591000000000001</v>
      </c>
      <c r="DR16" s="45">
        <v>60.621000000000002</v>
      </c>
      <c r="DS16" s="45">
        <v>60.671999999999997</v>
      </c>
      <c r="DT16" s="45">
        <v>60.695999999999998</v>
      </c>
      <c r="DU16" s="45">
        <v>60.7</v>
      </c>
      <c r="DV16" s="45">
        <v>60.7</v>
      </c>
      <c r="DW16" s="45">
        <v>60.75</v>
      </c>
      <c r="DX16" s="45">
        <v>60.802</v>
      </c>
      <c r="DY16" s="45">
        <v>60.837000000000003</v>
      </c>
      <c r="DZ16" s="45">
        <v>60.889000000000003</v>
      </c>
      <c r="EA16" s="45">
        <v>60.902999999999999</v>
      </c>
      <c r="EB16" s="45">
        <v>60.954999999999998</v>
      </c>
      <c r="EC16" s="49">
        <v>60.98</v>
      </c>
      <c r="ED16" s="45">
        <v>61.006999999999998</v>
      </c>
      <c r="EE16" s="45">
        <v>61.054000000000002</v>
      </c>
      <c r="EF16" s="45">
        <v>61.122999999999998</v>
      </c>
      <c r="EG16" s="45">
        <v>61.210999999999999</v>
      </c>
      <c r="EH16" s="45">
        <v>61.366</v>
      </c>
      <c r="EI16" s="45">
        <v>61.52</v>
      </c>
      <c r="EJ16" s="45">
        <v>61.604999999999997</v>
      </c>
      <c r="EK16" s="45">
        <v>61.77</v>
      </c>
      <c r="EL16" s="45">
        <v>62.014000000000003</v>
      </c>
      <c r="EM16" s="45">
        <v>62.124000000000002</v>
      </c>
      <c r="EN16" s="45">
        <v>62.482999999999997</v>
      </c>
      <c r="EO16" s="82">
        <v>62.634</v>
      </c>
      <c r="EP16" s="45">
        <v>63.052999999999997</v>
      </c>
      <c r="EQ16" s="45">
        <v>63.283000000000001</v>
      </c>
      <c r="ER16" s="45">
        <v>63.664000000000001</v>
      </c>
      <c r="ES16" s="45">
        <v>64.058999999999997</v>
      </c>
      <c r="ET16" s="45">
        <v>64.771000000000001</v>
      </c>
      <c r="EU16" s="45">
        <v>65.403999999999996</v>
      </c>
      <c r="EV16" s="45">
        <v>65.971000000000004</v>
      </c>
      <c r="EW16" s="45">
        <v>66.602000000000004</v>
      </c>
      <c r="EX16" s="45">
        <v>67.447999999999993</v>
      </c>
      <c r="EY16" s="45">
        <v>68.221000000000004</v>
      </c>
      <c r="EZ16" s="45">
        <v>69.337000000000003</v>
      </c>
      <c r="FA16" s="82">
        <v>70.010000000000005</v>
      </c>
      <c r="FB16" s="45">
        <v>70.956999999999994</v>
      </c>
      <c r="FC16" s="45">
        <v>71.680000000000007</v>
      </c>
      <c r="FD16" s="45">
        <v>72.34</v>
      </c>
      <c r="FE16" s="45">
        <v>72.796999999999997</v>
      </c>
      <c r="FF16" s="45">
        <v>73.52</v>
      </c>
      <c r="FG16" s="45">
        <v>74.317999999999998</v>
      </c>
      <c r="FH16" s="45">
        <v>75.031999999999996</v>
      </c>
      <c r="FI16" s="45">
        <v>75.899000000000001</v>
      </c>
      <c r="FJ16" s="45">
        <v>76.576999999999998</v>
      </c>
      <c r="FK16" s="155">
        <v>77.293999999999997</v>
      </c>
      <c r="FL16" s="155">
        <v>77.962000000000003</v>
      </c>
      <c r="FM16" s="155">
        <v>78.421000000000006</v>
      </c>
      <c r="FN16" s="69">
        <v>78.888000000000005</v>
      </c>
      <c r="FO16" s="155">
        <v>79.45</v>
      </c>
      <c r="FP16" s="155">
        <v>79.816000000000003</v>
      </c>
      <c r="FQ16" s="155">
        <v>80.408000000000001</v>
      </c>
      <c r="FR16" s="155">
        <v>81.048000000000002</v>
      </c>
      <c r="FS16" s="155">
        <v>81.817999999999998</v>
      </c>
      <c r="FT16" s="155">
        <v>82.554000000000002</v>
      </c>
      <c r="FU16" s="178">
        <v>83.346999999999994</v>
      </c>
      <c r="FV16" s="178">
        <v>83.986000000000004</v>
      </c>
      <c r="FW16" s="178">
        <v>84.641999999999996</v>
      </c>
      <c r="FX16" s="178">
        <v>85.343000000000004</v>
      </c>
      <c r="FY16" s="180">
        <v>85.652000000000001</v>
      </c>
      <c r="FZ16" s="178">
        <v>86.241</v>
      </c>
      <c r="GA16" s="178">
        <v>86.813999999999993</v>
      </c>
      <c r="GB16" s="178">
        <v>87.671000000000006</v>
      </c>
      <c r="GC16" s="178">
        <v>88.418000000000006</v>
      </c>
      <c r="GD16" s="178">
        <v>89.674000000000007</v>
      </c>
      <c r="GE16" s="178">
        <v>90.811999999999998</v>
      </c>
      <c r="GF16" s="178">
        <v>91.697999999999993</v>
      </c>
      <c r="GG16" s="178">
        <v>92.727000000000004</v>
      </c>
      <c r="GH16" s="178">
        <v>93.790999999999997</v>
      </c>
      <c r="GI16" s="178">
        <v>94.94</v>
      </c>
      <c r="GJ16" s="178">
        <v>96.013999999999996</v>
      </c>
      <c r="GK16" s="180">
        <v>96.686999999999998</v>
      </c>
      <c r="GL16" s="178">
        <v>97.703999999999994</v>
      </c>
      <c r="GM16" s="178">
        <v>98.745999999999995</v>
      </c>
      <c r="GN16" s="178">
        <v>100.09099999999999</v>
      </c>
      <c r="GO16" s="178">
        <v>101.791</v>
      </c>
      <c r="GP16" s="178">
        <v>103.065</v>
      </c>
    </row>
    <row r="17" spans="1:200" s="1" customFormat="1" ht="20.149999999999999" customHeight="1" x14ac:dyDescent="0.35">
      <c r="A17" s="31" t="s">
        <v>1625</v>
      </c>
      <c r="B17" s="45">
        <v>0.217</v>
      </c>
      <c r="C17" s="45">
        <v>0.217</v>
      </c>
      <c r="D17" s="45">
        <v>0.25</v>
      </c>
      <c r="E17" s="45">
        <v>0.25</v>
      </c>
      <c r="F17" s="45">
        <v>0.25</v>
      </c>
      <c r="G17" s="45">
        <v>0.26200000000000001</v>
      </c>
      <c r="H17" s="45">
        <v>0.27700000000000002</v>
      </c>
      <c r="I17" s="45">
        <v>0.27700000000000002</v>
      </c>
      <c r="J17" s="45">
        <v>0.27700000000000002</v>
      </c>
      <c r="K17" s="45">
        <v>0.27700000000000002</v>
      </c>
      <c r="L17" s="45">
        <v>0.27700000000000002</v>
      </c>
      <c r="M17" s="49">
        <v>0.27700000000000002</v>
      </c>
      <c r="N17" s="50">
        <v>0.27700000000000002</v>
      </c>
      <c r="O17" s="45">
        <v>0.27700000000000002</v>
      </c>
      <c r="P17" s="45">
        <v>0.27700000000000002</v>
      </c>
      <c r="Q17" s="45">
        <v>0.27700000000000002</v>
      </c>
      <c r="R17" s="45">
        <v>0.27700000000000002</v>
      </c>
      <c r="S17" s="45">
        <v>0.27700000000000002</v>
      </c>
      <c r="T17" s="45">
        <v>0.27700000000000002</v>
      </c>
      <c r="U17" s="45">
        <v>0.27700000000000002</v>
      </c>
      <c r="V17" s="45">
        <v>0.27700000000000002</v>
      </c>
      <c r="W17" s="45">
        <v>0.29699999999999999</v>
      </c>
      <c r="X17" s="45">
        <v>0.29699999999999999</v>
      </c>
      <c r="Y17" s="49">
        <v>0.307</v>
      </c>
      <c r="Z17" s="50">
        <v>0.307</v>
      </c>
      <c r="AA17" s="45">
        <v>0.34799999999999998</v>
      </c>
      <c r="AB17" s="45">
        <v>0.38800000000000001</v>
      </c>
      <c r="AC17" s="45">
        <v>0.40799999999999997</v>
      </c>
      <c r="AD17" s="45">
        <v>0.40799999999999997</v>
      </c>
      <c r="AE17" s="45">
        <v>0.40799999999999997</v>
      </c>
      <c r="AF17" s="45">
        <v>0.40799999999999997</v>
      </c>
      <c r="AG17" s="45">
        <v>0.49099999999999999</v>
      </c>
      <c r="AH17" s="45">
        <v>0.54200000000000004</v>
      </c>
      <c r="AI17" s="45">
        <v>0.67300000000000004</v>
      </c>
      <c r="AJ17" s="45">
        <v>0.89300000000000002</v>
      </c>
      <c r="AK17" s="49">
        <v>0.98599999999999999</v>
      </c>
      <c r="AL17" s="50">
        <v>1.125</v>
      </c>
      <c r="AM17" s="45">
        <v>1.2</v>
      </c>
      <c r="AN17" s="45">
        <v>1.33</v>
      </c>
      <c r="AO17" s="45">
        <v>1.409</v>
      </c>
      <c r="AP17" s="45">
        <v>1.7350000000000001</v>
      </c>
      <c r="AQ17" s="45">
        <v>2.1520000000000001</v>
      </c>
      <c r="AR17" s="45">
        <v>2.544</v>
      </c>
      <c r="AS17" s="45">
        <v>3.3479999999999999</v>
      </c>
      <c r="AT17" s="45">
        <v>3.7559999999999998</v>
      </c>
      <c r="AU17" s="45">
        <v>4.2629999999999999</v>
      </c>
      <c r="AV17" s="45">
        <v>5.141</v>
      </c>
      <c r="AW17" s="49">
        <v>5.8049999999999997</v>
      </c>
      <c r="AX17" s="45">
        <v>6.9489999999999998</v>
      </c>
      <c r="AY17" s="45">
        <v>10.959</v>
      </c>
      <c r="AZ17" s="45">
        <v>11.295</v>
      </c>
      <c r="BA17" s="45">
        <v>11.76</v>
      </c>
      <c r="BB17" s="45">
        <v>12.656000000000001</v>
      </c>
      <c r="BC17" s="45">
        <v>13.215999999999999</v>
      </c>
      <c r="BD17" s="45">
        <v>13.746</v>
      </c>
      <c r="BE17" s="45">
        <v>14.12</v>
      </c>
      <c r="BF17" s="45">
        <v>14.744</v>
      </c>
      <c r="BG17" s="45">
        <v>15.169</v>
      </c>
      <c r="BH17" s="45">
        <v>15.662000000000001</v>
      </c>
      <c r="BI17" s="49">
        <v>16.146999999999998</v>
      </c>
      <c r="BJ17" s="45">
        <v>16.981000000000002</v>
      </c>
      <c r="BK17" s="45">
        <v>18.204999999999998</v>
      </c>
      <c r="BL17" s="45">
        <v>20.013000000000002</v>
      </c>
      <c r="BM17" s="45">
        <v>21.024000000000001</v>
      </c>
      <c r="BN17" s="45">
        <v>21.792999999999999</v>
      </c>
      <c r="BO17" s="45">
        <v>22.95</v>
      </c>
      <c r="BP17" s="45">
        <v>23.696999999999999</v>
      </c>
      <c r="BQ17" s="45">
        <v>25.457000000000001</v>
      </c>
      <c r="BR17" s="45">
        <v>31.257999999999999</v>
      </c>
      <c r="BS17" s="45">
        <v>31.553000000000001</v>
      </c>
      <c r="BT17" s="45">
        <v>31.757999999999999</v>
      </c>
      <c r="BU17" s="49">
        <v>31.937000000000001</v>
      </c>
      <c r="BV17" s="45">
        <v>32.161999999999999</v>
      </c>
      <c r="BW17" s="45">
        <v>32.356000000000002</v>
      </c>
      <c r="BX17" s="45">
        <v>32.69</v>
      </c>
      <c r="BY17" s="45">
        <v>32.917999999999999</v>
      </c>
      <c r="BZ17" s="45">
        <v>33.335999999999999</v>
      </c>
      <c r="CA17" s="45">
        <v>33.953000000000003</v>
      </c>
      <c r="CB17" s="45">
        <v>34.661000000000001</v>
      </c>
      <c r="CC17" s="45">
        <v>35.612000000000002</v>
      </c>
      <c r="CD17" s="45">
        <v>39.152999999999999</v>
      </c>
      <c r="CE17" s="45">
        <v>39.226999999999997</v>
      </c>
      <c r="CF17" s="45">
        <v>39.283000000000001</v>
      </c>
      <c r="CG17" s="49">
        <v>39.354999999999997</v>
      </c>
      <c r="CH17" s="45">
        <v>39.378999999999998</v>
      </c>
      <c r="CI17" s="45">
        <v>39.555999999999997</v>
      </c>
      <c r="CJ17" s="45">
        <v>40.21</v>
      </c>
      <c r="CK17" s="45">
        <v>40.241999999999997</v>
      </c>
      <c r="CL17" s="45">
        <v>40.241999999999997</v>
      </c>
      <c r="CM17" s="45">
        <v>40.292000000000002</v>
      </c>
      <c r="CN17" s="45">
        <v>40.304000000000002</v>
      </c>
      <c r="CO17" s="45">
        <v>40.347999999999999</v>
      </c>
      <c r="CP17" s="45">
        <v>40.347999999999999</v>
      </c>
      <c r="CQ17" s="45">
        <v>40.36</v>
      </c>
      <c r="CR17" s="45">
        <v>40.49</v>
      </c>
      <c r="CS17" s="49">
        <v>40.567</v>
      </c>
      <c r="CT17" s="45">
        <v>40.567</v>
      </c>
      <c r="CU17" s="45">
        <v>40.579000000000001</v>
      </c>
      <c r="CV17" s="45">
        <v>40.579000000000001</v>
      </c>
      <c r="CW17" s="45">
        <v>40.651000000000003</v>
      </c>
      <c r="CX17" s="45">
        <v>40.662999999999997</v>
      </c>
      <c r="CY17" s="45">
        <v>40.674999999999997</v>
      </c>
      <c r="CZ17" s="45">
        <v>40.686999999999998</v>
      </c>
      <c r="DA17" s="45">
        <v>40.805</v>
      </c>
      <c r="DB17" s="45">
        <v>40.817</v>
      </c>
      <c r="DC17" s="45">
        <v>40.826999999999998</v>
      </c>
      <c r="DD17" s="45">
        <v>40.85</v>
      </c>
      <c r="DE17" s="49">
        <v>40.904000000000003</v>
      </c>
      <c r="DF17" s="45">
        <v>40.904000000000003</v>
      </c>
      <c r="DG17" s="45">
        <v>40.966000000000001</v>
      </c>
      <c r="DH17" s="45">
        <v>40.966000000000001</v>
      </c>
      <c r="DI17" s="45">
        <v>40.966000000000001</v>
      </c>
      <c r="DJ17" s="45">
        <v>40.966000000000001</v>
      </c>
      <c r="DK17" s="45">
        <v>41.002000000000002</v>
      </c>
      <c r="DL17" s="45">
        <v>41.002000000000002</v>
      </c>
      <c r="DM17" s="45">
        <v>41.014000000000003</v>
      </c>
      <c r="DN17" s="45">
        <v>41.082000000000001</v>
      </c>
      <c r="DO17" s="45">
        <v>41.128999999999998</v>
      </c>
      <c r="DP17" s="45">
        <v>41.149000000000001</v>
      </c>
      <c r="DQ17" s="49">
        <v>41.161999999999999</v>
      </c>
      <c r="DR17" s="45">
        <v>41.173999999999999</v>
      </c>
      <c r="DS17" s="45">
        <v>41.173999999999999</v>
      </c>
      <c r="DT17" s="45">
        <v>41.186</v>
      </c>
      <c r="DU17" s="45">
        <v>41.198</v>
      </c>
      <c r="DV17" s="45">
        <v>41.198</v>
      </c>
      <c r="DW17" s="45">
        <v>41.219000000000001</v>
      </c>
      <c r="DX17" s="45">
        <v>41.27</v>
      </c>
      <c r="DY17" s="45">
        <v>41.27</v>
      </c>
      <c r="DZ17" s="45">
        <v>41.293999999999997</v>
      </c>
      <c r="EA17" s="45">
        <v>41.293999999999997</v>
      </c>
      <c r="EB17" s="45">
        <v>41.293999999999997</v>
      </c>
      <c r="EC17" s="49">
        <v>41.293999999999997</v>
      </c>
      <c r="ED17" s="45">
        <v>41.304000000000002</v>
      </c>
      <c r="EE17" s="45">
        <v>41.304000000000002</v>
      </c>
      <c r="EF17" s="45">
        <v>41.326000000000001</v>
      </c>
      <c r="EG17" s="45">
        <v>41.393999999999998</v>
      </c>
      <c r="EH17" s="45">
        <v>41.454999999999998</v>
      </c>
      <c r="EI17" s="45">
        <v>41.530999999999999</v>
      </c>
      <c r="EJ17" s="45">
        <v>41.546999999999997</v>
      </c>
      <c r="EK17" s="45">
        <v>41.558</v>
      </c>
      <c r="EL17" s="45">
        <v>41.603000000000002</v>
      </c>
      <c r="EM17" s="45">
        <v>41.673000000000002</v>
      </c>
      <c r="EN17" s="45">
        <v>41.718000000000004</v>
      </c>
      <c r="EO17" s="82">
        <v>41.761000000000003</v>
      </c>
      <c r="EP17" s="45">
        <v>41.828000000000003</v>
      </c>
      <c r="EQ17" s="45">
        <v>41.954000000000001</v>
      </c>
      <c r="ER17" s="45">
        <v>42.094999999999999</v>
      </c>
      <c r="ES17" s="45">
        <v>42.191000000000003</v>
      </c>
      <c r="ET17" s="45">
        <v>42.323999999999998</v>
      </c>
      <c r="EU17" s="45">
        <v>42.511000000000003</v>
      </c>
      <c r="EV17" s="45">
        <v>42.656999999999996</v>
      </c>
      <c r="EW17" s="45">
        <v>42.85</v>
      </c>
      <c r="EX17" s="45">
        <v>43.018999999999998</v>
      </c>
      <c r="EY17" s="45">
        <v>43.448</v>
      </c>
      <c r="EZ17" s="45">
        <v>43.716000000000001</v>
      </c>
      <c r="FA17" s="82">
        <v>43.935000000000002</v>
      </c>
      <c r="FB17" s="45">
        <v>44.195</v>
      </c>
      <c r="FC17" s="45">
        <v>44.591000000000001</v>
      </c>
      <c r="FD17" s="45">
        <v>44.963000000000001</v>
      </c>
      <c r="FE17" s="45">
        <v>45.363</v>
      </c>
      <c r="FF17" s="45">
        <v>45.688000000000002</v>
      </c>
      <c r="FG17" s="45">
        <v>45.917999999999999</v>
      </c>
      <c r="FH17" s="45">
        <v>46.073</v>
      </c>
      <c r="FI17" s="45">
        <v>46.188000000000002</v>
      </c>
      <c r="FJ17" s="45">
        <v>46.466999999999999</v>
      </c>
      <c r="FK17" s="155">
        <v>47.034999999999997</v>
      </c>
      <c r="FL17" s="155">
        <v>47.271999999999998</v>
      </c>
      <c r="FM17" s="155">
        <v>47.49</v>
      </c>
      <c r="FN17" s="69">
        <v>47.613999999999997</v>
      </c>
      <c r="FO17" s="155">
        <v>47.874000000000002</v>
      </c>
      <c r="FP17" s="155">
        <v>48.018999999999998</v>
      </c>
      <c r="FQ17" s="155">
        <v>48.404000000000003</v>
      </c>
      <c r="FR17" s="155">
        <v>48.533000000000001</v>
      </c>
      <c r="FS17" s="155">
        <v>48.692999999999998</v>
      </c>
      <c r="FT17" s="155">
        <v>48.859000000000002</v>
      </c>
      <c r="FU17" s="178">
        <v>48.975000000000001</v>
      </c>
      <c r="FV17" s="178">
        <v>49.054000000000002</v>
      </c>
      <c r="FW17" s="178">
        <v>49.127000000000002</v>
      </c>
      <c r="FX17" s="178">
        <v>49.256</v>
      </c>
      <c r="FY17" s="180">
        <v>49.347000000000001</v>
      </c>
      <c r="FZ17" s="178">
        <v>49.432000000000002</v>
      </c>
      <c r="GA17" s="178">
        <v>49.637999999999998</v>
      </c>
      <c r="GB17" s="178">
        <v>49.720999999999997</v>
      </c>
      <c r="GC17" s="178">
        <v>49.933999999999997</v>
      </c>
      <c r="GD17" s="178">
        <v>50.204000000000001</v>
      </c>
      <c r="GE17" s="178">
        <v>50.545999999999999</v>
      </c>
      <c r="GF17" s="178">
        <v>50.777999999999999</v>
      </c>
      <c r="GG17" s="178">
        <v>51.006</v>
      </c>
      <c r="GH17" s="178">
        <v>51.207000000000001</v>
      </c>
      <c r="GI17" s="178">
        <v>51.610999999999997</v>
      </c>
      <c r="GJ17" s="178">
        <v>51.942</v>
      </c>
      <c r="GK17" s="180">
        <v>52.076999999999998</v>
      </c>
      <c r="GL17" s="178">
        <v>52.302999999999997</v>
      </c>
      <c r="GM17" s="178">
        <v>52.503</v>
      </c>
      <c r="GN17" s="178">
        <v>52.734000000000002</v>
      </c>
      <c r="GO17" s="178">
        <v>52.898000000000003</v>
      </c>
      <c r="GP17" s="178">
        <v>52.981999999999999</v>
      </c>
    </row>
    <row r="18" spans="1:200" s="1" customFormat="1" ht="20.149999999999999" customHeight="1" x14ac:dyDescent="0.35">
      <c r="A18" s="31" t="s">
        <v>1627</v>
      </c>
      <c r="B18" s="45">
        <v>0</v>
      </c>
      <c r="C18" s="45">
        <v>0</v>
      </c>
      <c r="D18" s="45">
        <v>0</v>
      </c>
      <c r="E18" s="45">
        <v>0</v>
      </c>
      <c r="F18" s="45">
        <v>0</v>
      </c>
      <c r="G18" s="45">
        <v>0</v>
      </c>
      <c r="H18" s="45">
        <v>0</v>
      </c>
      <c r="I18" s="45">
        <v>0</v>
      </c>
      <c r="J18" s="45">
        <v>0</v>
      </c>
      <c r="K18" s="45">
        <v>0</v>
      </c>
      <c r="L18" s="45">
        <v>0</v>
      </c>
      <c r="M18" s="49">
        <v>0</v>
      </c>
      <c r="N18" s="50">
        <v>0</v>
      </c>
      <c r="O18" s="45">
        <v>0</v>
      </c>
      <c r="P18" s="45">
        <v>0</v>
      </c>
      <c r="Q18" s="45">
        <v>0</v>
      </c>
      <c r="R18" s="45">
        <v>0</v>
      </c>
      <c r="S18" s="45">
        <v>0</v>
      </c>
      <c r="T18" s="45">
        <v>0</v>
      </c>
      <c r="U18" s="45">
        <v>0</v>
      </c>
      <c r="V18" s="45">
        <v>0</v>
      </c>
      <c r="W18" s="45">
        <v>0</v>
      </c>
      <c r="X18" s="45">
        <v>0</v>
      </c>
      <c r="Y18" s="49">
        <v>0</v>
      </c>
      <c r="Z18" s="50">
        <v>0</v>
      </c>
      <c r="AA18" s="45">
        <v>0</v>
      </c>
      <c r="AB18" s="45">
        <v>0</v>
      </c>
      <c r="AC18" s="45">
        <v>0</v>
      </c>
      <c r="AD18" s="45">
        <v>0</v>
      </c>
      <c r="AE18" s="45">
        <v>0</v>
      </c>
      <c r="AF18" s="45">
        <v>0</v>
      </c>
      <c r="AG18" s="45">
        <v>0</v>
      </c>
      <c r="AH18" s="45">
        <v>0</v>
      </c>
      <c r="AI18" s="45">
        <v>0.05</v>
      </c>
      <c r="AJ18" s="45">
        <v>0.255</v>
      </c>
      <c r="AK18" s="49">
        <v>0.255</v>
      </c>
      <c r="AL18" s="50">
        <v>0.255</v>
      </c>
      <c r="AM18" s="45">
        <v>0.255</v>
      </c>
      <c r="AN18" s="45">
        <v>0.255</v>
      </c>
      <c r="AO18" s="45">
        <v>0.255</v>
      </c>
      <c r="AP18" s="45">
        <v>0.255</v>
      </c>
      <c r="AQ18" s="45">
        <v>0.255</v>
      </c>
      <c r="AR18" s="45">
        <v>0.255</v>
      </c>
      <c r="AS18" s="45">
        <v>0.255</v>
      </c>
      <c r="AT18" s="45">
        <v>0.255</v>
      </c>
      <c r="AU18" s="45">
        <v>0.255</v>
      </c>
      <c r="AV18" s="45">
        <v>0.45500000000000002</v>
      </c>
      <c r="AW18" s="49">
        <v>0.45500000000000002</v>
      </c>
      <c r="AX18" s="45">
        <v>0.60499999999999998</v>
      </c>
      <c r="AY18" s="45">
        <v>0.85499999999999998</v>
      </c>
      <c r="AZ18" s="45">
        <v>1.0049999999999999</v>
      </c>
      <c r="BA18" s="45">
        <v>1.0049999999999999</v>
      </c>
      <c r="BB18" s="45">
        <v>1.3979999999999999</v>
      </c>
      <c r="BC18" s="45">
        <v>1.6479999999999999</v>
      </c>
      <c r="BD18" s="45">
        <v>2.266</v>
      </c>
      <c r="BE18" s="45">
        <v>2.3660000000000001</v>
      </c>
      <c r="BF18" s="45">
        <v>2.4159999999999999</v>
      </c>
      <c r="BG18" s="45">
        <v>2.6160000000000001</v>
      </c>
      <c r="BH18" s="45">
        <v>2.6659999999999999</v>
      </c>
      <c r="BI18" s="49">
        <v>4.1239999999999997</v>
      </c>
      <c r="BJ18" s="45">
        <v>4.3739999999999997</v>
      </c>
      <c r="BK18" s="45">
        <v>4.3739999999999997</v>
      </c>
      <c r="BL18" s="45">
        <v>4.7240000000000002</v>
      </c>
      <c r="BM18" s="45">
        <v>4.8739999999999997</v>
      </c>
      <c r="BN18" s="45">
        <v>8.8070000000000004</v>
      </c>
      <c r="BO18" s="45">
        <v>8.9570000000000007</v>
      </c>
      <c r="BP18" s="45">
        <v>9.157</v>
      </c>
      <c r="BQ18" s="45">
        <v>9.8569999999999993</v>
      </c>
      <c r="BR18" s="45">
        <v>10.606999999999999</v>
      </c>
      <c r="BS18" s="45">
        <v>10.757</v>
      </c>
      <c r="BT18" s="45">
        <v>10.757</v>
      </c>
      <c r="BU18" s="49">
        <v>10.907</v>
      </c>
      <c r="BV18" s="45">
        <v>10.907</v>
      </c>
      <c r="BW18" s="45">
        <v>11.037000000000001</v>
      </c>
      <c r="BX18" s="45">
        <v>11.037000000000001</v>
      </c>
      <c r="BY18" s="45">
        <v>11.286</v>
      </c>
      <c r="BZ18" s="45">
        <v>16.085999999999999</v>
      </c>
      <c r="CA18" s="45">
        <v>16.135999999999999</v>
      </c>
      <c r="CB18" s="45">
        <v>16.385999999999999</v>
      </c>
      <c r="CC18" s="45">
        <v>16.436</v>
      </c>
      <c r="CD18" s="45">
        <v>16.436</v>
      </c>
      <c r="CE18" s="45">
        <v>16.436</v>
      </c>
      <c r="CF18" s="45">
        <v>16.436</v>
      </c>
      <c r="CG18" s="49">
        <v>16.436</v>
      </c>
      <c r="CH18" s="45">
        <v>17.055</v>
      </c>
      <c r="CI18" s="45">
        <v>17.600000000000001</v>
      </c>
      <c r="CJ18" s="45">
        <v>19.867000000000001</v>
      </c>
      <c r="CK18" s="45">
        <v>19.867000000000001</v>
      </c>
      <c r="CL18" s="45">
        <v>19.917000000000002</v>
      </c>
      <c r="CM18" s="45">
        <v>19.917000000000002</v>
      </c>
      <c r="CN18" s="45">
        <v>19.917000000000002</v>
      </c>
      <c r="CO18" s="45">
        <v>19.917000000000002</v>
      </c>
      <c r="CP18" s="45">
        <v>19.917000000000002</v>
      </c>
      <c r="CQ18" s="45">
        <v>19.917000000000002</v>
      </c>
      <c r="CR18" s="45">
        <v>19.917000000000002</v>
      </c>
      <c r="CS18" s="49">
        <v>19.917000000000002</v>
      </c>
      <c r="CT18" s="45">
        <v>19.917000000000002</v>
      </c>
      <c r="CU18" s="45">
        <v>19.917000000000002</v>
      </c>
      <c r="CV18" s="45">
        <v>30.077999999999999</v>
      </c>
      <c r="CW18" s="45">
        <v>30.077999999999999</v>
      </c>
      <c r="CX18" s="45">
        <v>30.077999999999999</v>
      </c>
      <c r="CY18" s="45">
        <v>30.077999999999999</v>
      </c>
      <c r="CZ18" s="45">
        <v>30.077999999999999</v>
      </c>
      <c r="DA18" s="45">
        <v>30.077999999999999</v>
      </c>
      <c r="DB18" s="45">
        <v>30.077999999999999</v>
      </c>
      <c r="DC18" s="45">
        <v>30.077999999999999</v>
      </c>
      <c r="DD18" s="45">
        <v>30.077999999999999</v>
      </c>
      <c r="DE18" s="49">
        <v>30.077999999999999</v>
      </c>
      <c r="DF18" s="45">
        <v>30.077999999999999</v>
      </c>
      <c r="DG18" s="45">
        <v>30.077999999999999</v>
      </c>
      <c r="DH18" s="45">
        <v>30.077999999999999</v>
      </c>
      <c r="DI18" s="45">
        <v>30.077999999999999</v>
      </c>
      <c r="DJ18" s="45">
        <v>30.077999999999999</v>
      </c>
      <c r="DK18" s="45">
        <v>30.077999999999999</v>
      </c>
      <c r="DL18" s="45">
        <v>30.077999999999999</v>
      </c>
      <c r="DM18" s="45">
        <v>30.077999999999999</v>
      </c>
      <c r="DN18" s="45">
        <v>30.077999999999999</v>
      </c>
      <c r="DO18" s="45">
        <v>30.077999999999999</v>
      </c>
      <c r="DP18" s="45">
        <v>30.077999999999999</v>
      </c>
      <c r="DQ18" s="49">
        <v>30.077999999999999</v>
      </c>
      <c r="DR18" s="45">
        <v>30.077999999999999</v>
      </c>
      <c r="DS18" s="45">
        <v>30.077999999999999</v>
      </c>
      <c r="DT18" s="45">
        <v>30.077999999999999</v>
      </c>
      <c r="DU18" s="45">
        <v>30.077999999999999</v>
      </c>
      <c r="DV18" s="45">
        <v>30.077999999999999</v>
      </c>
      <c r="DW18" s="45">
        <v>30.077999999999999</v>
      </c>
      <c r="DX18" s="45">
        <v>30.077999999999999</v>
      </c>
      <c r="DY18" s="45">
        <v>30.178000000000001</v>
      </c>
      <c r="DZ18" s="45">
        <v>30.178000000000001</v>
      </c>
      <c r="EA18" s="45">
        <v>30.178000000000001</v>
      </c>
      <c r="EB18" s="45">
        <v>30.178000000000001</v>
      </c>
      <c r="EC18" s="49">
        <v>30.178000000000001</v>
      </c>
      <c r="ED18" s="45">
        <v>30.178000000000001</v>
      </c>
      <c r="EE18" s="45">
        <v>30.178000000000001</v>
      </c>
      <c r="EF18" s="45">
        <v>30.178000000000001</v>
      </c>
      <c r="EG18" s="45">
        <v>30.178000000000001</v>
      </c>
      <c r="EH18" s="45">
        <v>30.178000000000001</v>
      </c>
      <c r="EI18" s="45">
        <v>30.178000000000001</v>
      </c>
      <c r="EJ18" s="45">
        <v>30.178000000000001</v>
      </c>
      <c r="EK18" s="45">
        <v>30.178000000000001</v>
      </c>
      <c r="EL18" s="45">
        <v>30.178000000000001</v>
      </c>
      <c r="EM18" s="45">
        <v>30.178000000000001</v>
      </c>
      <c r="EN18" s="45">
        <v>30.178000000000001</v>
      </c>
      <c r="EO18" s="82">
        <v>30.178000000000001</v>
      </c>
      <c r="EP18" s="45">
        <v>30.178000000000001</v>
      </c>
      <c r="EQ18" s="45">
        <v>30.178000000000001</v>
      </c>
      <c r="ER18" s="45">
        <v>30.228000000000002</v>
      </c>
      <c r="ES18" s="45">
        <v>30.228000000000002</v>
      </c>
      <c r="ET18" s="45">
        <v>30.277999999999999</v>
      </c>
      <c r="EU18" s="45">
        <v>30.277999999999999</v>
      </c>
      <c r="EV18" s="45">
        <v>30.277999999999999</v>
      </c>
      <c r="EW18" s="45">
        <v>30.277999999999999</v>
      </c>
      <c r="EX18" s="45">
        <v>30.277999999999999</v>
      </c>
      <c r="EY18" s="45">
        <v>30.277999999999999</v>
      </c>
      <c r="EZ18" s="45">
        <v>30.277999999999999</v>
      </c>
      <c r="FA18" s="82">
        <v>30.277999999999999</v>
      </c>
      <c r="FB18" s="45">
        <v>30.277999999999999</v>
      </c>
      <c r="FC18" s="45">
        <v>30.277999999999999</v>
      </c>
      <c r="FD18" s="45">
        <v>30.277999999999999</v>
      </c>
      <c r="FE18" s="45">
        <v>30.277999999999999</v>
      </c>
      <c r="FF18" s="45">
        <v>30.277999999999999</v>
      </c>
      <c r="FG18" s="45">
        <v>30.277999999999999</v>
      </c>
      <c r="FH18" s="45">
        <v>30.277999999999999</v>
      </c>
      <c r="FI18" s="45">
        <v>30.277999999999999</v>
      </c>
      <c r="FJ18" s="45">
        <v>30.327999999999999</v>
      </c>
      <c r="FK18" s="155">
        <v>30.628</v>
      </c>
      <c r="FL18" s="155">
        <v>30.628</v>
      </c>
      <c r="FM18" s="155">
        <v>30.628</v>
      </c>
      <c r="FN18" s="69">
        <v>30.628</v>
      </c>
      <c r="FO18" s="155">
        <v>30.628</v>
      </c>
      <c r="FP18" s="155">
        <v>30.628</v>
      </c>
      <c r="FQ18" s="155">
        <v>30.628</v>
      </c>
      <c r="FR18" s="155">
        <v>30.628</v>
      </c>
      <c r="FS18" s="155">
        <v>30.628</v>
      </c>
      <c r="FT18" s="155">
        <v>30.678000000000001</v>
      </c>
      <c r="FU18" s="178">
        <v>30.678000000000001</v>
      </c>
      <c r="FV18" s="178">
        <v>30.678000000000001</v>
      </c>
      <c r="FW18" s="178">
        <v>30.678000000000001</v>
      </c>
      <c r="FX18" s="178">
        <v>30.678000000000001</v>
      </c>
      <c r="FY18" s="180">
        <v>30.895</v>
      </c>
      <c r="FZ18" s="178">
        <v>30.895</v>
      </c>
      <c r="GA18" s="178">
        <v>30.895</v>
      </c>
      <c r="GB18" s="178">
        <v>30.895</v>
      </c>
      <c r="GC18" s="178">
        <v>30.895</v>
      </c>
      <c r="GD18" s="178">
        <v>30.895</v>
      </c>
      <c r="GE18" s="178">
        <v>30.895</v>
      </c>
      <c r="GF18" s="178">
        <v>30.945</v>
      </c>
      <c r="GG18" s="178">
        <v>30.995000000000001</v>
      </c>
      <c r="GH18" s="178">
        <v>30.995000000000001</v>
      </c>
      <c r="GI18" s="178">
        <v>30.995000000000001</v>
      </c>
      <c r="GJ18" s="178">
        <v>30.995000000000001</v>
      </c>
      <c r="GK18" s="180">
        <v>30.995000000000001</v>
      </c>
      <c r="GL18" s="178">
        <v>30.995000000000001</v>
      </c>
      <c r="GM18" s="178">
        <v>31.045000000000002</v>
      </c>
      <c r="GN18" s="178">
        <v>31.045000000000002</v>
      </c>
      <c r="GO18" s="178">
        <v>31.045000000000002</v>
      </c>
      <c r="GP18" s="178">
        <v>31.045000000000002</v>
      </c>
    </row>
    <row r="19" spans="1:200" s="1" customFormat="1" ht="20.149999999999999" customHeight="1" x14ac:dyDescent="0.35">
      <c r="A19" s="31" t="s">
        <v>1624</v>
      </c>
      <c r="B19" s="45">
        <v>0</v>
      </c>
      <c r="C19" s="45">
        <v>0</v>
      </c>
      <c r="D19" s="45">
        <v>0</v>
      </c>
      <c r="E19" s="45">
        <v>0</v>
      </c>
      <c r="F19" s="45">
        <v>0</v>
      </c>
      <c r="G19" s="45">
        <v>0</v>
      </c>
      <c r="H19" s="45">
        <v>0</v>
      </c>
      <c r="I19" s="45">
        <v>0</v>
      </c>
      <c r="J19" s="45">
        <v>0</v>
      </c>
      <c r="K19" s="45">
        <v>0</v>
      </c>
      <c r="L19" s="45">
        <v>0</v>
      </c>
      <c r="M19" s="49">
        <v>0</v>
      </c>
      <c r="N19" s="50">
        <v>0</v>
      </c>
      <c r="O19" s="45">
        <v>0</v>
      </c>
      <c r="P19" s="45">
        <v>0</v>
      </c>
      <c r="Q19" s="45">
        <v>0</v>
      </c>
      <c r="R19" s="45">
        <v>0</v>
      </c>
      <c r="S19" s="45">
        <v>0</v>
      </c>
      <c r="T19" s="45">
        <v>0</v>
      </c>
      <c r="U19" s="45">
        <v>0</v>
      </c>
      <c r="V19" s="45">
        <v>0</v>
      </c>
      <c r="W19" s="45">
        <v>0</v>
      </c>
      <c r="X19" s="45">
        <v>0</v>
      </c>
      <c r="Y19" s="49">
        <v>0</v>
      </c>
      <c r="Z19" s="50">
        <v>0</v>
      </c>
      <c r="AA19" s="45">
        <v>0</v>
      </c>
      <c r="AB19" s="45">
        <v>0</v>
      </c>
      <c r="AC19" s="45">
        <v>0</v>
      </c>
      <c r="AD19" s="45">
        <v>0</v>
      </c>
      <c r="AE19" s="45">
        <v>0</v>
      </c>
      <c r="AF19" s="45">
        <v>0</v>
      </c>
      <c r="AG19" s="45">
        <v>0</v>
      </c>
      <c r="AH19" s="45">
        <v>0</v>
      </c>
      <c r="AI19" s="45">
        <v>0</v>
      </c>
      <c r="AJ19" s="45">
        <v>0</v>
      </c>
      <c r="AK19" s="49">
        <v>0</v>
      </c>
      <c r="AL19" s="50">
        <v>0</v>
      </c>
      <c r="AM19" s="45">
        <v>0</v>
      </c>
      <c r="AN19" s="45">
        <v>0</v>
      </c>
      <c r="AO19" s="45">
        <v>0</v>
      </c>
      <c r="AP19" s="45">
        <v>0</v>
      </c>
      <c r="AQ19" s="45">
        <v>0</v>
      </c>
      <c r="AR19" s="45">
        <v>0</v>
      </c>
      <c r="AS19" s="45">
        <v>0</v>
      </c>
      <c r="AT19" s="45">
        <v>0</v>
      </c>
      <c r="AU19" s="45">
        <v>0</v>
      </c>
      <c r="AV19" s="45">
        <v>0</v>
      </c>
      <c r="AW19" s="49">
        <v>0</v>
      </c>
      <c r="AX19" s="45">
        <v>0</v>
      </c>
      <c r="AY19" s="45">
        <v>0</v>
      </c>
      <c r="AZ19" s="45">
        <v>0</v>
      </c>
      <c r="BA19" s="45">
        <v>0</v>
      </c>
      <c r="BB19" s="45">
        <v>0</v>
      </c>
      <c r="BC19" s="45">
        <v>0</v>
      </c>
      <c r="BD19" s="45">
        <v>0</v>
      </c>
      <c r="BE19" s="45">
        <v>0</v>
      </c>
      <c r="BF19" s="45">
        <v>0</v>
      </c>
      <c r="BG19" s="45">
        <v>0</v>
      </c>
      <c r="BH19" s="45">
        <v>0</v>
      </c>
      <c r="BI19" s="49">
        <v>0</v>
      </c>
      <c r="BJ19" s="45">
        <v>0</v>
      </c>
      <c r="BK19" s="45">
        <v>0</v>
      </c>
      <c r="BL19" s="45">
        <v>0</v>
      </c>
      <c r="BM19" s="45">
        <v>0</v>
      </c>
      <c r="BN19" s="45">
        <v>0</v>
      </c>
      <c r="BO19" s="45">
        <v>0</v>
      </c>
      <c r="BP19" s="45">
        <v>0</v>
      </c>
      <c r="BQ19" s="45">
        <v>0</v>
      </c>
      <c r="BR19" s="45">
        <v>0</v>
      </c>
      <c r="BS19" s="45">
        <v>0</v>
      </c>
      <c r="BT19" s="45">
        <v>0</v>
      </c>
      <c r="BU19" s="49">
        <v>0</v>
      </c>
      <c r="BV19" s="45">
        <v>0</v>
      </c>
      <c r="BW19" s="45">
        <v>0</v>
      </c>
      <c r="BX19" s="45">
        <v>0</v>
      </c>
      <c r="BY19" s="45">
        <v>5.1260000000000003</v>
      </c>
      <c r="BZ19" s="45">
        <v>5.1260000000000003</v>
      </c>
      <c r="CA19" s="45">
        <v>5.1260000000000003</v>
      </c>
      <c r="CB19" s="45">
        <v>5.1260000000000003</v>
      </c>
      <c r="CC19" s="45">
        <v>5.1260000000000003</v>
      </c>
      <c r="CD19" s="45">
        <v>5.1260000000000003</v>
      </c>
      <c r="CE19" s="45">
        <v>5.1260000000000003</v>
      </c>
      <c r="CF19" s="45">
        <v>5.1260000000000003</v>
      </c>
      <c r="CG19" s="49">
        <v>5.1260000000000003</v>
      </c>
      <c r="CH19" s="45">
        <v>5.1260000000000003</v>
      </c>
      <c r="CI19" s="45">
        <v>31.606999999999999</v>
      </c>
      <c r="CJ19" s="45">
        <v>65.807000000000002</v>
      </c>
      <c r="CK19" s="45">
        <v>65.807000000000002</v>
      </c>
      <c r="CL19" s="45">
        <v>65.807000000000002</v>
      </c>
      <c r="CM19" s="45">
        <v>65.807000000000002</v>
      </c>
      <c r="CN19" s="45">
        <v>65.807000000000002</v>
      </c>
      <c r="CO19" s="45">
        <v>65.807000000000002</v>
      </c>
      <c r="CP19" s="45">
        <v>65.807000000000002</v>
      </c>
      <c r="CQ19" s="45">
        <v>65.807000000000002</v>
      </c>
      <c r="CR19" s="45">
        <v>65.807000000000002</v>
      </c>
      <c r="CS19" s="49">
        <v>77.766999999999996</v>
      </c>
      <c r="CT19" s="45">
        <v>77.766999999999996</v>
      </c>
      <c r="CU19" s="45">
        <v>84.266999999999996</v>
      </c>
      <c r="CV19" s="45">
        <v>98.468999999999994</v>
      </c>
      <c r="CW19" s="45">
        <v>111.46899999999999</v>
      </c>
      <c r="CX19" s="45">
        <v>117.96899999999999</v>
      </c>
      <c r="CY19" s="45">
        <v>117.96899999999999</v>
      </c>
      <c r="CZ19" s="45">
        <v>117.96899999999999</v>
      </c>
      <c r="DA19" s="45">
        <v>117.96899999999999</v>
      </c>
      <c r="DB19" s="45">
        <v>117.96899999999999</v>
      </c>
      <c r="DC19" s="45">
        <v>117.96899999999999</v>
      </c>
      <c r="DD19" s="45">
        <v>117.96899999999999</v>
      </c>
      <c r="DE19" s="49">
        <v>117.96899999999999</v>
      </c>
      <c r="DF19" s="45">
        <v>117.96899999999999</v>
      </c>
      <c r="DG19" s="45">
        <v>117.96899999999999</v>
      </c>
      <c r="DH19" s="45">
        <v>117.96899999999999</v>
      </c>
      <c r="DI19" s="45">
        <v>117.96899999999999</v>
      </c>
      <c r="DJ19" s="45">
        <v>117.96899999999999</v>
      </c>
      <c r="DK19" s="45">
        <v>117.96899999999999</v>
      </c>
      <c r="DL19" s="45">
        <v>117.96899999999999</v>
      </c>
      <c r="DM19" s="45">
        <v>117.96899999999999</v>
      </c>
      <c r="DN19" s="45">
        <v>117.96899999999999</v>
      </c>
      <c r="DO19" s="45">
        <v>117.96899999999999</v>
      </c>
      <c r="DP19" s="45">
        <v>117.96899999999999</v>
      </c>
      <c r="DQ19" s="49">
        <v>117.96899999999999</v>
      </c>
      <c r="DR19" s="45">
        <v>117.96899999999999</v>
      </c>
      <c r="DS19" s="45">
        <v>117.96899999999999</v>
      </c>
      <c r="DT19" s="45">
        <v>117.96899999999999</v>
      </c>
      <c r="DU19" s="45">
        <v>117.96899999999999</v>
      </c>
      <c r="DV19" s="45">
        <v>117.96899999999999</v>
      </c>
      <c r="DW19" s="45">
        <v>117.96899999999999</v>
      </c>
      <c r="DX19" s="45">
        <v>117.96899999999999</v>
      </c>
      <c r="DY19" s="45">
        <v>117.96899999999999</v>
      </c>
      <c r="DZ19" s="45">
        <v>117.96899999999999</v>
      </c>
      <c r="EA19" s="45">
        <v>117.96899999999999</v>
      </c>
      <c r="EB19" s="45">
        <v>117.96899999999999</v>
      </c>
      <c r="EC19" s="49">
        <v>117.96899999999999</v>
      </c>
      <c r="ED19" s="45">
        <v>117.96899999999999</v>
      </c>
      <c r="EE19" s="45">
        <v>117.96899999999999</v>
      </c>
      <c r="EF19" s="45">
        <v>117.96899999999999</v>
      </c>
      <c r="EG19" s="45">
        <v>117.96899999999999</v>
      </c>
      <c r="EH19" s="45">
        <v>117.96899999999999</v>
      </c>
      <c r="EI19" s="45">
        <v>117.96899999999999</v>
      </c>
      <c r="EJ19" s="45">
        <v>117.96899999999999</v>
      </c>
      <c r="EK19" s="45">
        <v>117.96899999999999</v>
      </c>
      <c r="EL19" s="45">
        <v>117.96899999999999</v>
      </c>
      <c r="EM19" s="45">
        <v>117.96899999999999</v>
      </c>
      <c r="EN19" s="45">
        <v>117.96899999999999</v>
      </c>
      <c r="EO19" s="82">
        <v>117.96899999999999</v>
      </c>
      <c r="EP19" s="45">
        <v>117.96899999999999</v>
      </c>
      <c r="EQ19" s="45">
        <v>117.96899999999999</v>
      </c>
      <c r="ER19" s="45">
        <v>117.96899999999999</v>
      </c>
      <c r="ES19" s="45">
        <v>117.96899999999999</v>
      </c>
      <c r="ET19" s="45">
        <v>117.96899999999999</v>
      </c>
      <c r="EU19" s="45">
        <v>117.96899999999999</v>
      </c>
      <c r="EV19" s="45">
        <v>117.96899999999999</v>
      </c>
      <c r="EW19" s="45">
        <v>117.96899999999999</v>
      </c>
      <c r="EX19" s="45">
        <v>117.96899999999999</v>
      </c>
      <c r="EY19" s="45">
        <v>117.96899999999999</v>
      </c>
      <c r="EZ19" s="45">
        <v>117.96899999999999</v>
      </c>
      <c r="FA19" s="82">
        <v>117.96899999999999</v>
      </c>
      <c r="FB19" s="45">
        <v>117.96899999999999</v>
      </c>
      <c r="FC19" s="45">
        <v>117.96899999999999</v>
      </c>
      <c r="FD19" s="45">
        <v>117.96899999999999</v>
      </c>
      <c r="FE19" s="45">
        <v>117.96899999999999</v>
      </c>
      <c r="FF19" s="45">
        <v>117.96899999999999</v>
      </c>
      <c r="FG19" s="45">
        <v>117.96899999999999</v>
      </c>
      <c r="FH19" s="45">
        <v>117.96899999999999</v>
      </c>
      <c r="FI19" s="45">
        <v>117.96899999999999</v>
      </c>
      <c r="FJ19" s="45">
        <v>117.96899999999999</v>
      </c>
      <c r="FK19" s="155">
        <v>117.96899999999999</v>
      </c>
      <c r="FL19" s="155">
        <v>117.96899999999999</v>
      </c>
      <c r="FM19" s="155">
        <v>117.96899999999999</v>
      </c>
      <c r="FN19" s="69">
        <v>117.96899999999999</v>
      </c>
      <c r="FO19" s="155">
        <v>117.96899999999999</v>
      </c>
      <c r="FP19" s="155">
        <v>117.96899999999999</v>
      </c>
      <c r="FQ19" s="155">
        <v>117.96899999999999</v>
      </c>
      <c r="FR19" s="155">
        <v>117.96899999999999</v>
      </c>
      <c r="FS19" s="155">
        <v>117.96899999999999</v>
      </c>
      <c r="FT19" s="155">
        <v>117.96899999999999</v>
      </c>
      <c r="FU19" s="178">
        <v>117.96899999999999</v>
      </c>
      <c r="FV19" s="178">
        <v>117.96899999999999</v>
      </c>
      <c r="FW19" s="178">
        <v>117.96899999999999</v>
      </c>
      <c r="FX19" s="178">
        <v>117.96899999999999</v>
      </c>
      <c r="FY19" s="180">
        <v>117.96899999999999</v>
      </c>
      <c r="FZ19" s="178">
        <v>117.96899999999999</v>
      </c>
      <c r="GA19" s="178">
        <v>117.96899999999999</v>
      </c>
      <c r="GB19" s="178">
        <v>117.96899999999999</v>
      </c>
      <c r="GC19" s="178">
        <v>117.96899999999999</v>
      </c>
      <c r="GD19" s="178">
        <v>117.96899999999999</v>
      </c>
      <c r="GE19" s="178">
        <v>117.96899999999999</v>
      </c>
      <c r="GF19" s="178">
        <v>117.96899999999999</v>
      </c>
      <c r="GG19" s="178">
        <v>117.96899999999999</v>
      </c>
      <c r="GH19" s="178">
        <v>117.96899999999999</v>
      </c>
      <c r="GI19" s="178">
        <v>117.96899999999999</v>
      </c>
      <c r="GJ19" s="178">
        <v>117.96899999999999</v>
      </c>
      <c r="GK19" s="180">
        <v>117.96899999999999</v>
      </c>
      <c r="GL19" s="178">
        <v>117.96899999999999</v>
      </c>
      <c r="GM19" s="178">
        <v>117.96899999999999</v>
      </c>
      <c r="GN19" s="178">
        <v>117.96899999999999</v>
      </c>
      <c r="GO19" s="178">
        <v>117.96899999999999</v>
      </c>
      <c r="GP19" s="178">
        <v>117.96899999999999</v>
      </c>
    </row>
    <row r="20" spans="1:200" s="1" customFormat="1" ht="20.149999999999999" customHeight="1" x14ac:dyDescent="0.4">
      <c r="A20" s="31" t="s">
        <v>1628</v>
      </c>
      <c r="B20" s="46">
        <v>0</v>
      </c>
      <c r="C20" s="46">
        <v>0</v>
      </c>
      <c r="D20" s="46">
        <v>0</v>
      </c>
      <c r="E20" s="46">
        <v>0</v>
      </c>
      <c r="F20" s="46">
        <v>0</v>
      </c>
      <c r="G20" s="46">
        <v>0</v>
      </c>
      <c r="H20" s="46">
        <v>0</v>
      </c>
      <c r="I20" s="46">
        <v>0</v>
      </c>
      <c r="J20" s="46">
        <v>0</v>
      </c>
      <c r="K20" s="46">
        <v>0</v>
      </c>
      <c r="L20" s="46">
        <v>0</v>
      </c>
      <c r="M20" s="48">
        <v>0</v>
      </c>
      <c r="N20" s="47">
        <v>0</v>
      </c>
      <c r="O20" s="46">
        <v>0</v>
      </c>
      <c r="P20" s="46">
        <v>0</v>
      </c>
      <c r="Q20" s="46">
        <v>0</v>
      </c>
      <c r="R20" s="46">
        <v>0</v>
      </c>
      <c r="S20" s="46">
        <v>0</v>
      </c>
      <c r="T20" s="46">
        <v>0</v>
      </c>
      <c r="U20" s="46">
        <v>0</v>
      </c>
      <c r="V20" s="46">
        <v>0</v>
      </c>
      <c r="W20" s="46">
        <v>0</v>
      </c>
      <c r="X20" s="46">
        <v>0</v>
      </c>
      <c r="Y20" s="48">
        <v>0</v>
      </c>
      <c r="Z20" s="47">
        <v>0</v>
      </c>
      <c r="AA20" s="46">
        <v>0</v>
      </c>
      <c r="AB20" s="46">
        <v>0</v>
      </c>
      <c r="AC20" s="46">
        <v>0</v>
      </c>
      <c r="AD20" s="46">
        <v>0</v>
      </c>
      <c r="AE20" s="46">
        <v>0</v>
      </c>
      <c r="AF20" s="46">
        <v>0</v>
      </c>
      <c r="AG20" s="46">
        <v>0</v>
      </c>
      <c r="AH20" s="46">
        <v>0</v>
      </c>
      <c r="AI20" s="46">
        <v>0</v>
      </c>
      <c r="AJ20" s="46">
        <v>0</v>
      </c>
      <c r="AK20" s="48">
        <v>0</v>
      </c>
      <c r="AL20" s="47">
        <v>0</v>
      </c>
      <c r="AM20" s="46">
        <v>0</v>
      </c>
      <c r="AN20" s="46">
        <v>0</v>
      </c>
      <c r="AO20" s="46">
        <v>0</v>
      </c>
      <c r="AP20" s="46">
        <v>0</v>
      </c>
      <c r="AQ20" s="46">
        <v>0</v>
      </c>
      <c r="AR20" s="46">
        <v>0</v>
      </c>
      <c r="AS20" s="46">
        <v>0</v>
      </c>
      <c r="AT20" s="46">
        <v>0</v>
      </c>
      <c r="AU20" s="46">
        <v>0</v>
      </c>
      <c r="AV20" s="46">
        <v>0</v>
      </c>
      <c r="AW20" s="48">
        <v>0</v>
      </c>
      <c r="AX20" s="46">
        <v>0</v>
      </c>
      <c r="AY20" s="46">
        <v>0</v>
      </c>
      <c r="AZ20" s="46">
        <v>0</v>
      </c>
      <c r="BA20" s="46">
        <v>0</v>
      </c>
      <c r="BB20" s="46">
        <v>0</v>
      </c>
      <c r="BC20" s="46">
        <v>0</v>
      </c>
      <c r="BD20" s="46">
        <v>0</v>
      </c>
      <c r="BE20" s="46">
        <v>0</v>
      </c>
      <c r="BF20" s="46">
        <v>0</v>
      </c>
      <c r="BG20" s="46">
        <v>0</v>
      </c>
      <c r="BH20" s="46">
        <v>0</v>
      </c>
      <c r="BI20" s="48">
        <v>0</v>
      </c>
      <c r="BJ20" s="46">
        <v>0</v>
      </c>
      <c r="BK20" s="46">
        <v>0</v>
      </c>
      <c r="BL20" s="46">
        <v>0</v>
      </c>
      <c r="BM20" s="46">
        <v>0</v>
      </c>
      <c r="BN20" s="46">
        <v>0</v>
      </c>
      <c r="BO20" s="46">
        <v>0</v>
      </c>
      <c r="BP20" s="46">
        <v>0</v>
      </c>
      <c r="BQ20" s="46">
        <v>0</v>
      </c>
      <c r="BR20" s="46">
        <v>0</v>
      </c>
      <c r="BS20" s="46">
        <v>0</v>
      </c>
      <c r="BT20" s="46">
        <v>0</v>
      </c>
      <c r="BU20" s="48">
        <v>0</v>
      </c>
      <c r="BV20" s="46">
        <v>0</v>
      </c>
      <c r="BW20" s="46">
        <v>0</v>
      </c>
      <c r="BX20" s="46">
        <v>0</v>
      </c>
      <c r="BY20" s="46">
        <v>0</v>
      </c>
      <c r="BZ20" s="46">
        <v>0</v>
      </c>
      <c r="CA20" s="46">
        <v>0</v>
      </c>
      <c r="CB20" s="46">
        <v>0</v>
      </c>
      <c r="CC20" s="46">
        <v>0</v>
      </c>
      <c r="CD20" s="46">
        <v>0</v>
      </c>
      <c r="CE20" s="46">
        <v>0</v>
      </c>
      <c r="CF20" s="46">
        <v>0</v>
      </c>
      <c r="CG20" s="48">
        <v>0</v>
      </c>
      <c r="CH20" s="45">
        <v>0</v>
      </c>
      <c r="CI20" s="45">
        <v>0</v>
      </c>
      <c r="CJ20" s="45">
        <v>45.753</v>
      </c>
      <c r="CK20" s="45">
        <v>45.753</v>
      </c>
      <c r="CL20" s="45">
        <v>45.753</v>
      </c>
      <c r="CM20" s="45">
        <v>45.753</v>
      </c>
      <c r="CN20" s="45">
        <v>45.753</v>
      </c>
      <c r="CO20" s="45">
        <v>45.753</v>
      </c>
      <c r="CP20" s="45">
        <v>45.753</v>
      </c>
      <c r="CQ20" s="45">
        <v>45.753</v>
      </c>
      <c r="CR20" s="45">
        <v>45.753</v>
      </c>
      <c r="CS20" s="49">
        <v>45.753</v>
      </c>
      <c r="CT20" s="45">
        <v>72.852999999999994</v>
      </c>
      <c r="CU20" s="45">
        <v>72.852999999999994</v>
      </c>
      <c r="CV20" s="45">
        <v>72.852999999999994</v>
      </c>
      <c r="CW20" s="45">
        <v>72.852999999999994</v>
      </c>
      <c r="CX20" s="45">
        <v>72.852999999999994</v>
      </c>
      <c r="CY20" s="45">
        <v>72.852999999999994</v>
      </c>
      <c r="CZ20" s="45">
        <v>72.852999999999994</v>
      </c>
      <c r="DA20" s="45">
        <v>72.852999999999994</v>
      </c>
      <c r="DB20" s="45">
        <v>72.852999999999994</v>
      </c>
      <c r="DC20" s="45">
        <v>72.852999999999994</v>
      </c>
      <c r="DD20" s="46">
        <v>72.852999999999994</v>
      </c>
      <c r="DE20" s="48">
        <v>72.852999999999994</v>
      </c>
      <c r="DF20" s="45">
        <v>72.852999999999994</v>
      </c>
      <c r="DG20" s="45">
        <v>72.852999999999994</v>
      </c>
      <c r="DH20" s="46">
        <v>72.852999999999994</v>
      </c>
      <c r="DI20" s="45">
        <v>72.852999999999994</v>
      </c>
      <c r="DJ20" s="45">
        <v>72.852999999999994</v>
      </c>
      <c r="DK20" s="45">
        <v>72.852999999999994</v>
      </c>
      <c r="DL20" s="45">
        <v>72.852999999999994</v>
      </c>
      <c r="DM20" s="45">
        <v>72.852999999999994</v>
      </c>
      <c r="DN20" s="45">
        <v>72.852999999999994</v>
      </c>
      <c r="DO20" s="45">
        <v>72.852999999999994</v>
      </c>
      <c r="DP20" s="45">
        <v>72.852999999999994</v>
      </c>
      <c r="DQ20" s="48">
        <v>72.852999999999994</v>
      </c>
      <c r="DR20" s="45">
        <v>72.852999999999994</v>
      </c>
      <c r="DS20" s="45">
        <v>72.852999999999994</v>
      </c>
      <c r="DT20" s="45">
        <v>72.852999999999994</v>
      </c>
      <c r="DU20" s="45">
        <v>72.852999999999994</v>
      </c>
      <c r="DV20" s="45">
        <v>72.852999999999994</v>
      </c>
      <c r="DW20" s="45">
        <v>72.852999999999994</v>
      </c>
      <c r="DX20" s="45">
        <v>72.852999999999994</v>
      </c>
      <c r="DY20" s="45">
        <v>72.852999999999994</v>
      </c>
      <c r="DZ20" s="45">
        <v>72.852999999999994</v>
      </c>
      <c r="EA20" s="45">
        <v>72.852999999999994</v>
      </c>
      <c r="EB20" s="45">
        <v>72.852999999999994</v>
      </c>
      <c r="EC20" s="49">
        <v>72.852999999999994</v>
      </c>
      <c r="ED20" s="45">
        <v>72.852999999999994</v>
      </c>
      <c r="EE20" s="45">
        <v>72.852999999999994</v>
      </c>
      <c r="EF20" s="45">
        <v>72.852999999999994</v>
      </c>
      <c r="EG20" s="45">
        <v>72.852999999999994</v>
      </c>
      <c r="EH20" s="45">
        <v>72.852999999999994</v>
      </c>
      <c r="EI20" s="45">
        <v>72.852999999999994</v>
      </c>
      <c r="EJ20" s="45">
        <v>72.852999999999994</v>
      </c>
      <c r="EK20" s="45">
        <v>72.852999999999994</v>
      </c>
      <c r="EL20" s="45">
        <v>72.852999999999994</v>
      </c>
      <c r="EM20" s="45">
        <v>72.852999999999994</v>
      </c>
      <c r="EN20" s="45">
        <v>72.852999999999994</v>
      </c>
      <c r="EO20" s="82">
        <v>72.852999999999994</v>
      </c>
      <c r="EP20" s="45">
        <v>72.852999999999994</v>
      </c>
      <c r="EQ20" s="45">
        <v>72.852999999999994</v>
      </c>
      <c r="ER20" s="45">
        <v>72.852999999999994</v>
      </c>
      <c r="ES20" s="45">
        <v>72.852999999999994</v>
      </c>
      <c r="ET20" s="45">
        <v>72.852999999999994</v>
      </c>
      <c r="EU20" s="45">
        <v>72.852999999999994</v>
      </c>
      <c r="EV20" s="45">
        <v>72.852999999999994</v>
      </c>
      <c r="EW20" s="45">
        <v>72.852999999999994</v>
      </c>
      <c r="EX20" s="45">
        <v>72.852999999999994</v>
      </c>
      <c r="EY20" s="45">
        <v>72.852999999999994</v>
      </c>
      <c r="EZ20" s="45">
        <v>72.852999999999994</v>
      </c>
      <c r="FA20" s="82">
        <v>72.852999999999994</v>
      </c>
      <c r="FB20" s="45">
        <v>72.852999999999994</v>
      </c>
      <c r="FC20" s="45">
        <v>72.852999999999994</v>
      </c>
      <c r="FD20" s="45">
        <v>72.852999999999994</v>
      </c>
      <c r="FE20" s="45">
        <v>72.852999999999994</v>
      </c>
      <c r="FF20" s="45">
        <v>72.852999999999994</v>
      </c>
      <c r="FG20" s="45">
        <v>72.852999999999994</v>
      </c>
      <c r="FH20" s="45">
        <v>72.852999999999994</v>
      </c>
      <c r="FI20" s="45">
        <v>72.852999999999994</v>
      </c>
      <c r="FJ20" s="45">
        <v>72.852999999999994</v>
      </c>
      <c r="FK20" s="155">
        <v>72.852999999999994</v>
      </c>
      <c r="FL20" s="155">
        <v>72.852999999999994</v>
      </c>
      <c r="FM20" s="155">
        <v>72.852999999999994</v>
      </c>
      <c r="FN20" s="69">
        <v>72.852999999999994</v>
      </c>
      <c r="FO20" s="155">
        <v>72.852999999999994</v>
      </c>
      <c r="FP20" s="155">
        <v>72.852999999999994</v>
      </c>
      <c r="FQ20" s="155">
        <v>72.852999999999994</v>
      </c>
      <c r="FR20" s="155">
        <v>72.852999999999994</v>
      </c>
      <c r="FS20" s="155">
        <v>72.852999999999994</v>
      </c>
      <c r="FT20" s="155">
        <v>72.852999999999994</v>
      </c>
      <c r="FU20" s="178">
        <v>72.852999999999994</v>
      </c>
      <c r="FV20" s="178">
        <v>72.852999999999994</v>
      </c>
      <c r="FW20" s="178">
        <v>72.852999999999994</v>
      </c>
      <c r="FX20" s="178">
        <v>72.852999999999994</v>
      </c>
      <c r="FY20" s="180">
        <v>72.852999999999994</v>
      </c>
      <c r="FZ20" s="178">
        <v>72.852999999999994</v>
      </c>
      <c r="GA20" s="178">
        <v>72.852999999999994</v>
      </c>
      <c r="GB20" s="178">
        <v>72.852999999999994</v>
      </c>
      <c r="GC20" s="178">
        <v>72.852999999999994</v>
      </c>
      <c r="GD20" s="178">
        <v>72.852999999999994</v>
      </c>
      <c r="GE20" s="178">
        <v>72.852999999999994</v>
      </c>
      <c r="GF20" s="178">
        <v>72.852999999999994</v>
      </c>
      <c r="GG20" s="178">
        <v>72.852999999999994</v>
      </c>
      <c r="GH20" s="178">
        <v>72.852999999999994</v>
      </c>
      <c r="GI20" s="178">
        <v>72.852999999999994</v>
      </c>
      <c r="GJ20" s="178">
        <v>72.852999999999994</v>
      </c>
      <c r="GK20" s="180">
        <v>72.852999999999994</v>
      </c>
      <c r="GL20" s="178">
        <v>72.852999999999994</v>
      </c>
      <c r="GM20" s="178">
        <v>72.852999999999994</v>
      </c>
      <c r="GN20" s="178">
        <v>72.852999999999994</v>
      </c>
      <c r="GO20" s="178">
        <v>72.852999999999994</v>
      </c>
      <c r="GP20" s="178">
        <v>72.852999999999994</v>
      </c>
    </row>
    <row r="21" spans="1:200" s="25" customFormat="1" ht="20.149999999999999" customHeight="1" thickBot="1" x14ac:dyDescent="0.4">
      <c r="A21" s="32" t="s">
        <v>267</v>
      </c>
      <c r="B21" s="51">
        <f>SUM(B15:B20)</f>
        <v>1.046</v>
      </c>
      <c r="C21" s="52">
        <f t="shared" ref="C21:BN21" si="4">SUM(C15:C20)</f>
        <v>1.046</v>
      </c>
      <c r="D21" s="52">
        <f t="shared" si="4"/>
        <v>1.0860000000000001</v>
      </c>
      <c r="E21" s="52">
        <f t="shared" si="4"/>
        <v>1.099</v>
      </c>
      <c r="F21" s="52">
        <f t="shared" si="4"/>
        <v>1.105</v>
      </c>
      <c r="G21" s="52">
        <f t="shared" si="4"/>
        <v>1.133</v>
      </c>
      <c r="H21" s="52">
        <f t="shared" si="4"/>
        <v>1.1520000000000001</v>
      </c>
      <c r="I21" s="52">
        <f t="shared" si="4"/>
        <v>1.155</v>
      </c>
      <c r="J21" s="52">
        <f t="shared" si="4"/>
        <v>1.1560000000000001</v>
      </c>
      <c r="K21" s="52">
        <f t="shared" si="4"/>
        <v>1.167</v>
      </c>
      <c r="L21" s="52">
        <f t="shared" si="4"/>
        <v>1.1859999999999999</v>
      </c>
      <c r="M21" s="53">
        <f t="shared" si="4"/>
        <v>1.198</v>
      </c>
      <c r="N21" s="52">
        <f t="shared" si="4"/>
        <v>1.198</v>
      </c>
      <c r="O21" s="52">
        <f t="shared" si="4"/>
        <v>1.2070000000000001</v>
      </c>
      <c r="P21" s="52">
        <f t="shared" si="4"/>
        <v>1.2210000000000001</v>
      </c>
      <c r="Q21" s="52">
        <f t="shared" si="4"/>
        <v>1.23</v>
      </c>
      <c r="R21" s="52">
        <f t="shared" si="4"/>
        <v>1.2829999999999999</v>
      </c>
      <c r="S21" s="52">
        <f t="shared" si="4"/>
        <v>1.3260000000000001</v>
      </c>
      <c r="T21" s="52">
        <f t="shared" si="4"/>
        <v>1.343</v>
      </c>
      <c r="U21" s="52">
        <f t="shared" si="4"/>
        <v>1.3759999999999999</v>
      </c>
      <c r="V21" s="52">
        <f t="shared" si="4"/>
        <v>1.4260000000000002</v>
      </c>
      <c r="W21" s="52">
        <f t="shared" si="4"/>
        <v>1.5359999999999998</v>
      </c>
      <c r="X21" s="52">
        <f t="shared" si="4"/>
        <v>1.6529999999999998</v>
      </c>
      <c r="Y21" s="53">
        <f t="shared" si="4"/>
        <v>1.823</v>
      </c>
      <c r="Z21" s="52">
        <f t="shared" si="4"/>
        <v>2.0070000000000001</v>
      </c>
      <c r="AA21" s="52">
        <f t="shared" si="4"/>
        <v>2.0909999999999997</v>
      </c>
      <c r="AB21" s="52">
        <f t="shared" si="4"/>
        <v>2.226</v>
      </c>
      <c r="AC21" s="52">
        <f t="shared" si="4"/>
        <v>2.3180000000000001</v>
      </c>
      <c r="AD21" s="52">
        <f t="shared" si="4"/>
        <v>2.3979999999999997</v>
      </c>
      <c r="AE21" s="52">
        <f t="shared" si="4"/>
        <v>2.444</v>
      </c>
      <c r="AF21" s="52">
        <f t="shared" si="4"/>
        <v>2.5459999999999998</v>
      </c>
      <c r="AG21" s="52">
        <f t="shared" si="4"/>
        <v>2.992</v>
      </c>
      <c r="AH21" s="52">
        <f t="shared" si="4"/>
        <v>3.4409999999999998</v>
      </c>
      <c r="AI21" s="52">
        <f t="shared" si="4"/>
        <v>4.2469999999999999</v>
      </c>
      <c r="AJ21" s="52">
        <f t="shared" si="4"/>
        <v>5.3029999999999999</v>
      </c>
      <c r="AK21" s="53">
        <f t="shared" si="4"/>
        <v>5.93</v>
      </c>
      <c r="AL21" s="52">
        <f t="shared" si="4"/>
        <v>6.8069999999999995</v>
      </c>
      <c r="AM21" s="52">
        <f t="shared" si="4"/>
        <v>7.5129999999999999</v>
      </c>
      <c r="AN21" s="52">
        <f t="shared" si="4"/>
        <v>8.4510000000000023</v>
      </c>
      <c r="AO21" s="52">
        <f t="shared" si="4"/>
        <v>9.2680000000000007</v>
      </c>
      <c r="AP21" s="52">
        <f t="shared" si="4"/>
        <v>10.535</v>
      </c>
      <c r="AQ21" s="52">
        <f t="shared" si="4"/>
        <v>11.774000000000003</v>
      </c>
      <c r="AR21" s="52">
        <f t="shared" si="4"/>
        <v>13.545000000000002</v>
      </c>
      <c r="AS21" s="52">
        <f t="shared" si="4"/>
        <v>16.278999999999996</v>
      </c>
      <c r="AT21" s="52">
        <f t="shared" si="4"/>
        <v>19.079000000000001</v>
      </c>
      <c r="AU21" s="52">
        <f t="shared" si="4"/>
        <v>21.702000000000002</v>
      </c>
      <c r="AV21" s="52">
        <f t="shared" si="4"/>
        <v>25.132999999999996</v>
      </c>
      <c r="AW21" s="54">
        <f t="shared" si="4"/>
        <v>27.605999999999998</v>
      </c>
      <c r="AX21" s="52">
        <f t="shared" si="4"/>
        <v>31.162000000000003</v>
      </c>
      <c r="AY21" s="52">
        <f t="shared" si="4"/>
        <v>41.815999999999995</v>
      </c>
      <c r="AZ21" s="52">
        <f t="shared" si="4"/>
        <v>43.695</v>
      </c>
      <c r="BA21" s="52">
        <f t="shared" si="4"/>
        <v>45.463999999999999</v>
      </c>
      <c r="BB21" s="52">
        <f t="shared" si="4"/>
        <v>48.369</v>
      </c>
      <c r="BC21" s="52">
        <f t="shared" si="4"/>
        <v>50.948000000000008</v>
      </c>
      <c r="BD21" s="52">
        <f t="shared" si="4"/>
        <v>53.718000000000004</v>
      </c>
      <c r="BE21" s="52">
        <f t="shared" si="4"/>
        <v>55.921999999999997</v>
      </c>
      <c r="BF21" s="52">
        <f t="shared" si="4"/>
        <v>58.585999999999991</v>
      </c>
      <c r="BG21" s="52">
        <f t="shared" si="4"/>
        <v>61.149000000000001</v>
      </c>
      <c r="BH21" s="52">
        <f t="shared" si="4"/>
        <v>63.488999999999997</v>
      </c>
      <c r="BI21" s="54">
        <f t="shared" si="4"/>
        <v>66.841999999999999</v>
      </c>
      <c r="BJ21" s="52">
        <f t="shared" si="4"/>
        <v>69.258999999999986</v>
      </c>
      <c r="BK21" s="52">
        <f t="shared" si="4"/>
        <v>71.989999999999995</v>
      </c>
      <c r="BL21" s="52">
        <f t="shared" si="4"/>
        <v>75.652000000000001</v>
      </c>
      <c r="BM21" s="52">
        <f t="shared" si="4"/>
        <v>78.305999999999997</v>
      </c>
      <c r="BN21" s="52">
        <f t="shared" si="4"/>
        <v>84.625000000000014</v>
      </c>
      <c r="BO21" s="52">
        <f t="shared" ref="BO21:DZ21" si="5">SUM(BO15:BO20)</f>
        <v>87.588999999999999</v>
      </c>
      <c r="BP21" s="52">
        <f t="shared" si="5"/>
        <v>90.200999999999993</v>
      </c>
      <c r="BQ21" s="52">
        <f t="shared" si="5"/>
        <v>95.283999999999992</v>
      </c>
      <c r="BR21" s="52">
        <f t="shared" si="5"/>
        <v>107.08</v>
      </c>
      <c r="BS21" s="52">
        <f t="shared" si="5"/>
        <v>108.679</v>
      </c>
      <c r="BT21" s="52">
        <f t="shared" si="5"/>
        <v>110.19499999999999</v>
      </c>
      <c r="BU21" s="54">
        <f t="shared" si="5"/>
        <v>111.738</v>
      </c>
      <c r="BV21" s="52">
        <f t="shared" si="5"/>
        <v>113.33800000000001</v>
      </c>
      <c r="BW21" s="52">
        <f t="shared" si="5"/>
        <v>114.93200000000002</v>
      </c>
      <c r="BX21" s="52">
        <f t="shared" si="5"/>
        <v>116.72499999999999</v>
      </c>
      <c r="BY21" s="52">
        <f t="shared" si="5"/>
        <v>123.45100000000002</v>
      </c>
      <c r="BZ21" s="52">
        <f t="shared" si="5"/>
        <v>129.50800000000001</v>
      </c>
      <c r="CA21" s="52">
        <f t="shared" si="5"/>
        <v>131.11500000000001</v>
      </c>
      <c r="CB21" s="52">
        <f t="shared" si="5"/>
        <v>133.02600000000001</v>
      </c>
      <c r="CC21" s="52">
        <f t="shared" si="5"/>
        <v>135.28700000000001</v>
      </c>
      <c r="CD21" s="52">
        <f t="shared" si="5"/>
        <v>142.39500000000001</v>
      </c>
      <c r="CE21" s="52">
        <f t="shared" si="5"/>
        <v>142.55700000000002</v>
      </c>
      <c r="CF21" s="52">
        <f t="shared" si="5"/>
        <v>142.82599999999999</v>
      </c>
      <c r="CG21" s="54">
        <f t="shared" si="5"/>
        <v>143.071</v>
      </c>
      <c r="CH21" s="52">
        <f t="shared" si="5"/>
        <v>143.90800000000002</v>
      </c>
      <c r="CI21" s="52">
        <f t="shared" si="5"/>
        <v>171.59899999999999</v>
      </c>
      <c r="CJ21" s="52">
        <f t="shared" si="5"/>
        <v>255.709</v>
      </c>
      <c r="CK21" s="52">
        <f t="shared" si="5"/>
        <v>255.78299999999996</v>
      </c>
      <c r="CL21" s="52">
        <f t="shared" si="5"/>
        <v>255.875</v>
      </c>
      <c r="CM21" s="52">
        <f t="shared" si="5"/>
        <v>256.07900000000001</v>
      </c>
      <c r="CN21" s="52">
        <f t="shared" si="5"/>
        <v>256.12900000000002</v>
      </c>
      <c r="CO21" s="52">
        <f t="shared" si="5"/>
        <v>256.24099999999999</v>
      </c>
      <c r="CP21" s="52">
        <f t="shared" si="5"/>
        <v>256.33</v>
      </c>
      <c r="CQ21" s="52">
        <f t="shared" si="5"/>
        <v>256.41000000000003</v>
      </c>
      <c r="CR21" s="52">
        <f t="shared" si="5"/>
        <v>256.63400000000001</v>
      </c>
      <c r="CS21" s="54">
        <f t="shared" si="5"/>
        <v>268.709</v>
      </c>
      <c r="CT21" s="52">
        <f t="shared" si="5"/>
        <v>295.851</v>
      </c>
      <c r="CU21" s="52">
        <f t="shared" si="5"/>
        <v>302.43700000000001</v>
      </c>
      <c r="CV21" s="52">
        <f t="shared" si="5"/>
        <v>326.88099999999997</v>
      </c>
      <c r="CW21" s="52">
        <f t="shared" si="5"/>
        <v>340.02000000000004</v>
      </c>
      <c r="CX21" s="52">
        <f t="shared" si="5"/>
        <v>346.59199999999998</v>
      </c>
      <c r="CY21" s="52">
        <f t="shared" si="5"/>
        <v>346.661</v>
      </c>
      <c r="CZ21" s="52">
        <f t="shared" si="5"/>
        <v>346.72700000000003</v>
      </c>
      <c r="DA21" s="52">
        <f t="shared" si="5"/>
        <v>346.91699999999997</v>
      </c>
      <c r="DB21" s="52">
        <f t="shared" si="5"/>
        <v>346.96700000000004</v>
      </c>
      <c r="DC21" s="52">
        <f t="shared" si="5"/>
        <v>347.10899999999998</v>
      </c>
      <c r="DD21" s="52">
        <f t="shared" si="5"/>
        <v>347.214</v>
      </c>
      <c r="DE21" s="54">
        <f t="shared" si="5"/>
        <v>347.3</v>
      </c>
      <c r="DF21" s="52">
        <f t="shared" si="5"/>
        <v>347.42500000000001</v>
      </c>
      <c r="DG21" s="52">
        <f t="shared" si="5"/>
        <v>347.59300000000002</v>
      </c>
      <c r="DH21" s="52">
        <f t="shared" si="5"/>
        <v>347.642</v>
      </c>
      <c r="DI21" s="52">
        <f t="shared" si="5"/>
        <v>347.67400000000004</v>
      </c>
      <c r="DJ21" s="52">
        <f t="shared" si="5"/>
        <v>347.72800000000001</v>
      </c>
      <c r="DK21" s="52">
        <f t="shared" si="5"/>
        <v>347.83300000000003</v>
      </c>
      <c r="DL21" s="52">
        <f t="shared" si="5"/>
        <v>347.90500000000003</v>
      </c>
      <c r="DM21" s="52">
        <f t="shared" si="5"/>
        <v>347.983</v>
      </c>
      <c r="DN21" s="52">
        <f t="shared" si="5"/>
        <v>348.154</v>
      </c>
      <c r="DO21" s="52">
        <f t="shared" si="5"/>
        <v>348.25</v>
      </c>
      <c r="DP21" s="52">
        <f t="shared" si="5"/>
        <v>348.30799999999999</v>
      </c>
      <c r="DQ21" s="54">
        <f t="shared" si="5"/>
        <v>348.34300000000002</v>
      </c>
      <c r="DR21" s="52">
        <f t="shared" si="5"/>
        <v>348.41300000000001</v>
      </c>
      <c r="DS21" s="52">
        <f t="shared" si="5"/>
        <v>348.48700000000002</v>
      </c>
      <c r="DT21" s="52">
        <f t="shared" si="5"/>
        <v>348.54500000000002</v>
      </c>
      <c r="DU21" s="52">
        <f t="shared" si="5"/>
        <v>348.56099999999998</v>
      </c>
      <c r="DV21" s="52">
        <f t="shared" si="5"/>
        <v>348.565</v>
      </c>
      <c r="DW21" s="52">
        <f t="shared" si="5"/>
        <v>348.66900000000004</v>
      </c>
      <c r="DX21" s="52">
        <f t="shared" si="5"/>
        <v>348.77600000000001</v>
      </c>
      <c r="DY21" s="52">
        <f t="shared" si="5"/>
        <v>348.96100000000001</v>
      </c>
      <c r="DZ21" s="52">
        <f t="shared" si="5"/>
        <v>349.08699999999999</v>
      </c>
      <c r="EA21" s="52">
        <f t="shared" ref="EA21:GL21" si="6">SUM(EA15:EA20)</f>
        <v>349.13600000000002</v>
      </c>
      <c r="EB21" s="52">
        <f t="shared" si="6"/>
        <v>349.20499999999998</v>
      </c>
      <c r="EC21" s="54">
        <f t="shared" si="6"/>
        <v>349.22999999999996</v>
      </c>
      <c r="ED21" s="52">
        <f>SUM(ED15:ED20)</f>
        <v>349.33699999999999</v>
      </c>
      <c r="EE21" s="52">
        <f t="shared" si="6"/>
        <v>349.399</v>
      </c>
      <c r="EF21" s="52">
        <f t="shared" si="6"/>
        <v>349.517</v>
      </c>
      <c r="EG21" s="52">
        <f t="shared" si="6"/>
        <v>349.69800000000004</v>
      </c>
      <c r="EH21" s="52">
        <f t="shared" si="6"/>
        <v>349.947</v>
      </c>
      <c r="EI21" s="52">
        <f t="shared" si="6"/>
        <v>350.245</v>
      </c>
      <c r="EJ21" s="52">
        <f t="shared" si="6"/>
        <v>350.38900000000001</v>
      </c>
      <c r="EK21" s="52">
        <f t="shared" si="6"/>
        <v>350.63499999999999</v>
      </c>
      <c r="EL21" s="52">
        <f t="shared" si="6"/>
        <v>351.03900000000004</v>
      </c>
      <c r="EM21" s="52">
        <f t="shared" si="6"/>
        <v>351.30599999999998</v>
      </c>
      <c r="EN21" s="52">
        <f t="shared" si="6"/>
        <v>351.81799999999998</v>
      </c>
      <c r="EO21" s="53">
        <f t="shared" si="6"/>
        <v>352.05199999999996</v>
      </c>
      <c r="EP21" s="52">
        <f t="shared" si="6"/>
        <v>352.613</v>
      </c>
      <c r="EQ21" s="52">
        <f t="shared" si="6"/>
        <v>353.03300000000002</v>
      </c>
      <c r="ER21" s="52">
        <f t="shared" si="6"/>
        <v>353.63200000000001</v>
      </c>
      <c r="ES21" s="52">
        <f t="shared" si="6"/>
        <v>354.14400000000001</v>
      </c>
      <c r="ET21" s="52">
        <f t="shared" si="6"/>
        <v>355.12200000000001</v>
      </c>
      <c r="EU21" s="52">
        <f t="shared" si="6"/>
        <v>355.98200000000003</v>
      </c>
      <c r="EV21" s="52">
        <f t="shared" si="6"/>
        <v>356.75799999999998</v>
      </c>
      <c r="EW21" s="52">
        <f t="shared" si="6"/>
        <v>357.65199999999999</v>
      </c>
      <c r="EX21" s="52">
        <f t="shared" si="6"/>
        <v>358.762</v>
      </c>
      <c r="EY21" s="52">
        <f t="shared" si="6"/>
        <v>360.02199999999999</v>
      </c>
      <c r="EZ21" s="52">
        <f t="shared" si="6"/>
        <v>361.48099999999999</v>
      </c>
      <c r="FA21" s="53">
        <f t="shared" si="6"/>
        <v>362.416</v>
      </c>
      <c r="FB21" s="52">
        <f t="shared" si="6"/>
        <v>363.67099999999999</v>
      </c>
      <c r="FC21" s="52">
        <f t="shared" si="6"/>
        <v>364.85399999999998</v>
      </c>
      <c r="FD21" s="52">
        <f t="shared" si="6"/>
        <v>365.928</v>
      </c>
      <c r="FE21" s="52">
        <f t="shared" si="6"/>
        <v>366.82</v>
      </c>
      <c r="FF21" s="52">
        <f t="shared" si="6"/>
        <v>367.91</v>
      </c>
      <c r="FG21" s="52">
        <f t="shared" si="6"/>
        <v>368.97199999999998</v>
      </c>
      <c r="FH21" s="52">
        <f t="shared" si="6"/>
        <v>369.88200000000001</v>
      </c>
      <c r="FI21" s="52">
        <f t="shared" si="6"/>
        <v>370.92400000000004</v>
      </c>
      <c r="FJ21" s="52">
        <f t="shared" si="6"/>
        <v>372.01799999999997</v>
      </c>
      <c r="FK21" s="157">
        <f t="shared" si="6"/>
        <v>373.673</v>
      </c>
      <c r="FL21" s="157">
        <f t="shared" si="6"/>
        <v>374.63100000000003</v>
      </c>
      <c r="FM21" s="157">
        <f t="shared" si="6"/>
        <v>375.33000000000004</v>
      </c>
      <c r="FN21" s="125">
        <f t="shared" si="6"/>
        <v>375.96300000000002</v>
      </c>
      <c r="FO21" s="157">
        <f t="shared" si="6"/>
        <v>376.90300000000002</v>
      </c>
      <c r="FP21" s="157">
        <f t="shared" si="6"/>
        <v>377.45699999999999</v>
      </c>
      <c r="FQ21" s="157">
        <f t="shared" si="6"/>
        <v>378.63100000000003</v>
      </c>
      <c r="FR21" s="157">
        <f t="shared" si="6"/>
        <v>379.50400000000002</v>
      </c>
      <c r="FS21" s="157">
        <f t="shared" si="6"/>
        <v>380.63200000000001</v>
      </c>
      <c r="FT21" s="157">
        <f t="shared" si="6"/>
        <v>381.71100000000001</v>
      </c>
      <c r="FU21" s="157">
        <f t="shared" si="6"/>
        <v>382.75600000000003</v>
      </c>
      <c r="FV21" s="157">
        <f t="shared" si="6"/>
        <v>383.62200000000001</v>
      </c>
      <c r="FW21" s="157">
        <f t="shared" si="6"/>
        <v>384.58</v>
      </c>
      <c r="FX21" s="157">
        <f t="shared" si="6"/>
        <v>385.75200000000001</v>
      </c>
      <c r="FY21" s="191">
        <f t="shared" si="6"/>
        <v>386.44300000000004</v>
      </c>
      <c r="FZ21" s="157">
        <f t="shared" si="6"/>
        <v>387.20700000000005</v>
      </c>
      <c r="GA21" s="157">
        <f t="shared" si="6"/>
        <v>388.16300000000001</v>
      </c>
      <c r="GB21" s="157">
        <f t="shared" si="6"/>
        <v>389.34800000000001</v>
      </c>
      <c r="GC21" s="157">
        <f t="shared" si="6"/>
        <v>390.45700000000005</v>
      </c>
      <c r="GD21" s="157">
        <f t="shared" si="6"/>
        <v>392.34399999999999</v>
      </c>
      <c r="GE21" s="157">
        <f t="shared" si="6"/>
        <v>394.12799999999999</v>
      </c>
      <c r="GF21" s="157">
        <f t="shared" si="6"/>
        <v>395.43900000000002</v>
      </c>
      <c r="GG21" s="157">
        <f t="shared" si="6"/>
        <v>396.94300000000004</v>
      </c>
      <c r="GH21" s="157">
        <f t="shared" si="6"/>
        <v>398.322</v>
      </c>
      <c r="GI21" s="157">
        <f t="shared" si="6"/>
        <v>400.12700000000001</v>
      </c>
      <c r="GJ21" s="157">
        <f t="shared" si="6"/>
        <v>401.84500000000003</v>
      </c>
      <c r="GK21" s="191">
        <f t="shared" si="6"/>
        <v>402.83</v>
      </c>
      <c r="GL21" s="157">
        <f t="shared" si="6"/>
        <v>404.27600000000001</v>
      </c>
      <c r="GM21" s="157">
        <f t="shared" ref="GM21:GP21" si="7">SUM(GM15:GM20)</f>
        <v>405.80099999999999</v>
      </c>
      <c r="GN21" s="157">
        <f t="shared" si="7"/>
        <v>407.738</v>
      </c>
      <c r="GO21" s="157">
        <f t="shared" si="7"/>
        <v>409.87</v>
      </c>
      <c r="GP21" s="157">
        <f t="shared" si="7"/>
        <v>411.42200000000003</v>
      </c>
    </row>
    <row r="22" spans="1:200" s="30" customFormat="1" ht="20.149999999999999" customHeight="1" thickTop="1" x14ac:dyDescent="0.35">
      <c r="A22" s="26" t="s">
        <v>269</v>
      </c>
      <c r="B22" s="45"/>
      <c r="C22" s="45"/>
      <c r="D22" s="45"/>
      <c r="E22" s="45"/>
      <c r="F22" s="45"/>
      <c r="G22" s="45"/>
      <c r="H22" s="45"/>
      <c r="I22" s="45"/>
      <c r="J22" s="45"/>
      <c r="K22" s="45"/>
      <c r="L22" s="45"/>
      <c r="M22" s="49"/>
      <c r="N22" s="50"/>
      <c r="O22" s="45"/>
      <c r="P22" s="45"/>
      <c r="Q22" s="45"/>
      <c r="R22" s="45"/>
      <c r="S22" s="45"/>
      <c r="T22" s="45"/>
      <c r="U22" s="45"/>
      <c r="V22" s="45"/>
      <c r="W22" s="45"/>
      <c r="X22" s="45"/>
      <c r="Y22" s="49"/>
      <c r="Z22" s="50"/>
      <c r="AA22" s="45"/>
      <c r="AB22" s="45"/>
      <c r="AC22" s="45"/>
      <c r="AD22" s="45"/>
      <c r="AE22" s="45"/>
      <c r="AF22" s="45"/>
      <c r="AG22" s="45"/>
      <c r="AH22" s="45"/>
      <c r="AI22" s="45"/>
      <c r="AJ22" s="45"/>
      <c r="AK22" s="49"/>
      <c r="AL22" s="50"/>
      <c r="AM22" s="45"/>
      <c r="AN22" s="45"/>
      <c r="AO22" s="45"/>
      <c r="AP22" s="45"/>
      <c r="AQ22" s="45"/>
      <c r="AR22" s="45"/>
      <c r="AS22" s="45"/>
      <c r="AT22" s="45"/>
      <c r="AU22" s="45"/>
      <c r="AV22" s="45"/>
      <c r="AW22" s="49"/>
      <c r="AX22" s="45"/>
      <c r="AY22" s="45"/>
      <c r="AZ22" s="45"/>
      <c r="BA22" s="45"/>
      <c r="BB22" s="45"/>
      <c r="BC22" s="45"/>
      <c r="BD22" s="45"/>
      <c r="BE22" s="45"/>
      <c r="BF22" s="45"/>
      <c r="BG22" s="45"/>
      <c r="BH22" s="45"/>
      <c r="BI22" s="49"/>
      <c r="BJ22" s="45"/>
      <c r="BK22" s="45"/>
      <c r="BL22" s="45"/>
      <c r="BM22" s="45"/>
      <c r="BN22" s="45"/>
      <c r="BO22" s="45"/>
      <c r="BP22" s="45"/>
      <c r="BQ22" s="45"/>
      <c r="BR22" s="45"/>
      <c r="BS22" s="45"/>
      <c r="BT22" s="45"/>
      <c r="BU22" s="49"/>
      <c r="BV22" s="45"/>
      <c r="BW22" s="45"/>
      <c r="BX22" s="45"/>
      <c r="BY22" s="45"/>
      <c r="BZ22" s="45"/>
      <c r="CA22" s="45"/>
      <c r="CB22" s="45"/>
      <c r="CC22" s="45"/>
      <c r="CD22" s="45"/>
      <c r="CE22" s="45"/>
      <c r="CF22" s="45"/>
      <c r="CG22" s="49"/>
      <c r="CH22" s="45"/>
      <c r="CI22" s="45"/>
      <c r="CJ22" s="45"/>
      <c r="CK22" s="45"/>
      <c r="CL22" s="45"/>
      <c r="CM22" s="45"/>
      <c r="CN22" s="45"/>
      <c r="CO22" s="45"/>
      <c r="CP22" s="45"/>
      <c r="CQ22" s="45"/>
      <c r="CR22" s="45"/>
      <c r="CS22" s="49"/>
      <c r="CT22" s="45"/>
      <c r="CU22" s="45"/>
      <c r="CV22" s="45"/>
      <c r="CW22" s="45"/>
      <c r="CX22" s="45"/>
      <c r="CY22" s="45"/>
      <c r="CZ22" s="45"/>
      <c r="DA22" s="45"/>
      <c r="DB22" s="45"/>
      <c r="DC22" s="45"/>
      <c r="DD22" s="45"/>
      <c r="DE22" s="49"/>
      <c r="DF22" s="45"/>
      <c r="DG22" s="45"/>
      <c r="DH22" s="45"/>
      <c r="DI22" s="45"/>
      <c r="DJ22" s="45"/>
      <c r="DK22" s="45"/>
      <c r="DL22" s="45"/>
      <c r="DM22" s="45"/>
      <c r="DN22" s="45"/>
      <c r="DO22" s="45"/>
      <c r="DP22" s="45"/>
      <c r="DQ22" s="49"/>
      <c r="DR22" s="45"/>
      <c r="DS22" s="45"/>
      <c r="DT22" s="45"/>
      <c r="DU22" s="45"/>
      <c r="DV22" s="45"/>
      <c r="DW22" s="45"/>
      <c r="DX22" s="45"/>
      <c r="DY22" s="45"/>
      <c r="DZ22" s="45"/>
      <c r="EA22" s="45"/>
      <c r="EB22" s="45"/>
      <c r="EC22" s="49"/>
      <c r="ED22" s="45"/>
      <c r="EE22" s="45"/>
      <c r="EF22" s="45"/>
      <c r="EG22" s="45"/>
      <c r="EH22" s="45"/>
      <c r="EI22" s="45"/>
      <c r="EJ22" s="45"/>
      <c r="EK22" s="45"/>
      <c r="EL22" s="45"/>
      <c r="EM22" s="45"/>
      <c r="EN22" s="45"/>
      <c r="EO22" s="82"/>
      <c r="EP22" s="45"/>
      <c r="EQ22" s="45"/>
      <c r="ER22" s="45"/>
      <c r="ES22" s="45"/>
      <c r="ET22" s="45"/>
      <c r="EU22" s="45"/>
      <c r="EV22" s="45"/>
      <c r="EW22" s="45"/>
      <c r="EX22" s="45"/>
      <c r="EY22" s="45"/>
      <c r="EZ22" s="45"/>
      <c r="FA22" s="82"/>
      <c r="FB22" s="45"/>
      <c r="FC22" s="45"/>
      <c r="FD22" s="45"/>
      <c r="FE22" s="45"/>
      <c r="FF22" s="45"/>
      <c r="FG22" s="45"/>
      <c r="FH22" s="45"/>
      <c r="FI22" s="45"/>
      <c r="FJ22" s="45"/>
      <c r="FK22" s="155"/>
      <c r="FL22" s="155"/>
      <c r="FM22" s="155"/>
      <c r="FN22" s="69"/>
      <c r="FO22" s="155"/>
      <c r="FP22" s="155"/>
      <c r="FQ22" s="155"/>
      <c r="FR22" s="155"/>
      <c r="FS22" s="155"/>
      <c r="FT22" s="155"/>
      <c r="FU22" s="177"/>
      <c r="FV22" s="177"/>
      <c r="FW22" s="177"/>
      <c r="FX22" s="177"/>
      <c r="FY22" s="193"/>
      <c r="FZ22" s="177"/>
      <c r="GA22" s="178"/>
      <c r="GB22" s="178"/>
      <c r="GC22" s="178"/>
      <c r="GD22" s="178"/>
      <c r="GE22" s="178"/>
      <c r="GF22" s="178"/>
      <c r="GG22" s="178"/>
      <c r="GH22" s="178"/>
      <c r="GI22" s="178"/>
      <c r="GJ22" s="178"/>
      <c r="GK22" s="193"/>
      <c r="GL22" s="177"/>
      <c r="GM22" s="177"/>
      <c r="GN22" s="177"/>
      <c r="GO22" s="177"/>
      <c r="GP22" s="177"/>
    </row>
    <row r="23" spans="1:200" s="1" customFormat="1" ht="20.149999999999999" customHeight="1" x14ac:dyDescent="0.35">
      <c r="A23" s="31" t="s">
        <v>1623</v>
      </c>
      <c r="B23" s="45">
        <v>8.3360000000000003</v>
      </c>
      <c r="C23" s="45">
        <v>9.4689999999999994</v>
      </c>
      <c r="D23" s="45">
        <v>11.361000000000001</v>
      </c>
      <c r="E23" s="45">
        <v>13.592000000000001</v>
      </c>
      <c r="F23" s="45">
        <v>17.041</v>
      </c>
      <c r="G23" s="45">
        <v>21.274000000000001</v>
      </c>
      <c r="H23" s="45">
        <v>26.466000000000001</v>
      </c>
      <c r="I23" s="45">
        <v>31.62</v>
      </c>
      <c r="J23" s="45">
        <v>38.286999999999999</v>
      </c>
      <c r="K23" s="45">
        <v>46.337000000000003</v>
      </c>
      <c r="L23" s="45">
        <v>55.654000000000003</v>
      </c>
      <c r="M23" s="49">
        <v>62.838999999999999</v>
      </c>
      <c r="N23" s="50">
        <v>72.679000000000002</v>
      </c>
      <c r="O23" s="45">
        <v>83.924000000000007</v>
      </c>
      <c r="P23" s="45">
        <v>100.82299999999999</v>
      </c>
      <c r="Q23" s="45">
        <v>116.658</v>
      </c>
      <c r="R23" s="45">
        <v>135.48699999999999</v>
      </c>
      <c r="S23" s="45">
        <v>160.28</v>
      </c>
      <c r="T23" s="45">
        <v>189.06899999999999</v>
      </c>
      <c r="U23" s="45">
        <v>225.47900000000001</v>
      </c>
      <c r="V23" s="45">
        <v>270.238</v>
      </c>
      <c r="W23" s="45">
        <v>321.70999999999998</v>
      </c>
      <c r="X23" s="45">
        <v>466.44799999999998</v>
      </c>
      <c r="Y23" s="49">
        <v>579.11099999999999</v>
      </c>
      <c r="Z23" s="50">
        <v>600.11599999999999</v>
      </c>
      <c r="AA23" s="45">
        <v>706.73199999999997</v>
      </c>
      <c r="AB23" s="45">
        <v>771.81899999999996</v>
      </c>
      <c r="AC23" s="45">
        <v>784.70399999999995</v>
      </c>
      <c r="AD23" s="45">
        <v>808.75099999999998</v>
      </c>
      <c r="AE23" s="45">
        <v>838.54499999999996</v>
      </c>
      <c r="AF23" s="45">
        <v>894.20799999999997</v>
      </c>
      <c r="AG23" s="45">
        <v>903.44600000000003</v>
      </c>
      <c r="AH23" s="45">
        <v>915.06799999999998</v>
      </c>
      <c r="AI23" s="45">
        <v>937.04700000000003</v>
      </c>
      <c r="AJ23" s="45">
        <v>949.94</v>
      </c>
      <c r="AK23" s="49">
        <v>962.84299999999996</v>
      </c>
      <c r="AL23" s="50">
        <v>977.01300000000003</v>
      </c>
      <c r="AM23" s="45">
        <v>991.79</v>
      </c>
      <c r="AN23" s="45">
        <v>1008.111</v>
      </c>
      <c r="AO23" s="45">
        <v>1024.5830000000001</v>
      </c>
      <c r="AP23" s="45">
        <v>1040.6949999999999</v>
      </c>
      <c r="AQ23" s="45">
        <v>1063.01</v>
      </c>
      <c r="AR23" s="45">
        <v>1076.5630000000001</v>
      </c>
      <c r="AS23" s="45">
        <v>1092.1210000000001</v>
      </c>
      <c r="AT23" s="45">
        <v>1107.9069999999999</v>
      </c>
      <c r="AU23" s="45">
        <v>1124.96</v>
      </c>
      <c r="AV23" s="45">
        <v>1143.8399999999999</v>
      </c>
      <c r="AW23" s="49">
        <v>1159.386</v>
      </c>
      <c r="AX23" s="45">
        <v>1175.0360000000001</v>
      </c>
      <c r="AY23" s="45">
        <v>1191.8389999999999</v>
      </c>
      <c r="AZ23" s="45">
        <v>1217.713</v>
      </c>
      <c r="BA23" s="45">
        <v>1232.9100000000001</v>
      </c>
      <c r="BB23" s="45">
        <v>1249.2439999999999</v>
      </c>
      <c r="BC23" s="45">
        <v>1266.546</v>
      </c>
      <c r="BD23" s="45">
        <v>1286.884</v>
      </c>
      <c r="BE23" s="45">
        <v>1306.915</v>
      </c>
      <c r="BF23" s="45">
        <v>1330.8420000000001</v>
      </c>
      <c r="BG23" s="45">
        <v>1355.309</v>
      </c>
      <c r="BH23" s="45">
        <v>1378.2639999999999</v>
      </c>
      <c r="BI23" s="49">
        <v>1401.1890000000001</v>
      </c>
      <c r="BJ23" s="45">
        <v>1417.922</v>
      </c>
      <c r="BK23" s="45">
        <v>1438.155</v>
      </c>
      <c r="BL23" s="45">
        <v>1468.808</v>
      </c>
      <c r="BM23" s="45">
        <v>1489.873</v>
      </c>
      <c r="BN23" s="45">
        <v>1512.2850000000001</v>
      </c>
      <c r="BO23" s="45">
        <v>1544.4359999999999</v>
      </c>
      <c r="BP23" s="45">
        <v>1567.845</v>
      </c>
      <c r="BQ23" s="45">
        <v>1591.4169999999999</v>
      </c>
      <c r="BR23" s="45">
        <v>1630.261</v>
      </c>
      <c r="BS23" s="45">
        <v>1665.1759999999999</v>
      </c>
      <c r="BT23" s="45">
        <v>1711.579</v>
      </c>
      <c r="BU23" s="49">
        <v>1762.576</v>
      </c>
      <c r="BV23" s="45">
        <v>1794.0609999999999</v>
      </c>
      <c r="BW23" s="45">
        <v>1800.884</v>
      </c>
      <c r="BX23" s="45">
        <v>1809.114</v>
      </c>
      <c r="BY23" s="45">
        <v>1815.028</v>
      </c>
      <c r="BZ23" s="45">
        <v>1821.33</v>
      </c>
      <c r="CA23" s="45">
        <v>1828.327</v>
      </c>
      <c r="CB23" s="45">
        <v>1834.2239999999999</v>
      </c>
      <c r="CC23" s="45">
        <v>1839.7449999999999</v>
      </c>
      <c r="CD23" s="45">
        <v>1847.15</v>
      </c>
      <c r="CE23" s="45">
        <v>1851.829</v>
      </c>
      <c r="CF23" s="45">
        <v>1857.481</v>
      </c>
      <c r="CG23" s="49">
        <v>1861.6990000000001</v>
      </c>
      <c r="CH23" s="45">
        <v>1865.7739999999999</v>
      </c>
      <c r="CI23" s="45">
        <v>1870.6590000000001</v>
      </c>
      <c r="CJ23" s="45">
        <v>1877.338</v>
      </c>
      <c r="CK23" s="45">
        <v>1881.596</v>
      </c>
      <c r="CL23" s="45">
        <v>1886.547</v>
      </c>
      <c r="CM23" s="45">
        <v>1891.5640000000001</v>
      </c>
      <c r="CN23" s="45">
        <v>1896.1179999999999</v>
      </c>
      <c r="CO23" s="45">
        <v>1901.635</v>
      </c>
      <c r="CP23" s="45">
        <v>1906.9549999999999</v>
      </c>
      <c r="CQ23" s="45">
        <v>1911.904</v>
      </c>
      <c r="CR23" s="45">
        <v>1917.932</v>
      </c>
      <c r="CS23" s="49">
        <v>1921.9659999999999</v>
      </c>
      <c r="CT23" s="45">
        <v>1926.423</v>
      </c>
      <c r="CU23" s="45">
        <v>1930.5039999999999</v>
      </c>
      <c r="CV23" s="45">
        <v>1935.4559999999999</v>
      </c>
      <c r="CW23" s="45">
        <v>1940.193</v>
      </c>
      <c r="CX23" s="45">
        <v>1945.549</v>
      </c>
      <c r="CY23" s="45">
        <v>1950.9770000000001</v>
      </c>
      <c r="CZ23" s="45">
        <v>1956.2170000000001</v>
      </c>
      <c r="DA23" s="45">
        <v>1962.1969999999999</v>
      </c>
      <c r="DB23" s="45">
        <v>1968.242</v>
      </c>
      <c r="DC23" s="45">
        <v>1975.664</v>
      </c>
      <c r="DD23" s="45">
        <v>1983.4449999999999</v>
      </c>
      <c r="DE23" s="49">
        <v>1989.857</v>
      </c>
      <c r="DF23" s="45">
        <v>1999.279</v>
      </c>
      <c r="DG23" s="45">
        <v>2010.0820000000001</v>
      </c>
      <c r="DH23" s="45">
        <v>2034.65</v>
      </c>
      <c r="DI23" s="45">
        <v>2037.9570000000001</v>
      </c>
      <c r="DJ23" s="45">
        <v>2042.0229999999999</v>
      </c>
      <c r="DK23" s="45">
        <v>2046.3869999999999</v>
      </c>
      <c r="DL23" s="45">
        <v>2050.58</v>
      </c>
      <c r="DM23" s="45">
        <v>2054.9549999999999</v>
      </c>
      <c r="DN23" s="45">
        <v>2059.7489999999998</v>
      </c>
      <c r="DO23" s="45">
        <v>2064.518</v>
      </c>
      <c r="DP23" s="45">
        <v>2069.5529999999999</v>
      </c>
      <c r="DQ23" s="49">
        <v>2072.8090000000002</v>
      </c>
      <c r="DR23" s="45">
        <v>2077.0680000000002</v>
      </c>
      <c r="DS23" s="45">
        <v>2081.1979999999999</v>
      </c>
      <c r="DT23" s="45">
        <v>2085.4</v>
      </c>
      <c r="DU23" s="45">
        <v>2086.2089999999998</v>
      </c>
      <c r="DV23" s="45">
        <v>2087.4810000000002</v>
      </c>
      <c r="DW23" s="45">
        <v>2090.34</v>
      </c>
      <c r="DX23" s="45">
        <v>2094.3389999999999</v>
      </c>
      <c r="DY23" s="45">
        <v>2098.6149999999998</v>
      </c>
      <c r="DZ23" s="45">
        <v>2103.9630000000002</v>
      </c>
      <c r="EA23" s="45">
        <v>2109.1880000000001</v>
      </c>
      <c r="EB23" s="45">
        <v>2114.741</v>
      </c>
      <c r="EC23" s="49">
        <v>2118.9</v>
      </c>
      <c r="ED23" s="45">
        <v>2124.1999999999998</v>
      </c>
      <c r="EE23" s="45">
        <v>2128.9160000000002</v>
      </c>
      <c r="EF23" s="45">
        <v>2135.3739999999998</v>
      </c>
      <c r="EG23" s="45">
        <v>2142.23</v>
      </c>
      <c r="EH23" s="45">
        <v>2149.5239999999999</v>
      </c>
      <c r="EI23" s="45">
        <v>2156.9090000000001</v>
      </c>
      <c r="EJ23" s="45">
        <v>2163.703</v>
      </c>
      <c r="EK23" s="45">
        <v>2171.1889999999999</v>
      </c>
      <c r="EL23" s="45">
        <v>2179.5219999999999</v>
      </c>
      <c r="EM23" s="45">
        <v>2187.0610000000001</v>
      </c>
      <c r="EN23" s="45">
        <v>2196.7249999999999</v>
      </c>
      <c r="EO23" s="82">
        <v>2203.933</v>
      </c>
      <c r="EP23" s="45">
        <v>2212.5419999999999</v>
      </c>
      <c r="EQ23" s="45">
        <v>2223.5149999999999</v>
      </c>
      <c r="ER23" s="45">
        <v>2238.3000000000002</v>
      </c>
      <c r="ES23" s="45">
        <v>2252.4050000000002</v>
      </c>
      <c r="ET23" s="45">
        <v>2267.625</v>
      </c>
      <c r="EU23" s="45">
        <v>2283.5279999999998</v>
      </c>
      <c r="EV23" s="45">
        <v>2298.1109999999999</v>
      </c>
      <c r="EW23" s="45">
        <v>2314.2240000000002</v>
      </c>
      <c r="EX23" s="45">
        <v>2333.5329999999999</v>
      </c>
      <c r="EY23" s="45">
        <v>2350.855</v>
      </c>
      <c r="EZ23" s="45">
        <v>2369.6489999999999</v>
      </c>
      <c r="FA23" s="82">
        <v>2383.6</v>
      </c>
      <c r="FB23" s="45">
        <v>2402.3980000000001</v>
      </c>
      <c r="FC23" s="45">
        <v>2422.9650000000001</v>
      </c>
      <c r="FD23" s="45">
        <v>2445.9470000000001</v>
      </c>
      <c r="FE23" s="45">
        <v>2464.221</v>
      </c>
      <c r="FF23" s="45">
        <v>2483.9810000000002</v>
      </c>
      <c r="FG23" s="45">
        <v>2504.3850000000002</v>
      </c>
      <c r="FH23" s="45">
        <v>2522.2739999999999</v>
      </c>
      <c r="FI23" s="45">
        <v>2539.9929999999999</v>
      </c>
      <c r="FJ23" s="45">
        <v>2557.9870000000001</v>
      </c>
      <c r="FK23" s="45">
        <v>2575.404</v>
      </c>
      <c r="FL23" s="45">
        <v>2593.953</v>
      </c>
      <c r="FM23" s="155">
        <v>2605.768</v>
      </c>
      <c r="FN23" s="69">
        <v>2621.779</v>
      </c>
      <c r="FO23" s="178">
        <v>2638.991</v>
      </c>
      <c r="FP23" s="178">
        <v>2658.5509999999999</v>
      </c>
      <c r="FQ23" s="178">
        <v>2677.6770000000001</v>
      </c>
      <c r="FR23" s="178">
        <v>2697.6840000000002</v>
      </c>
      <c r="FS23" s="178">
        <v>2717.375</v>
      </c>
      <c r="FT23" s="178">
        <v>2737.694</v>
      </c>
      <c r="FU23" s="178">
        <v>2757.89</v>
      </c>
      <c r="FV23" s="178">
        <v>2780.5169999999998</v>
      </c>
      <c r="FW23" s="178">
        <v>2807.288</v>
      </c>
      <c r="FX23" s="178">
        <v>2835.87</v>
      </c>
      <c r="FY23" s="180">
        <v>2855.107</v>
      </c>
      <c r="FZ23" s="178">
        <v>2880.2080000000001</v>
      </c>
      <c r="GA23" s="178">
        <v>2909.1669999999999</v>
      </c>
      <c r="GB23" s="178">
        <v>2944.8789999999999</v>
      </c>
      <c r="GC23" s="178">
        <v>2971.2730000000001</v>
      </c>
      <c r="GD23" s="178">
        <v>3000.7719999999999</v>
      </c>
      <c r="GE23" s="178">
        <v>3031.2020000000002</v>
      </c>
      <c r="GF23" s="178">
        <v>3059.741</v>
      </c>
      <c r="GG23" s="178">
        <v>3084.77</v>
      </c>
      <c r="GH23" s="178">
        <v>3114.2950000000001</v>
      </c>
      <c r="GI23" s="178">
        <v>3147.5889999999999</v>
      </c>
      <c r="GJ23" s="178">
        <v>3178.3389999999999</v>
      </c>
      <c r="GK23" s="180">
        <v>3202.8530000000001</v>
      </c>
      <c r="GL23" s="178">
        <v>3230.0210000000002</v>
      </c>
      <c r="GM23" s="178">
        <v>3263.7930000000001</v>
      </c>
      <c r="GN23" s="178">
        <v>3306.7750000000001</v>
      </c>
      <c r="GO23" s="178">
        <v>3336.2730000000001</v>
      </c>
      <c r="GP23" s="178">
        <v>3357.953</v>
      </c>
    </row>
    <row r="24" spans="1:200" s="1" customFormat="1" ht="20.149999999999999" customHeight="1" x14ac:dyDescent="0.35">
      <c r="A24" s="31" t="s">
        <v>1626</v>
      </c>
      <c r="B24" s="45">
        <v>3.153</v>
      </c>
      <c r="C24" s="45">
        <v>3.34</v>
      </c>
      <c r="D24" s="45">
        <v>3.6160000000000001</v>
      </c>
      <c r="E24" s="45">
        <v>3.7989999999999999</v>
      </c>
      <c r="F24" s="45">
        <v>4.1310000000000002</v>
      </c>
      <c r="G24" s="45">
        <v>4.5049999999999999</v>
      </c>
      <c r="H24" s="45">
        <v>4.907</v>
      </c>
      <c r="I24" s="45">
        <v>5.2949999999999999</v>
      </c>
      <c r="J24" s="45">
        <v>5.702</v>
      </c>
      <c r="K24" s="45">
        <v>6.282</v>
      </c>
      <c r="L24" s="45">
        <v>6.8819999999999997</v>
      </c>
      <c r="M24" s="49">
        <v>7.3029999999999999</v>
      </c>
      <c r="N24" s="50">
        <v>8.1159999999999997</v>
      </c>
      <c r="O24" s="45">
        <v>9.0030000000000001</v>
      </c>
      <c r="P24" s="45">
        <v>10.375999999999999</v>
      </c>
      <c r="Q24" s="45">
        <v>12.067</v>
      </c>
      <c r="R24" s="45">
        <v>14.048999999999999</v>
      </c>
      <c r="S24" s="45">
        <v>16.427</v>
      </c>
      <c r="T24" s="45">
        <v>19.640999999999998</v>
      </c>
      <c r="U24" s="45">
        <v>24.981000000000002</v>
      </c>
      <c r="V24" s="45">
        <v>32.279000000000003</v>
      </c>
      <c r="W24" s="45">
        <v>41.695</v>
      </c>
      <c r="X24" s="45">
        <v>71.039000000000001</v>
      </c>
      <c r="Y24" s="49">
        <v>96.933000000000007</v>
      </c>
      <c r="Z24" s="50">
        <v>99.222999999999999</v>
      </c>
      <c r="AA24" s="45">
        <v>126.133</v>
      </c>
      <c r="AB24" s="45">
        <v>136.26300000000001</v>
      </c>
      <c r="AC24" s="45">
        <v>138.28200000000001</v>
      </c>
      <c r="AD24" s="45">
        <v>144.99600000000001</v>
      </c>
      <c r="AE24" s="45">
        <v>155.12</v>
      </c>
      <c r="AF24" s="45">
        <v>181.24</v>
      </c>
      <c r="AG24" s="45">
        <v>183.21799999999999</v>
      </c>
      <c r="AH24" s="45">
        <v>187.047</v>
      </c>
      <c r="AI24" s="45">
        <v>198.334</v>
      </c>
      <c r="AJ24" s="45">
        <v>202.804</v>
      </c>
      <c r="AK24" s="49">
        <v>208.06</v>
      </c>
      <c r="AL24" s="50">
        <v>213.839</v>
      </c>
      <c r="AM24" s="45">
        <v>220.70400000000001</v>
      </c>
      <c r="AN24" s="45">
        <v>229.548</v>
      </c>
      <c r="AO24" s="45">
        <v>239.554</v>
      </c>
      <c r="AP24" s="45">
        <v>250.75700000000001</v>
      </c>
      <c r="AQ24" s="45">
        <v>268.995</v>
      </c>
      <c r="AR24" s="45">
        <v>277.33199999999999</v>
      </c>
      <c r="AS24" s="45">
        <v>287.904</v>
      </c>
      <c r="AT24" s="45">
        <v>300.18099999999998</v>
      </c>
      <c r="AU24" s="45">
        <v>313.137</v>
      </c>
      <c r="AV24" s="45">
        <v>328.61700000000002</v>
      </c>
      <c r="AW24" s="49">
        <v>341.51299999999998</v>
      </c>
      <c r="AX24" s="45">
        <v>354.12799999999999</v>
      </c>
      <c r="AY24" s="45">
        <v>371.75799999999998</v>
      </c>
      <c r="AZ24" s="45">
        <v>396.30700000000002</v>
      </c>
      <c r="BA24" s="45">
        <v>407.72800000000001</v>
      </c>
      <c r="BB24" s="45">
        <v>421.02</v>
      </c>
      <c r="BC24" s="45">
        <v>436.096</v>
      </c>
      <c r="BD24" s="45">
        <v>451.83600000000001</v>
      </c>
      <c r="BE24" s="45">
        <v>466.91500000000002</v>
      </c>
      <c r="BF24" s="45">
        <v>484.15300000000002</v>
      </c>
      <c r="BG24" s="45">
        <v>502.42099999999999</v>
      </c>
      <c r="BH24" s="45">
        <v>520.61300000000006</v>
      </c>
      <c r="BI24" s="49">
        <v>540.47799999999995</v>
      </c>
      <c r="BJ24" s="45">
        <v>549.92399999999998</v>
      </c>
      <c r="BK24" s="45">
        <v>562.26599999999996</v>
      </c>
      <c r="BL24" s="45">
        <v>583.85699999999997</v>
      </c>
      <c r="BM24" s="45">
        <v>596.87900000000002</v>
      </c>
      <c r="BN24" s="45">
        <v>611.62599999999998</v>
      </c>
      <c r="BO24" s="45">
        <v>633.17700000000002</v>
      </c>
      <c r="BP24" s="45">
        <v>646.54300000000001</v>
      </c>
      <c r="BQ24" s="45">
        <v>661.05799999999999</v>
      </c>
      <c r="BR24" s="45">
        <v>687.51800000000003</v>
      </c>
      <c r="BS24" s="45">
        <v>704.39400000000001</v>
      </c>
      <c r="BT24" s="45">
        <v>725.33100000000002</v>
      </c>
      <c r="BU24" s="49">
        <v>752.149</v>
      </c>
      <c r="BV24" s="45">
        <v>765.654</v>
      </c>
      <c r="BW24" s="45">
        <v>768.05499999999995</v>
      </c>
      <c r="BX24" s="45">
        <v>771.81100000000004</v>
      </c>
      <c r="BY24" s="45">
        <v>775.06500000000005</v>
      </c>
      <c r="BZ24" s="45">
        <v>778.33500000000004</v>
      </c>
      <c r="CA24" s="45">
        <v>782.38400000000001</v>
      </c>
      <c r="CB24" s="45">
        <v>785.63400000000001</v>
      </c>
      <c r="CC24" s="45">
        <v>789.13400000000001</v>
      </c>
      <c r="CD24" s="45">
        <v>794.13300000000004</v>
      </c>
      <c r="CE24" s="45">
        <v>796.27200000000005</v>
      </c>
      <c r="CF24" s="45">
        <v>798.73500000000001</v>
      </c>
      <c r="CG24" s="49">
        <v>801.00800000000004</v>
      </c>
      <c r="CH24" s="45">
        <v>802.85400000000004</v>
      </c>
      <c r="CI24" s="45">
        <v>804.87199999999996</v>
      </c>
      <c r="CJ24" s="45">
        <v>808.07899999999995</v>
      </c>
      <c r="CK24" s="45">
        <v>809.976</v>
      </c>
      <c r="CL24" s="45">
        <v>812.529</v>
      </c>
      <c r="CM24" s="45">
        <v>815.44399999999996</v>
      </c>
      <c r="CN24" s="45">
        <v>818.03499999999997</v>
      </c>
      <c r="CO24" s="45">
        <v>820.51300000000003</v>
      </c>
      <c r="CP24" s="45">
        <v>823.53</v>
      </c>
      <c r="CQ24" s="45">
        <v>826.24599999999998</v>
      </c>
      <c r="CR24" s="45">
        <v>829.13300000000004</v>
      </c>
      <c r="CS24" s="49">
        <v>831.54100000000005</v>
      </c>
      <c r="CT24" s="45">
        <v>833.65700000000004</v>
      </c>
      <c r="CU24" s="45">
        <v>836.048</v>
      </c>
      <c r="CV24" s="45">
        <v>839.24900000000002</v>
      </c>
      <c r="CW24" s="45">
        <v>842.19600000000003</v>
      </c>
      <c r="CX24" s="45">
        <v>845.48599999999999</v>
      </c>
      <c r="CY24" s="45">
        <v>849.25599999999997</v>
      </c>
      <c r="CZ24" s="45">
        <v>852.44600000000003</v>
      </c>
      <c r="DA24" s="45">
        <v>855.90300000000002</v>
      </c>
      <c r="DB24" s="45">
        <v>860.221</v>
      </c>
      <c r="DC24" s="45">
        <v>864.24199999999996</v>
      </c>
      <c r="DD24" s="45">
        <v>869.61300000000006</v>
      </c>
      <c r="DE24" s="49">
        <v>874.63599999999997</v>
      </c>
      <c r="DF24" s="45">
        <v>879.86</v>
      </c>
      <c r="DG24" s="45">
        <v>887.726</v>
      </c>
      <c r="DH24" s="45">
        <v>907.83799999999997</v>
      </c>
      <c r="DI24" s="45">
        <v>908.61500000000001</v>
      </c>
      <c r="DJ24" s="45">
        <v>909.92</v>
      </c>
      <c r="DK24" s="45">
        <v>911.61599999999999</v>
      </c>
      <c r="DL24" s="45">
        <v>914.01900000000001</v>
      </c>
      <c r="DM24" s="45">
        <v>916.46699999999998</v>
      </c>
      <c r="DN24" s="45">
        <v>919.79899999999998</v>
      </c>
      <c r="DO24" s="45">
        <v>923.83199999999999</v>
      </c>
      <c r="DP24" s="45">
        <v>927.28099999999995</v>
      </c>
      <c r="DQ24" s="49">
        <v>930.05399999999997</v>
      </c>
      <c r="DR24" s="45">
        <v>933.53200000000004</v>
      </c>
      <c r="DS24" s="45">
        <v>937.14</v>
      </c>
      <c r="DT24" s="45">
        <v>941.09199999999998</v>
      </c>
      <c r="DU24" s="45">
        <v>942.60500000000002</v>
      </c>
      <c r="DV24" s="45">
        <v>945.16</v>
      </c>
      <c r="DW24" s="45">
        <v>949.89700000000005</v>
      </c>
      <c r="DX24" s="45">
        <v>955.00400000000002</v>
      </c>
      <c r="DY24" s="45">
        <v>959.62699999999995</v>
      </c>
      <c r="DZ24" s="45">
        <v>965.548</v>
      </c>
      <c r="EA24" s="45">
        <v>971.55700000000002</v>
      </c>
      <c r="EB24" s="45">
        <v>977.88800000000003</v>
      </c>
      <c r="EC24" s="49">
        <v>982.57</v>
      </c>
      <c r="ED24" s="45">
        <v>987.57399999999996</v>
      </c>
      <c r="EE24" s="45">
        <v>993.03</v>
      </c>
      <c r="EF24" s="45">
        <v>1001.071</v>
      </c>
      <c r="EG24" s="45">
        <v>1008.699</v>
      </c>
      <c r="EH24" s="45">
        <v>1016.29</v>
      </c>
      <c r="EI24" s="45">
        <v>1024.8499999999999</v>
      </c>
      <c r="EJ24" s="45">
        <v>1033.0730000000001</v>
      </c>
      <c r="EK24" s="45">
        <v>1040.5350000000001</v>
      </c>
      <c r="EL24" s="45">
        <v>1050.6780000000001</v>
      </c>
      <c r="EM24" s="45">
        <v>1060.598</v>
      </c>
      <c r="EN24" s="45">
        <v>1073.184</v>
      </c>
      <c r="EO24" s="82">
        <v>1082.3589999999999</v>
      </c>
      <c r="EP24" s="45">
        <v>1094.2470000000001</v>
      </c>
      <c r="EQ24" s="45">
        <v>1107.8989999999999</v>
      </c>
      <c r="ER24" s="45">
        <v>1126.8689999999999</v>
      </c>
      <c r="ES24" s="45">
        <v>1147.2170000000001</v>
      </c>
      <c r="ET24" s="45">
        <v>1172.0930000000001</v>
      </c>
      <c r="EU24" s="45">
        <v>1197.1559999999999</v>
      </c>
      <c r="EV24" s="45">
        <v>1224.809</v>
      </c>
      <c r="EW24" s="45">
        <v>1255.3610000000001</v>
      </c>
      <c r="EX24" s="45">
        <v>1291.69</v>
      </c>
      <c r="EY24" s="45">
        <v>1330.8910000000001</v>
      </c>
      <c r="EZ24" s="45">
        <v>1376.789</v>
      </c>
      <c r="FA24" s="82">
        <v>1412.36</v>
      </c>
      <c r="FB24" s="45">
        <v>1462.0540000000001</v>
      </c>
      <c r="FC24" s="45">
        <v>1513.818</v>
      </c>
      <c r="FD24" s="45">
        <v>1572.3889999999999</v>
      </c>
      <c r="FE24" s="45">
        <v>1619.8969999999999</v>
      </c>
      <c r="FF24" s="45">
        <v>1673.799</v>
      </c>
      <c r="FG24" s="45">
        <v>1727.3340000000001</v>
      </c>
      <c r="FH24" s="45">
        <v>1772.7270000000001</v>
      </c>
      <c r="FI24" s="45">
        <v>1819.4079999999999</v>
      </c>
      <c r="FJ24" s="45">
        <v>1863.6769999999999</v>
      </c>
      <c r="FK24" s="45">
        <v>1908.0340000000001</v>
      </c>
      <c r="FL24" s="45">
        <v>1951.4649999999999</v>
      </c>
      <c r="FM24" s="155">
        <v>1980.222</v>
      </c>
      <c r="FN24" s="69">
        <v>2015.3240000000001</v>
      </c>
      <c r="FO24" s="178">
        <v>2052.1509999999998</v>
      </c>
      <c r="FP24" s="178">
        <v>2089.239</v>
      </c>
      <c r="FQ24" s="178">
        <v>2129.4450000000002</v>
      </c>
      <c r="FR24" s="178">
        <v>2169.8820000000001</v>
      </c>
      <c r="FS24" s="178">
        <v>2206.4670000000001</v>
      </c>
      <c r="FT24" s="178">
        <v>2246.1260000000002</v>
      </c>
      <c r="FU24" s="178">
        <v>2281.1729999999998</v>
      </c>
      <c r="FV24" s="178">
        <v>2318.348</v>
      </c>
      <c r="FW24" s="178">
        <v>2360.21</v>
      </c>
      <c r="FX24" s="178">
        <v>2399.761</v>
      </c>
      <c r="FY24" s="180">
        <v>2428.2179999999998</v>
      </c>
      <c r="FZ24" s="178">
        <v>2464.3780000000002</v>
      </c>
      <c r="GA24" s="178">
        <v>2505.2330000000002</v>
      </c>
      <c r="GB24" s="178">
        <v>2553.9090000000001</v>
      </c>
      <c r="GC24" s="178">
        <v>2599.748</v>
      </c>
      <c r="GD24" s="178">
        <v>2650.364</v>
      </c>
      <c r="GE24" s="178">
        <v>2700.982</v>
      </c>
      <c r="GF24" s="178">
        <v>2754.9450000000002</v>
      </c>
      <c r="GG24" s="178">
        <v>2803.299</v>
      </c>
      <c r="GH24" s="178">
        <v>2857.8629999999998</v>
      </c>
      <c r="GI24" s="178">
        <v>2914.8969999999999</v>
      </c>
      <c r="GJ24" s="178">
        <v>2964.8519999999999</v>
      </c>
      <c r="GK24" s="180">
        <v>3001.06</v>
      </c>
      <c r="GL24" s="178">
        <v>3041.51</v>
      </c>
      <c r="GM24" s="178">
        <v>3085.0419999999999</v>
      </c>
      <c r="GN24" s="178">
        <v>3135.895</v>
      </c>
      <c r="GO24" s="178">
        <v>3189.42</v>
      </c>
      <c r="GP24" s="178">
        <v>3231.9760000000001</v>
      </c>
    </row>
    <row r="25" spans="1:200" s="1" customFormat="1" ht="20.149999999999999" customHeight="1" x14ac:dyDescent="0.35">
      <c r="A25" s="31" t="s">
        <v>1625</v>
      </c>
      <c r="B25" s="45">
        <v>2.65</v>
      </c>
      <c r="C25" s="45">
        <v>2.7450000000000001</v>
      </c>
      <c r="D25" s="45">
        <v>3.1110000000000002</v>
      </c>
      <c r="E25" s="45">
        <v>3.3570000000000002</v>
      </c>
      <c r="F25" s="45">
        <v>3.7120000000000002</v>
      </c>
      <c r="G25" s="45">
        <v>3.9449999999999998</v>
      </c>
      <c r="H25" s="45">
        <v>4.0949999999999998</v>
      </c>
      <c r="I25" s="45">
        <v>4.3780000000000001</v>
      </c>
      <c r="J25" s="45">
        <v>4.827</v>
      </c>
      <c r="K25" s="45">
        <v>5.1970000000000001</v>
      </c>
      <c r="L25" s="45">
        <v>5.6909999999999998</v>
      </c>
      <c r="M25" s="49">
        <v>5.9390000000000001</v>
      </c>
      <c r="N25" s="50">
        <v>6.4939999999999998</v>
      </c>
      <c r="O25" s="45">
        <v>7.319</v>
      </c>
      <c r="P25" s="45">
        <v>8.15</v>
      </c>
      <c r="Q25" s="45">
        <v>9.1579999999999995</v>
      </c>
      <c r="R25" s="45">
        <v>10.382</v>
      </c>
      <c r="S25" s="45">
        <v>11.755000000000001</v>
      </c>
      <c r="T25" s="45">
        <v>15.018000000000001</v>
      </c>
      <c r="U25" s="45">
        <v>18.279</v>
      </c>
      <c r="V25" s="45">
        <v>22.56</v>
      </c>
      <c r="W25" s="45">
        <v>26.891999999999999</v>
      </c>
      <c r="X25" s="45">
        <v>49.792000000000002</v>
      </c>
      <c r="Y25" s="49">
        <v>96.597999999999999</v>
      </c>
      <c r="Z25" s="50">
        <v>97.736999999999995</v>
      </c>
      <c r="AA25" s="45">
        <v>134.953</v>
      </c>
      <c r="AB25" s="45">
        <v>161.291</v>
      </c>
      <c r="AC25" s="45">
        <v>162.96700000000001</v>
      </c>
      <c r="AD25" s="45">
        <v>167.358</v>
      </c>
      <c r="AE25" s="45">
        <v>176.64500000000001</v>
      </c>
      <c r="AF25" s="45">
        <v>213.774</v>
      </c>
      <c r="AG25" s="45">
        <v>215.214</v>
      </c>
      <c r="AH25" s="45">
        <v>217.47</v>
      </c>
      <c r="AI25" s="45">
        <v>225.464</v>
      </c>
      <c r="AJ25" s="45">
        <v>228.208</v>
      </c>
      <c r="AK25" s="49">
        <v>231.08</v>
      </c>
      <c r="AL25" s="50">
        <v>234.73099999999999</v>
      </c>
      <c r="AM25" s="45">
        <v>240.57300000000001</v>
      </c>
      <c r="AN25" s="45">
        <v>248.52</v>
      </c>
      <c r="AO25" s="45">
        <v>257.53800000000001</v>
      </c>
      <c r="AP25" s="45">
        <v>265.71800000000002</v>
      </c>
      <c r="AQ25" s="45">
        <v>286.53699999999998</v>
      </c>
      <c r="AR25" s="45">
        <v>291.01</v>
      </c>
      <c r="AS25" s="45">
        <v>298.12700000000001</v>
      </c>
      <c r="AT25" s="45">
        <v>305.36200000000002</v>
      </c>
      <c r="AU25" s="45">
        <v>311.726</v>
      </c>
      <c r="AV25" s="45">
        <v>319.01900000000001</v>
      </c>
      <c r="AW25" s="49">
        <v>326.44299999999998</v>
      </c>
      <c r="AX25" s="45">
        <v>332.81299999999999</v>
      </c>
      <c r="AY25" s="45">
        <v>342.524</v>
      </c>
      <c r="AZ25" s="45">
        <v>364.27100000000002</v>
      </c>
      <c r="BA25" s="45">
        <v>368.35500000000002</v>
      </c>
      <c r="BB25" s="45">
        <v>374.35</v>
      </c>
      <c r="BC25" s="45">
        <v>382.14800000000002</v>
      </c>
      <c r="BD25" s="45">
        <v>389.53300000000002</v>
      </c>
      <c r="BE25" s="45">
        <v>396.47399999999999</v>
      </c>
      <c r="BF25" s="45">
        <v>405.08100000000002</v>
      </c>
      <c r="BG25" s="45">
        <v>413.21</v>
      </c>
      <c r="BH25" s="45">
        <v>421.46600000000001</v>
      </c>
      <c r="BI25" s="49">
        <v>438.46699999999998</v>
      </c>
      <c r="BJ25" s="45">
        <v>442.327</v>
      </c>
      <c r="BK25" s="45">
        <v>449.82</v>
      </c>
      <c r="BL25" s="45">
        <v>462.62599999999998</v>
      </c>
      <c r="BM25" s="45">
        <v>470.05500000000001</v>
      </c>
      <c r="BN25" s="45">
        <v>477.33699999999999</v>
      </c>
      <c r="BO25" s="45">
        <v>488.685</v>
      </c>
      <c r="BP25" s="45">
        <v>498.24900000000002</v>
      </c>
      <c r="BQ25" s="45">
        <v>509.91699999999997</v>
      </c>
      <c r="BR25" s="45">
        <v>537.30999999999995</v>
      </c>
      <c r="BS25" s="45">
        <v>548.63900000000001</v>
      </c>
      <c r="BT25" s="45">
        <v>566.55499999999995</v>
      </c>
      <c r="BU25" s="49">
        <v>616.24400000000003</v>
      </c>
      <c r="BV25" s="45">
        <v>640.15099999999995</v>
      </c>
      <c r="BW25" s="45">
        <v>642.47699999999998</v>
      </c>
      <c r="BX25" s="45">
        <v>647.21799999999996</v>
      </c>
      <c r="BY25" s="45">
        <v>650.11</v>
      </c>
      <c r="BZ25" s="45">
        <v>653.15700000000004</v>
      </c>
      <c r="CA25" s="45">
        <v>657.779</v>
      </c>
      <c r="CB25" s="45">
        <v>662.15599999999995</v>
      </c>
      <c r="CC25" s="45">
        <v>668.27099999999996</v>
      </c>
      <c r="CD25" s="45">
        <v>679.52200000000005</v>
      </c>
      <c r="CE25" s="45">
        <v>682.32899999999995</v>
      </c>
      <c r="CF25" s="45">
        <v>685.32600000000002</v>
      </c>
      <c r="CG25" s="49">
        <v>689.89</v>
      </c>
      <c r="CH25" s="45">
        <v>691.57100000000003</v>
      </c>
      <c r="CI25" s="45">
        <v>694.11400000000003</v>
      </c>
      <c r="CJ25" s="45">
        <v>699.35699999999997</v>
      </c>
      <c r="CK25" s="45">
        <v>702.3</v>
      </c>
      <c r="CL25" s="45">
        <v>705.89499999999998</v>
      </c>
      <c r="CM25" s="45">
        <v>709.88</v>
      </c>
      <c r="CN25" s="45">
        <v>713.64499999999998</v>
      </c>
      <c r="CO25" s="45">
        <v>717.63800000000003</v>
      </c>
      <c r="CP25" s="45">
        <v>722.52099999999996</v>
      </c>
      <c r="CQ25" s="45">
        <v>726.40300000000002</v>
      </c>
      <c r="CR25" s="45">
        <v>731.49099999999999</v>
      </c>
      <c r="CS25" s="49">
        <v>735.44</v>
      </c>
      <c r="CT25" s="45">
        <v>739.53399999999999</v>
      </c>
      <c r="CU25" s="45">
        <v>743.27599999999995</v>
      </c>
      <c r="CV25" s="45">
        <v>748.59100000000001</v>
      </c>
      <c r="CW25" s="45">
        <v>752.03300000000002</v>
      </c>
      <c r="CX25" s="45">
        <v>755.48900000000003</v>
      </c>
      <c r="CY25" s="45">
        <v>760.27200000000005</v>
      </c>
      <c r="CZ25" s="45">
        <v>764.60799999999995</v>
      </c>
      <c r="DA25" s="45">
        <v>769.83699999999999</v>
      </c>
      <c r="DB25" s="45">
        <v>774.35</v>
      </c>
      <c r="DC25" s="45">
        <v>779.40599999999995</v>
      </c>
      <c r="DD25" s="45">
        <v>784.40300000000002</v>
      </c>
      <c r="DE25" s="49">
        <v>790.09299999999996</v>
      </c>
      <c r="DF25" s="45">
        <v>796.42</v>
      </c>
      <c r="DG25" s="45">
        <v>806.48</v>
      </c>
      <c r="DH25" s="45">
        <v>845.21799999999996</v>
      </c>
      <c r="DI25" s="45">
        <v>846.76900000000001</v>
      </c>
      <c r="DJ25" s="45">
        <v>848.37199999999996</v>
      </c>
      <c r="DK25" s="45">
        <v>850.38900000000001</v>
      </c>
      <c r="DL25" s="45">
        <v>852.70500000000004</v>
      </c>
      <c r="DM25" s="45">
        <v>856.00599999999997</v>
      </c>
      <c r="DN25" s="45">
        <v>859.39499999999998</v>
      </c>
      <c r="DO25" s="45">
        <v>862.67</v>
      </c>
      <c r="DP25" s="45">
        <v>866.30100000000004</v>
      </c>
      <c r="DQ25" s="49">
        <v>868.66600000000005</v>
      </c>
      <c r="DR25" s="45">
        <v>872.21299999999997</v>
      </c>
      <c r="DS25" s="45">
        <v>875.90800000000002</v>
      </c>
      <c r="DT25" s="45">
        <v>881.51800000000003</v>
      </c>
      <c r="DU25" s="45">
        <v>882.77200000000005</v>
      </c>
      <c r="DV25" s="45">
        <v>883.79100000000005</v>
      </c>
      <c r="DW25" s="45">
        <v>886.47199999999998</v>
      </c>
      <c r="DX25" s="45">
        <v>889.66</v>
      </c>
      <c r="DY25" s="45">
        <v>892.24199999999996</v>
      </c>
      <c r="DZ25" s="45">
        <v>896.4</v>
      </c>
      <c r="EA25" s="45">
        <v>900.16300000000001</v>
      </c>
      <c r="EB25" s="45">
        <v>904.41800000000001</v>
      </c>
      <c r="EC25" s="49">
        <v>907.36800000000005</v>
      </c>
      <c r="ED25" s="45">
        <v>910.36500000000001</v>
      </c>
      <c r="EE25" s="45">
        <v>913.83799999999997</v>
      </c>
      <c r="EF25" s="45">
        <v>918.64099999999996</v>
      </c>
      <c r="EG25" s="45">
        <v>922.44500000000005</v>
      </c>
      <c r="EH25" s="45">
        <v>926.274</v>
      </c>
      <c r="EI25" s="45">
        <v>929.71900000000005</v>
      </c>
      <c r="EJ25" s="45">
        <v>934.47299999999996</v>
      </c>
      <c r="EK25" s="45">
        <v>939.697</v>
      </c>
      <c r="EL25" s="45">
        <v>945.05100000000004</v>
      </c>
      <c r="EM25" s="45">
        <v>950.11300000000006</v>
      </c>
      <c r="EN25" s="45">
        <v>956.65499999999997</v>
      </c>
      <c r="EO25" s="82">
        <v>960.08199999999999</v>
      </c>
      <c r="EP25" s="45">
        <v>964.83900000000006</v>
      </c>
      <c r="EQ25" s="45">
        <v>970.10299999999995</v>
      </c>
      <c r="ER25" s="45">
        <v>978.14599999999996</v>
      </c>
      <c r="ES25" s="45">
        <v>984.10199999999998</v>
      </c>
      <c r="ET25" s="45">
        <v>992.37699999999995</v>
      </c>
      <c r="EU25" s="45">
        <v>999.51800000000003</v>
      </c>
      <c r="EV25" s="45">
        <v>1007.062</v>
      </c>
      <c r="EW25" s="45">
        <v>1015.46</v>
      </c>
      <c r="EX25" s="45">
        <v>1023.958</v>
      </c>
      <c r="EY25" s="45">
        <v>1033.123</v>
      </c>
      <c r="EZ25" s="45">
        <v>1044.0229999999999</v>
      </c>
      <c r="FA25" s="82">
        <v>1052.2190000000001</v>
      </c>
      <c r="FB25" s="45">
        <v>1062.9259999999999</v>
      </c>
      <c r="FC25" s="45">
        <v>1076.395</v>
      </c>
      <c r="FD25" s="45">
        <v>1092.5239999999999</v>
      </c>
      <c r="FE25" s="45">
        <v>1106.655</v>
      </c>
      <c r="FF25" s="45">
        <v>1124.5050000000001</v>
      </c>
      <c r="FG25" s="45">
        <v>1144.991</v>
      </c>
      <c r="FH25" s="45">
        <v>1162.1489999999999</v>
      </c>
      <c r="FI25" s="45">
        <v>1179.3489999999999</v>
      </c>
      <c r="FJ25" s="45">
        <v>1198.6110000000001</v>
      </c>
      <c r="FK25" s="45">
        <v>1215.441</v>
      </c>
      <c r="FL25" s="45">
        <v>1232.566</v>
      </c>
      <c r="FM25" s="155">
        <v>1243.2159999999999</v>
      </c>
      <c r="FN25" s="69">
        <v>1258.164</v>
      </c>
      <c r="FO25" s="178">
        <v>1271.7560000000001</v>
      </c>
      <c r="FP25" s="178">
        <v>1287.635</v>
      </c>
      <c r="FQ25" s="178">
        <v>1303.768</v>
      </c>
      <c r="FR25" s="178">
        <v>1322.203</v>
      </c>
      <c r="FS25" s="178">
        <v>1339.4880000000001</v>
      </c>
      <c r="FT25" s="178">
        <v>1358.3969999999999</v>
      </c>
      <c r="FU25" s="178">
        <v>1376.288</v>
      </c>
      <c r="FV25" s="178">
        <v>1393.633</v>
      </c>
      <c r="FW25" s="178">
        <v>1411.354</v>
      </c>
      <c r="FX25" s="178">
        <v>1429.7139999999999</v>
      </c>
      <c r="FY25" s="180">
        <v>1442.211</v>
      </c>
      <c r="FZ25" s="178">
        <v>1459.415</v>
      </c>
      <c r="GA25" s="178">
        <v>1479.9459999999999</v>
      </c>
      <c r="GB25" s="178">
        <v>1502.077</v>
      </c>
      <c r="GC25" s="178">
        <v>1523.2360000000001</v>
      </c>
      <c r="GD25" s="178">
        <v>1546.5930000000001</v>
      </c>
      <c r="GE25" s="178">
        <v>1568.7180000000001</v>
      </c>
      <c r="GF25" s="178">
        <v>1592.5619999999999</v>
      </c>
      <c r="GG25" s="178">
        <v>1614.193</v>
      </c>
      <c r="GH25" s="178">
        <v>1638.8320000000001</v>
      </c>
      <c r="GI25" s="178">
        <v>1663.192</v>
      </c>
      <c r="GJ25" s="178">
        <v>1684.38</v>
      </c>
      <c r="GK25" s="180">
        <v>1702.508</v>
      </c>
      <c r="GL25" s="178">
        <v>1723.338</v>
      </c>
      <c r="GM25" s="178">
        <v>1747.4829999999999</v>
      </c>
      <c r="GN25" s="178">
        <v>1777.9059999999999</v>
      </c>
      <c r="GO25" s="178">
        <v>1804.7670000000001</v>
      </c>
      <c r="GP25" s="178">
        <v>1824.846</v>
      </c>
    </row>
    <row r="26" spans="1:200" s="1" customFormat="1" ht="20.149999999999999" customHeight="1" x14ac:dyDescent="0.35">
      <c r="A26" s="31" t="s">
        <v>1627</v>
      </c>
      <c r="B26" s="45">
        <v>1.133</v>
      </c>
      <c r="C26" s="45">
        <v>1.133</v>
      </c>
      <c r="D26" s="45">
        <v>1.133</v>
      </c>
      <c r="E26" s="45">
        <v>1.133</v>
      </c>
      <c r="F26" s="45">
        <v>1.3009999999999999</v>
      </c>
      <c r="G26" s="45">
        <v>2.101</v>
      </c>
      <c r="H26" s="45">
        <v>2.2509999999999999</v>
      </c>
      <c r="I26" s="45">
        <v>2.2509999999999999</v>
      </c>
      <c r="J26" s="45">
        <v>2.2509999999999999</v>
      </c>
      <c r="K26" s="45">
        <v>2.6989999999999998</v>
      </c>
      <c r="L26" s="45">
        <v>2.75</v>
      </c>
      <c r="M26" s="49">
        <v>2.8969999999999998</v>
      </c>
      <c r="N26" s="50">
        <v>2.8969999999999998</v>
      </c>
      <c r="O26" s="45">
        <v>3.4209999999999998</v>
      </c>
      <c r="P26" s="45">
        <v>4.2380000000000004</v>
      </c>
      <c r="Q26" s="45">
        <v>10.138999999999999</v>
      </c>
      <c r="R26" s="45">
        <v>11.798</v>
      </c>
      <c r="S26" s="45">
        <v>17.247</v>
      </c>
      <c r="T26" s="45">
        <v>139.82599999999999</v>
      </c>
      <c r="U26" s="45">
        <v>140.78100000000001</v>
      </c>
      <c r="V26" s="45">
        <v>156.404</v>
      </c>
      <c r="W26" s="45">
        <v>212.83099999999999</v>
      </c>
      <c r="X26" s="45">
        <v>214.464</v>
      </c>
      <c r="Y26" s="49">
        <v>222.828</v>
      </c>
      <c r="Z26" s="50">
        <v>222.98699999999999</v>
      </c>
      <c r="AA26" s="45">
        <v>226.87100000000001</v>
      </c>
      <c r="AB26" s="45">
        <v>237.54900000000001</v>
      </c>
      <c r="AC26" s="45">
        <v>238.36199999999999</v>
      </c>
      <c r="AD26" s="45">
        <v>239.48400000000001</v>
      </c>
      <c r="AE26" s="45">
        <v>255.54900000000001</v>
      </c>
      <c r="AF26" s="45">
        <v>332.488</v>
      </c>
      <c r="AG26" s="45">
        <v>335.31599999999997</v>
      </c>
      <c r="AH26" s="45">
        <v>336.98399999999998</v>
      </c>
      <c r="AI26" s="45">
        <v>340.91500000000002</v>
      </c>
      <c r="AJ26" s="45">
        <v>350.21899999999999</v>
      </c>
      <c r="AK26" s="49">
        <v>352.34800000000001</v>
      </c>
      <c r="AL26" s="50">
        <v>358.19799999999998</v>
      </c>
      <c r="AM26" s="45">
        <v>362.66199999999998</v>
      </c>
      <c r="AN26" s="45">
        <v>465.64400000000001</v>
      </c>
      <c r="AO26" s="45">
        <v>492.17200000000003</v>
      </c>
      <c r="AP26" s="45">
        <v>503.91</v>
      </c>
      <c r="AQ26" s="45">
        <v>518.42899999999997</v>
      </c>
      <c r="AR26" s="45">
        <v>533.10599999999999</v>
      </c>
      <c r="AS26" s="45">
        <v>550.12099999999998</v>
      </c>
      <c r="AT26" s="45">
        <v>560.89599999999996</v>
      </c>
      <c r="AU26" s="45">
        <v>573.43600000000004</v>
      </c>
      <c r="AV26" s="45">
        <v>581.77800000000002</v>
      </c>
      <c r="AW26" s="49">
        <v>597.53800000000001</v>
      </c>
      <c r="AX26" s="45">
        <v>611.97</v>
      </c>
      <c r="AY26" s="45">
        <v>631.83399999999995</v>
      </c>
      <c r="AZ26" s="45">
        <v>723.92499999999995</v>
      </c>
      <c r="BA26" s="45">
        <v>739.09699999999998</v>
      </c>
      <c r="BB26" s="45">
        <v>757.50099999999998</v>
      </c>
      <c r="BC26" s="45">
        <v>798.96</v>
      </c>
      <c r="BD26" s="45">
        <v>818.67499999999995</v>
      </c>
      <c r="BE26" s="45">
        <v>834.55799999999999</v>
      </c>
      <c r="BF26" s="45">
        <v>851.37699999999995</v>
      </c>
      <c r="BG26" s="45">
        <v>868.09500000000003</v>
      </c>
      <c r="BH26" s="45">
        <v>886.57600000000002</v>
      </c>
      <c r="BI26" s="49">
        <v>928.45</v>
      </c>
      <c r="BJ26" s="45">
        <v>939.26199999999994</v>
      </c>
      <c r="BK26" s="45">
        <v>958.29899999999998</v>
      </c>
      <c r="BL26" s="45">
        <v>1079.3620000000001</v>
      </c>
      <c r="BM26" s="45">
        <v>1089.9069999999999</v>
      </c>
      <c r="BN26" s="45">
        <v>1116.3689999999999</v>
      </c>
      <c r="BO26" s="45">
        <v>1181.6859999999999</v>
      </c>
      <c r="BP26" s="45">
        <v>1211.729</v>
      </c>
      <c r="BQ26" s="45">
        <v>1249.5809999999999</v>
      </c>
      <c r="BR26" s="45">
        <v>1295.8810000000001</v>
      </c>
      <c r="BS26" s="45">
        <v>1373.204</v>
      </c>
      <c r="BT26" s="45">
        <v>1457.037</v>
      </c>
      <c r="BU26" s="49">
        <v>1957.7750000000001</v>
      </c>
      <c r="BV26" s="45">
        <v>2027.3309999999999</v>
      </c>
      <c r="BW26" s="45">
        <v>2088.5410000000002</v>
      </c>
      <c r="BX26" s="45">
        <v>2606.6970000000001</v>
      </c>
      <c r="BY26" s="45">
        <v>2651.7359999999999</v>
      </c>
      <c r="BZ26" s="45">
        <v>2688.4609999999998</v>
      </c>
      <c r="CA26" s="45">
        <v>2846.585</v>
      </c>
      <c r="CB26" s="45">
        <v>2861.0590000000002</v>
      </c>
      <c r="CC26" s="45">
        <v>2889.5639999999999</v>
      </c>
      <c r="CD26" s="45">
        <v>2916.7820000000002</v>
      </c>
      <c r="CE26" s="45">
        <v>2942.7649999999999</v>
      </c>
      <c r="CF26" s="45">
        <v>2973.8</v>
      </c>
      <c r="CG26" s="49">
        <v>3014.3209999999999</v>
      </c>
      <c r="CH26" s="45">
        <v>3023.5320000000002</v>
      </c>
      <c r="CI26" s="45">
        <v>3076.1689999999999</v>
      </c>
      <c r="CJ26" s="45">
        <v>3442.9929999999999</v>
      </c>
      <c r="CK26" s="45">
        <v>3452.9189999999999</v>
      </c>
      <c r="CL26" s="45">
        <v>3459.654</v>
      </c>
      <c r="CM26" s="45">
        <v>3464.8809999999999</v>
      </c>
      <c r="CN26" s="45">
        <v>3474.163</v>
      </c>
      <c r="CO26" s="45">
        <v>3479.6219999999998</v>
      </c>
      <c r="CP26" s="45">
        <v>3483.1959999999999</v>
      </c>
      <c r="CQ26" s="45">
        <v>3485.6370000000002</v>
      </c>
      <c r="CR26" s="45">
        <v>3487.5569999999998</v>
      </c>
      <c r="CS26" s="49">
        <v>3488.692</v>
      </c>
      <c r="CT26" s="45">
        <v>3490.3359999999998</v>
      </c>
      <c r="CU26" s="45">
        <v>3491.0920000000001</v>
      </c>
      <c r="CV26" s="45">
        <v>3504.38</v>
      </c>
      <c r="CW26" s="45">
        <v>3507.1640000000002</v>
      </c>
      <c r="CX26" s="45">
        <v>3511.39</v>
      </c>
      <c r="CY26" s="45">
        <v>3517.8969999999999</v>
      </c>
      <c r="CZ26" s="45">
        <v>3520.62</v>
      </c>
      <c r="DA26" s="45">
        <v>3523.1210000000001</v>
      </c>
      <c r="DB26" s="45">
        <v>3525.5360000000001</v>
      </c>
      <c r="DC26" s="45">
        <v>3527.6329999999998</v>
      </c>
      <c r="DD26" s="45">
        <v>3536.6149999999998</v>
      </c>
      <c r="DE26" s="49">
        <v>3543.9189999999999</v>
      </c>
      <c r="DF26" s="45">
        <v>3546.8890000000001</v>
      </c>
      <c r="DG26" s="45">
        <v>3550.4760000000001</v>
      </c>
      <c r="DH26" s="45">
        <v>3554.5680000000002</v>
      </c>
      <c r="DI26" s="45">
        <v>3567.223</v>
      </c>
      <c r="DJ26" s="45">
        <v>3567.931</v>
      </c>
      <c r="DK26" s="45">
        <v>3570.1759999999999</v>
      </c>
      <c r="DL26" s="45">
        <v>3572.7669999999998</v>
      </c>
      <c r="DM26" s="45">
        <v>3579.5279999999998</v>
      </c>
      <c r="DN26" s="45">
        <v>3594.4059999999999</v>
      </c>
      <c r="DO26" s="45">
        <v>3595.54</v>
      </c>
      <c r="DP26" s="45">
        <v>3596.3</v>
      </c>
      <c r="DQ26" s="49">
        <v>3597.9259999999999</v>
      </c>
      <c r="DR26" s="45">
        <v>3606.6759999999999</v>
      </c>
      <c r="DS26" s="45">
        <v>3607.2759999999998</v>
      </c>
      <c r="DT26" s="45">
        <v>3609.6640000000002</v>
      </c>
      <c r="DU26" s="45">
        <v>3611.1149999999998</v>
      </c>
      <c r="DV26" s="45">
        <v>3611.3690000000001</v>
      </c>
      <c r="DW26" s="45">
        <v>3611.5189999999998</v>
      </c>
      <c r="DX26" s="45">
        <v>3618.3690000000001</v>
      </c>
      <c r="DY26" s="45">
        <v>3619.2190000000001</v>
      </c>
      <c r="DZ26" s="45">
        <v>3619.7190000000001</v>
      </c>
      <c r="EA26" s="45">
        <v>3623.6689999999999</v>
      </c>
      <c r="EB26" s="45">
        <v>3625.6190000000001</v>
      </c>
      <c r="EC26" s="49">
        <v>3628.9690000000001</v>
      </c>
      <c r="ED26" s="45">
        <v>3629.5439999999999</v>
      </c>
      <c r="EE26" s="45">
        <v>3631.3440000000001</v>
      </c>
      <c r="EF26" s="45">
        <v>3631.8939999999998</v>
      </c>
      <c r="EG26" s="45">
        <v>3632.2440000000001</v>
      </c>
      <c r="EH26" s="45">
        <v>3633.3939999999998</v>
      </c>
      <c r="EI26" s="45">
        <v>3634.7939999999999</v>
      </c>
      <c r="EJ26" s="45">
        <v>3640.9140000000002</v>
      </c>
      <c r="EK26" s="45">
        <v>3642.4929999999999</v>
      </c>
      <c r="EL26" s="45">
        <v>3649.6880000000001</v>
      </c>
      <c r="EM26" s="45">
        <v>3653.5529999999999</v>
      </c>
      <c r="EN26" s="45">
        <v>3656.0529999999999</v>
      </c>
      <c r="EO26" s="82">
        <v>3660.2370000000001</v>
      </c>
      <c r="EP26" s="45">
        <v>3680.3910000000001</v>
      </c>
      <c r="EQ26" s="45">
        <v>3683.866</v>
      </c>
      <c r="ER26" s="45">
        <v>3695.4380000000001</v>
      </c>
      <c r="ES26" s="45">
        <v>3702.8</v>
      </c>
      <c r="ET26" s="45">
        <v>3710.1790000000001</v>
      </c>
      <c r="EU26" s="45">
        <v>3713.8029999999999</v>
      </c>
      <c r="EV26" s="45">
        <v>3720.6410000000001</v>
      </c>
      <c r="EW26" s="45">
        <v>3722.002</v>
      </c>
      <c r="EX26" s="45">
        <v>3725.4250000000002</v>
      </c>
      <c r="EY26" s="45">
        <v>3731.337</v>
      </c>
      <c r="EZ26" s="45">
        <v>3736.4650000000001</v>
      </c>
      <c r="FA26" s="82">
        <v>3744.2020000000002</v>
      </c>
      <c r="FB26" s="45">
        <v>3747.1480000000001</v>
      </c>
      <c r="FC26" s="45">
        <v>3754.9029999999998</v>
      </c>
      <c r="FD26" s="45">
        <v>3768.9850000000001</v>
      </c>
      <c r="FE26" s="45">
        <v>3773.4430000000002</v>
      </c>
      <c r="FF26" s="45">
        <v>3778.4659999999999</v>
      </c>
      <c r="FG26" s="45">
        <v>3788.268</v>
      </c>
      <c r="FH26" s="45">
        <v>3795.9670000000001</v>
      </c>
      <c r="FI26" s="45">
        <v>3801.95</v>
      </c>
      <c r="FJ26" s="45">
        <v>3810.3209999999999</v>
      </c>
      <c r="FK26" s="45">
        <v>3821.9670000000001</v>
      </c>
      <c r="FL26" s="45">
        <v>3827.9929999999999</v>
      </c>
      <c r="FM26" s="155">
        <v>3831.625</v>
      </c>
      <c r="FN26" s="69">
        <v>3844.4110000000001</v>
      </c>
      <c r="FO26" s="178">
        <v>3849.6309999999999</v>
      </c>
      <c r="FP26" s="178">
        <v>3860.6550000000002</v>
      </c>
      <c r="FQ26" s="178">
        <v>3863.6350000000002</v>
      </c>
      <c r="FR26" s="178">
        <v>3871.7330000000002</v>
      </c>
      <c r="FS26" s="178">
        <v>3878.933</v>
      </c>
      <c r="FT26" s="178">
        <v>3887.9259999999999</v>
      </c>
      <c r="FU26" s="178">
        <v>3891.6950000000002</v>
      </c>
      <c r="FV26" s="178">
        <v>3895.3870000000002</v>
      </c>
      <c r="FW26" s="178">
        <v>3900.654</v>
      </c>
      <c r="FX26" s="178">
        <v>3905.7939999999999</v>
      </c>
      <c r="FY26" s="180">
        <v>3907.011</v>
      </c>
      <c r="FZ26" s="178">
        <v>3909.0369999999998</v>
      </c>
      <c r="GA26" s="178">
        <v>3911.875</v>
      </c>
      <c r="GB26" s="178">
        <v>3915.4569999999999</v>
      </c>
      <c r="GC26" s="178">
        <v>3918.4720000000002</v>
      </c>
      <c r="GD26" s="178">
        <v>3925.623</v>
      </c>
      <c r="GE26" s="178">
        <v>3930.5590000000002</v>
      </c>
      <c r="GF26" s="178">
        <v>3943.8649999999998</v>
      </c>
      <c r="GG26" s="178">
        <v>3948.5419999999999</v>
      </c>
      <c r="GH26" s="178">
        <v>3952.8519999999999</v>
      </c>
      <c r="GI26" s="178">
        <v>3960.462</v>
      </c>
      <c r="GJ26" s="178">
        <v>3967.6669999999999</v>
      </c>
      <c r="GK26" s="180">
        <v>3981.7669999999998</v>
      </c>
      <c r="GL26" s="178">
        <v>3984.5160000000001</v>
      </c>
      <c r="GM26" s="178">
        <v>3986.6950000000002</v>
      </c>
      <c r="GN26" s="178">
        <v>3988.7950000000001</v>
      </c>
      <c r="GO26" s="178">
        <v>3990.2449999999999</v>
      </c>
      <c r="GP26" s="178">
        <v>3990.9949999999999</v>
      </c>
    </row>
    <row r="27" spans="1:200" s="1" customFormat="1" ht="20.149999999999999" customHeight="1" x14ac:dyDescent="0.35">
      <c r="A27" s="31" t="s">
        <v>1624</v>
      </c>
      <c r="B27" s="45">
        <v>0</v>
      </c>
      <c r="C27" s="45">
        <v>0</v>
      </c>
      <c r="D27" s="45">
        <v>0</v>
      </c>
      <c r="E27" s="45">
        <v>0</v>
      </c>
      <c r="F27" s="45">
        <v>0</v>
      </c>
      <c r="G27" s="45">
        <v>0</v>
      </c>
      <c r="H27" s="45">
        <v>0</v>
      </c>
      <c r="I27" s="45">
        <v>0</v>
      </c>
      <c r="J27" s="45">
        <v>0</v>
      </c>
      <c r="K27" s="45">
        <v>0</v>
      </c>
      <c r="L27" s="45">
        <v>0</v>
      </c>
      <c r="M27" s="49">
        <v>0</v>
      </c>
      <c r="N27" s="50">
        <v>0</v>
      </c>
      <c r="O27" s="45">
        <v>0</v>
      </c>
      <c r="P27" s="45">
        <v>0</v>
      </c>
      <c r="Q27" s="45">
        <v>0</v>
      </c>
      <c r="R27" s="45">
        <v>0</v>
      </c>
      <c r="S27" s="45">
        <v>0</v>
      </c>
      <c r="T27" s="45">
        <v>0</v>
      </c>
      <c r="U27" s="45">
        <v>0</v>
      </c>
      <c r="V27" s="45">
        <v>0</v>
      </c>
      <c r="W27" s="45">
        <v>0</v>
      </c>
      <c r="X27" s="45">
        <v>0</v>
      </c>
      <c r="Y27" s="49">
        <v>0</v>
      </c>
      <c r="Z27" s="50">
        <v>6</v>
      </c>
      <c r="AA27" s="45">
        <v>6</v>
      </c>
      <c r="AB27" s="45">
        <v>6</v>
      </c>
      <c r="AC27" s="45">
        <v>6</v>
      </c>
      <c r="AD27" s="45">
        <v>6</v>
      </c>
      <c r="AE27" s="45">
        <v>6</v>
      </c>
      <c r="AF27" s="45">
        <v>6</v>
      </c>
      <c r="AG27" s="45">
        <v>6</v>
      </c>
      <c r="AH27" s="45">
        <v>6</v>
      </c>
      <c r="AI27" s="45">
        <v>6</v>
      </c>
      <c r="AJ27" s="45">
        <v>6</v>
      </c>
      <c r="AK27" s="49">
        <v>6</v>
      </c>
      <c r="AL27" s="50">
        <v>6</v>
      </c>
      <c r="AM27" s="45">
        <v>45.012</v>
      </c>
      <c r="AN27" s="45">
        <v>272.49900000000002</v>
      </c>
      <c r="AO27" s="45">
        <v>272.49900000000002</v>
      </c>
      <c r="AP27" s="45">
        <v>296.28300000000002</v>
      </c>
      <c r="AQ27" s="45">
        <v>349.51299999999998</v>
      </c>
      <c r="AR27" s="45">
        <v>349.51299999999998</v>
      </c>
      <c r="AS27" s="45">
        <v>368.68799999999999</v>
      </c>
      <c r="AT27" s="45">
        <v>368.68799999999999</v>
      </c>
      <c r="AU27" s="45">
        <v>368.68799999999999</v>
      </c>
      <c r="AV27" s="45">
        <v>423.68799999999999</v>
      </c>
      <c r="AW27" s="49">
        <v>445.23200000000003</v>
      </c>
      <c r="AX27" s="45">
        <v>522.36</v>
      </c>
      <c r="AY27" s="45">
        <v>554.51599999999996</v>
      </c>
      <c r="AZ27" s="45">
        <v>1400.913</v>
      </c>
      <c r="BA27" s="45">
        <v>1409.904</v>
      </c>
      <c r="BB27" s="45">
        <v>1460.3620000000001</v>
      </c>
      <c r="BC27" s="45">
        <v>1515.2339999999999</v>
      </c>
      <c r="BD27" s="45">
        <v>1588.1410000000001</v>
      </c>
      <c r="BE27" s="45">
        <v>1594.2139999999999</v>
      </c>
      <c r="BF27" s="45">
        <v>1661.1849999999999</v>
      </c>
      <c r="BG27" s="45">
        <v>1701.164</v>
      </c>
      <c r="BH27" s="45">
        <v>1774.3140000000001</v>
      </c>
      <c r="BI27" s="49">
        <v>1893.9839999999999</v>
      </c>
      <c r="BJ27" s="45">
        <v>1953.204</v>
      </c>
      <c r="BK27" s="45">
        <v>2058.9949999999999</v>
      </c>
      <c r="BL27" s="45">
        <v>3596.6210000000001</v>
      </c>
      <c r="BM27" s="45">
        <v>3596.6210000000001</v>
      </c>
      <c r="BN27" s="45">
        <v>3596.6210000000001</v>
      </c>
      <c r="BO27" s="45">
        <v>3602.241</v>
      </c>
      <c r="BP27" s="45">
        <v>3613.2919999999999</v>
      </c>
      <c r="BQ27" s="45">
        <v>3647.6060000000002</v>
      </c>
      <c r="BR27" s="45">
        <v>3647.6060000000002</v>
      </c>
      <c r="BS27" s="45">
        <v>3678.098</v>
      </c>
      <c r="BT27" s="45">
        <v>3720.444</v>
      </c>
      <c r="BU27" s="49">
        <v>3775.3470000000002</v>
      </c>
      <c r="BV27" s="45">
        <v>3802.4180000000001</v>
      </c>
      <c r="BW27" s="45">
        <v>3835.288</v>
      </c>
      <c r="BX27" s="45">
        <v>4065.373</v>
      </c>
      <c r="BY27" s="45">
        <v>4081.1179999999999</v>
      </c>
      <c r="BZ27" s="45">
        <v>4081.1179999999999</v>
      </c>
      <c r="CA27" s="45">
        <v>4126.9589999999998</v>
      </c>
      <c r="CB27" s="45">
        <v>4141.5590000000002</v>
      </c>
      <c r="CC27" s="45">
        <v>4160.9589999999998</v>
      </c>
      <c r="CD27" s="45">
        <v>4160.9589999999998</v>
      </c>
      <c r="CE27" s="45">
        <v>4165.9589999999998</v>
      </c>
      <c r="CF27" s="45">
        <v>4165.9589999999998</v>
      </c>
      <c r="CG27" s="49">
        <v>4190.9589999999998</v>
      </c>
      <c r="CH27" s="45">
        <v>4212.9589999999998</v>
      </c>
      <c r="CI27" s="45">
        <v>4244.4399999999996</v>
      </c>
      <c r="CJ27" s="45">
        <v>4378.28</v>
      </c>
      <c r="CK27" s="45">
        <v>4378.28</v>
      </c>
      <c r="CL27" s="45">
        <v>4378.28</v>
      </c>
      <c r="CM27" s="45">
        <v>4378.28</v>
      </c>
      <c r="CN27" s="45">
        <v>4386.82</v>
      </c>
      <c r="CO27" s="45">
        <v>4386.82</v>
      </c>
      <c r="CP27" s="45">
        <v>4386.82</v>
      </c>
      <c r="CQ27" s="45">
        <v>4397.5200000000004</v>
      </c>
      <c r="CR27" s="45">
        <v>4397.5200000000004</v>
      </c>
      <c r="CS27" s="49">
        <v>4409.4799999999996</v>
      </c>
      <c r="CT27" s="45">
        <v>4409.4799999999996</v>
      </c>
      <c r="CU27" s="45">
        <v>4415.9799999999996</v>
      </c>
      <c r="CV27" s="45">
        <v>4430.1819999999998</v>
      </c>
      <c r="CW27" s="45">
        <v>4443.1819999999998</v>
      </c>
      <c r="CX27" s="45">
        <v>4449.6819999999998</v>
      </c>
      <c r="CY27" s="45">
        <v>4449.6819999999998</v>
      </c>
      <c r="CZ27" s="45">
        <v>4449.6819999999998</v>
      </c>
      <c r="DA27" s="45">
        <v>4449.6819999999998</v>
      </c>
      <c r="DB27" s="45">
        <v>4449.6819999999998</v>
      </c>
      <c r="DC27" s="45">
        <v>4457.1819999999998</v>
      </c>
      <c r="DD27" s="45">
        <v>4457.1819999999998</v>
      </c>
      <c r="DE27" s="49">
        <v>4462.1819999999998</v>
      </c>
      <c r="DF27" s="45">
        <v>4462.1819999999998</v>
      </c>
      <c r="DG27" s="45">
        <v>4462.1819999999998</v>
      </c>
      <c r="DH27" s="45">
        <v>4462.1819999999998</v>
      </c>
      <c r="DI27" s="45">
        <v>4462.1819999999998</v>
      </c>
      <c r="DJ27" s="45">
        <v>4462.1819999999998</v>
      </c>
      <c r="DK27" s="45">
        <v>4462.1819999999998</v>
      </c>
      <c r="DL27" s="45">
        <v>4469.3819999999996</v>
      </c>
      <c r="DM27" s="45">
        <v>4469.3819999999996</v>
      </c>
      <c r="DN27" s="45">
        <v>4469.3819999999996</v>
      </c>
      <c r="DO27" s="45">
        <v>4469.3819999999996</v>
      </c>
      <c r="DP27" s="45">
        <v>4469.3819999999996</v>
      </c>
      <c r="DQ27" s="49">
        <v>4469.3819999999996</v>
      </c>
      <c r="DR27" s="45">
        <v>4488.6899999999996</v>
      </c>
      <c r="DS27" s="45">
        <v>4493.6899999999996</v>
      </c>
      <c r="DT27" s="45">
        <v>4493.6899999999996</v>
      </c>
      <c r="DU27" s="45">
        <v>4493.6899999999996</v>
      </c>
      <c r="DV27" s="45">
        <v>4502.59</v>
      </c>
      <c r="DW27" s="45">
        <v>4502.59</v>
      </c>
      <c r="DX27" s="45">
        <v>4502.59</v>
      </c>
      <c r="DY27" s="45">
        <v>4507.59</v>
      </c>
      <c r="DZ27" s="45">
        <v>4507.59</v>
      </c>
      <c r="EA27" s="45">
        <v>4507.59</v>
      </c>
      <c r="EB27" s="45">
        <v>4507.59</v>
      </c>
      <c r="EC27" s="49">
        <v>4519.6149999999998</v>
      </c>
      <c r="ED27" s="45">
        <v>4527.6149999999998</v>
      </c>
      <c r="EE27" s="45">
        <v>4527.6149999999998</v>
      </c>
      <c r="EF27" s="45">
        <v>4535.6149999999998</v>
      </c>
      <c r="EG27" s="45">
        <v>4535.6149999999998</v>
      </c>
      <c r="EH27" s="45">
        <v>4542.6149999999998</v>
      </c>
      <c r="EI27" s="45">
        <v>4556.6149999999998</v>
      </c>
      <c r="EJ27" s="45">
        <v>4556.6149999999998</v>
      </c>
      <c r="EK27" s="45">
        <v>4556.6149999999998</v>
      </c>
      <c r="EL27" s="45">
        <v>4556.6149999999998</v>
      </c>
      <c r="EM27" s="45">
        <v>4556.6149999999998</v>
      </c>
      <c r="EN27" s="45">
        <v>4556.6149999999998</v>
      </c>
      <c r="EO27" s="82">
        <v>4556.6149999999998</v>
      </c>
      <c r="EP27" s="45">
        <v>4599.2420000000002</v>
      </c>
      <c r="EQ27" s="45">
        <v>4599.2420000000002</v>
      </c>
      <c r="ER27" s="45">
        <v>4599.2420000000002</v>
      </c>
      <c r="ES27" s="45">
        <v>4599.2420000000002</v>
      </c>
      <c r="ET27" s="45">
        <v>4604.2420000000002</v>
      </c>
      <c r="EU27" s="45">
        <v>4604.2420000000002</v>
      </c>
      <c r="EV27" s="45">
        <v>4619.4120000000003</v>
      </c>
      <c r="EW27" s="45">
        <v>4619.4120000000003</v>
      </c>
      <c r="EX27" s="45">
        <v>4637.4120000000003</v>
      </c>
      <c r="EY27" s="45">
        <v>4680.4120000000003</v>
      </c>
      <c r="EZ27" s="45">
        <v>4680.4120000000003</v>
      </c>
      <c r="FA27" s="82">
        <v>4698.6419999999998</v>
      </c>
      <c r="FB27" s="45">
        <v>4769.9920000000002</v>
      </c>
      <c r="FC27" s="45">
        <v>4820.6980000000003</v>
      </c>
      <c r="FD27" s="45">
        <v>4858.348</v>
      </c>
      <c r="FE27" s="45">
        <v>4863.348</v>
      </c>
      <c r="FF27" s="45">
        <v>4885.1980000000003</v>
      </c>
      <c r="FG27" s="45">
        <v>4905.1980000000003</v>
      </c>
      <c r="FH27" s="45">
        <v>4905.1980000000003</v>
      </c>
      <c r="FI27" s="45">
        <v>4905.1980000000003</v>
      </c>
      <c r="FJ27" s="45">
        <v>4914.8879999999999</v>
      </c>
      <c r="FK27" s="45">
        <v>4952.0379999999996</v>
      </c>
      <c r="FL27" s="45">
        <v>4990.9380000000001</v>
      </c>
      <c r="FM27" s="155">
        <v>4990.9380000000001</v>
      </c>
      <c r="FN27" s="69">
        <v>5027.7129999999997</v>
      </c>
      <c r="FO27" s="178">
        <v>5027.7129999999997</v>
      </c>
      <c r="FP27" s="178">
        <v>5080.4470000000001</v>
      </c>
      <c r="FQ27" s="178">
        <v>5080.4470000000001</v>
      </c>
      <c r="FR27" s="178">
        <v>5080.4470000000001</v>
      </c>
      <c r="FS27" s="178">
        <v>5123.8370000000004</v>
      </c>
      <c r="FT27" s="178">
        <v>5123.8370000000004</v>
      </c>
      <c r="FU27" s="178">
        <v>5123.8370000000004</v>
      </c>
      <c r="FV27" s="178">
        <v>5123.8370000000004</v>
      </c>
      <c r="FW27" s="178">
        <v>5147.0690000000004</v>
      </c>
      <c r="FX27" s="178">
        <v>5147.0690000000004</v>
      </c>
      <c r="FY27" s="180">
        <v>5157.0690000000004</v>
      </c>
      <c r="FZ27" s="178">
        <v>5185.3389999999999</v>
      </c>
      <c r="GA27" s="178">
        <v>5195.3389999999999</v>
      </c>
      <c r="GB27" s="178">
        <v>5195.3389999999999</v>
      </c>
      <c r="GC27" s="178">
        <v>5195.3389999999999</v>
      </c>
      <c r="GD27" s="178">
        <v>5226.2889999999998</v>
      </c>
      <c r="GE27" s="178">
        <v>5245.2889999999998</v>
      </c>
      <c r="GF27" s="178">
        <v>5245.2889999999998</v>
      </c>
      <c r="GG27" s="178">
        <v>5263.2889999999998</v>
      </c>
      <c r="GH27" s="178">
        <v>5263.2889999999998</v>
      </c>
      <c r="GI27" s="178">
        <v>5270.2389999999996</v>
      </c>
      <c r="GJ27" s="178">
        <v>5270.2389999999996</v>
      </c>
      <c r="GK27" s="180">
        <v>5270.2389999999996</v>
      </c>
      <c r="GL27" s="178">
        <v>5270.2389999999996</v>
      </c>
      <c r="GM27" s="178">
        <v>5270.2389999999996</v>
      </c>
      <c r="GN27" s="178">
        <v>5270.2389999999996</v>
      </c>
      <c r="GO27" s="178">
        <v>5270.2389999999996</v>
      </c>
      <c r="GP27" s="178">
        <v>5270.2389999999996</v>
      </c>
    </row>
    <row r="28" spans="1:200" s="1" customFormat="1" ht="20.149999999999999" customHeight="1" x14ac:dyDescent="0.4">
      <c r="A28" s="31" t="s">
        <v>1628</v>
      </c>
      <c r="B28" s="87">
        <v>0</v>
      </c>
      <c r="C28" s="87">
        <v>0</v>
      </c>
      <c r="D28" s="87">
        <v>0</v>
      </c>
      <c r="E28" s="87">
        <v>0</v>
      </c>
      <c r="F28" s="87">
        <v>0</v>
      </c>
      <c r="G28" s="87">
        <v>0</v>
      </c>
      <c r="H28" s="87">
        <v>0</v>
      </c>
      <c r="I28" s="87">
        <v>0</v>
      </c>
      <c r="J28" s="87">
        <v>0</v>
      </c>
      <c r="K28" s="87">
        <v>0</v>
      </c>
      <c r="L28" s="87">
        <v>0</v>
      </c>
      <c r="M28" s="88">
        <v>0</v>
      </c>
      <c r="N28" s="86">
        <v>0</v>
      </c>
      <c r="O28" s="87">
        <v>0</v>
      </c>
      <c r="P28" s="87">
        <v>0</v>
      </c>
      <c r="Q28" s="87">
        <v>0</v>
      </c>
      <c r="R28" s="87">
        <v>0</v>
      </c>
      <c r="S28" s="87">
        <v>0</v>
      </c>
      <c r="T28" s="87">
        <v>0</v>
      </c>
      <c r="U28" s="87">
        <v>0</v>
      </c>
      <c r="V28" s="87">
        <v>0</v>
      </c>
      <c r="W28" s="87">
        <v>0</v>
      </c>
      <c r="X28" s="87">
        <v>0</v>
      </c>
      <c r="Y28" s="88">
        <v>0</v>
      </c>
      <c r="Z28" s="87">
        <v>0</v>
      </c>
      <c r="AA28" s="87">
        <v>0</v>
      </c>
      <c r="AB28" s="87">
        <v>0</v>
      </c>
      <c r="AC28" s="87">
        <v>0</v>
      </c>
      <c r="AD28" s="87">
        <v>0</v>
      </c>
      <c r="AE28" s="87">
        <v>0</v>
      </c>
      <c r="AF28" s="87">
        <v>0</v>
      </c>
      <c r="AG28" s="87">
        <v>0</v>
      </c>
      <c r="AH28" s="87">
        <v>0</v>
      </c>
      <c r="AI28" s="87">
        <v>0</v>
      </c>
      <c r="AJ28" s="87">
        <v>0</v>
      </c>
      <c r="AK28" s="87">
        <v>0</v>
      </c>
      <c r="AL28" s="47">
        <v>0</v>
      </c>
      <c r="AM28" s="87">
        <v>0</v>
      </c>
      <c r="AN28" s="161">
        <v>34.47</v>
      </c>
      <c r="AO28" s="161">
        <v>34.47</v>
      </c>
      <c r="AP28" s="161">
        <v>34.47</v>
      </c>
      <c r="AQ28" s="161">
        <v>34.47</v>
      </c>
      <c r="AR28" s="161">
        <v>34.47</v>
      </c>
      <c r="AS28" s="161">
        <v>34.47</v>
      </c>
      <c r="AT28" s="161">
        <v>34.47</v>
      </c>
      <c r="AU28" s="161">
        <v>34.47</v>
      </c>
      <c r="AV28" s="161">
        <v>34.47</v>
      </c>
      <c r="AW28" s="48">
        <v>34.47</v>
      </c>
      <c r="AX28" s="46">
        <v>34.47</v>
      </c>
      <c r="AY28" s="161">
        <v>66.171000000000006</v>
      </c>
      <c r="AZ28" s="161">
        <v>97.760999999999996</v>
      </c>
      <c r="BA28" s="161">
        <v>129.77099999999999</v>
      </c>
      <c r="BB28" s="161">
        <v>129.77099999999999</v>
      </c>
      <c r="BC28" s="161">
        <v>129.77099999999999</v>
      </c>
      <c r="BD28" s="161">
        <v>162.221</v>
      </c>
      <c r="BE28" s="161">
        <v>162.221</v>
      </c>
      <c r="BF28" s="161">
        <v>236.06399999999999</v>
      </c>
      <c r="BG28" s="161">
        <v>296.745</v>
      </c>
      <c r="BH28" s="161">
        <v>296.745</v>
      </c>
      <c r="BI28" s="48">
        <v>383.32100000000003</v>
      </c>
      <c r="BJ28" s="161">
        <v>383.32100000000003</v>
      </c>
      <c r="BK28" s="161">
        <v>383.32100000000003</v>
      </c>
      <c r="BL28" s="161">
        <v>1030.6369999999999</v>
      </c>
      <c r="BM28" s="161">
        <v>1030.6369999999999</v>
      </c>
      <c r="BN28" s="161">
        <v>1030.6369999999999</v>
      </c>
      <c r="BO28" s="161">
        <v>1030.6369999999999</v>
      </c>
      <c r="BP28" s="161">
        <v>1030.6369999999999</v>
      </c>
      <c r="BQ28" s="161">
        <v>1030.6369999999999</v>
      </c>
      <c r="BR28" s="161">
        <v>1030.6369999999999</v>
      </c>
      <c r="BS28" s="161">
        <v>1030.6369999999999</v>
      </c>
      <c r="BT28" s="161">
        <v>1030.6369999999999</v>
      </c>
      <c r="BU28" s="48">
        <v>1030.6369999999999</v>
      </c>
      <c r="BV28" s="161">
        <v>1030.6369999999999</v>
      </c>
      <c r="BW28" s="161">
        <v>1030.6369999999999</v>
      </c>
      <c r="BX28" s="161">
        <v>1435.4369999999999</v>
      </c>
      <c r="BY28" s="161">
        <v>1435.4369999999999</v>
      </c>
      <c r="BZ28" s="161">
        <v>1435.4369999999999</v>
      </c>
      <c r="CA28" s="161">
        <v>1435.4369999999999</v>
      </c>
      <c r="CB28" s="161">
        <v>1435.4369999999999</v>
      </c>
      <c r="CC28" s="161">
        <v>1435.4369999999999</v>
      </c>
      <c r="CD28" s="161">
        <v>1435.4369999999999</v>
      </c>
      <c r="CE28" s="161">
        <v>1435.4369999999999</v>
      </c>
      <c r="CF28" s="161">
        <v>1435.4369999999999</v>
      </c>
      <c r="CG28" s="48">
        <v>1435.4369999999999</v>
      </c>
      <c r="CH28" s="161">
        <v>1435.4369999999999</v>
      </c>
      <c r="CI28" s="161">
        <v>1435.4369999999999</v>
      </c>
      <c r="CJ28" s="161">
        <v>1481.19</v>
      </c>
      <c r="CK28" s="161">
        <v>1481.19</v>
      </c>
      <c r="CL28" s="161">
        <v>1481.19</v>
      </c>
      <c r="CM28" s="161">
        <v>1481.19</v>
      </c>
      <c r="CN28" s="161">
        <v>1481.19</v>
      </c>
      <c r="CO28" s="161">
        <v>1481.19</v>
      </c>
      <c r="CP28" s="161">
        <v>1481.19</v>
      </c>
      <c r="CQ28" s="161">
        <v>1481.19</v>
      </c>
      <c r="CR28" s="161">
        <v>1481.19</v>
      </c>
      <c r="CS28" s="49">
        <v>1481.19</v>
      </c>
      <c r="CT28" s="161">
        <v>1508.29</v>
      </c>
      <c r="CU28" s="161">
        <v>1508.29</v>
      </c>
      <c r="CV28" s="161">
        <v>1508.29</v>
      </c>
      <c r="CW28" s="161">
        <v>1508.29</v>
      </c>
      <c r="CX28" s="161">
        <v>1508.29</v>
      </c>
      <c r="CY28" s="161">
        <v>1508.29</v>
      </c>
      <c r="CZ28" s="161">
        <v>1508.29</v>
      </c>
      <c r="DA28" s="161">
        <v>1508.29</v>
      </c>
      <c r="DB28" s="161">
        <v>1508.29</v>
      </c>
      <c r="DC28" s="161">
        <v>1508.29</v>
      </c>
      <c r="DD28" s="161">
        <v>1508.29</v>
      </c>
      <c r="DE28" s="48">
        <v>1508.29</v>
      </c>
      <c r="DF28" s="161">
        <v>1508.29</v>
      </c>
      <c r="DG28" s="161">
        <v>1508.29</v>
      </c>
      <c r="DH28" s="161">
        <v>1508.29</v>
      </c>
      <c r="DI28" s="161">
        <v>1508.29</v>
      </c>
      <c r="DJ28" s="161">
        <v>1508.29</v>
      </c>
      <c r="DK28" s="161">
        <v>1508.29</v>
      </c>
      <c r="DL28" s="161">
        <v>1508.29</v>
      </c>
      <c r="DM28" s="161">
        <v>1508.29</v>
      </c>
      <c r="DN28" s="161">
        <v>1508.29</v>
      </c>
      <c r="DO28" s="161">
        <v>1508.29</v>
      </c>
      <c r="DP28" s="161">
        <v>1508.29</v>
      </c>
      <c r="DQ28" s="48">
        <v>1542.99</v>
      </c>
      <c r="DR28" s="161">
        <v>1586.21</v>
      </c>
      <c r="DS28" s="161">
        <v>1586.21</v>
      </c>
      <c r="DT28" s="161">
        <v>1586.21</v>
      </c>
      <c r="DU28" s="161">
        <v>1586.21</v>
      </c>
      <c r="DV28" s="161">
        <v>1586.21</v>
      </c>
      <c r="DW28" s="161">
        <v>1586.21</v>
      </c>
      <c r="DX28" s="161">
        <v>1586.21</v>
      </c>
      <c r="DY28" s="161">
        <v>1586.21</v>
      </c>
      <c r="DZ28" s="161">
        <v>1586.21</v>
      </c>
      <c r="EA28" s="161">
        <v>1586.21</v>
      </c>
      <c r="EB28" s="161">
        <v>1586.21</v>
      </c>
      <c r="EC28" s="49">
        <v>1636.21</v>
      </c>
      <c r="ED28" s="161">
        <v>1636.21</v>
      </c>
      <c r="EE28" s="161">
        <v>1636.21</v>
      </c>
      <c r="EF28" s="161">
        <v>1743.21</v>
      </c>
      <c r="EG28" s="161">
        <v>1793.11</v>
      </c>
      <c r="EH28" s="161">
        <v>1793.11</v>
      </c>
      <c r="EI28" s="161">
        <v>1793.11</v>
      </c>
      <c r="EJ28" s="161">
        <v>1793.11</v>
      </c>
      <c r="EK28" s="161">
        <v>1793.11</v>
      </c>
      <c r="EL28" s="161">
        <v>1793.11</v>
      </c>
      <c r="EM28" s="161">
        <v>1793.11</v>
      </c>
      <c r="EN28" s="161">
        <v>1793.11</v>
      </c>
      <c r="EO28" s="82">
        <v>1793.11</v>
      </c>
      <c r="EP28" s="161">
        <v>1793.11</v>
      </c>
      <c r="EQ28" s="161">
        <v>1793.11</v>
      </c>
      <c r="ER28" s="161">
        <v>1793.11</v>
      </c>
      <c r="ES28" s="161">
        <v>1793.11</v>
      </c>
      <c r="ET28" s="161">
        <v>1793.11</v>
      </c>
      <c r="EU28" s="161">
        <v>1793.11</v>
      </c>
      <c r="EV28" s="161">
        <v>1793.11</v>
      </c>
      <c r="EW28" s="161">
        <v>1793.11</v>
      </c>
      <c r="EX28" s="161">
        <v>1793.11</v>
      </c>
      <c r="EY28" s="161">
        <v>1793.11</v>
      </c>
      <c r="EZ28" s="161">
        <v>1793.11</v>
      </c>
      <c r="FA28" s="82">
        <v>1833.11</v>
      </c>
      <c r="FB28" s="161">
        <v>2105.91</v>
      </c>
      <c r="FC28" s="161">
        <v>2327.0169999999998</v>
      </c>
      <c r="FD28" s="161">
        <v>2717.3069999999998</v>
      </c>
      <c r="FE28" s="161">
        <v>2717.3069999999998</v>
      </c>
      <c r="FF28" s="161">
        <v>2767.2069999999999</v>
      </c>
      <c r="FG28" s="161">
        <v>2795.7069999999999</v>
      </c>
      <c r="FH28" s="161">
        <v>2795.7069999999999</v>
      </c>
      <c r="FI28" s="161">
        <v>2795.7069999999999</v>
      </c>
      <c r="FJ28" s="161">
        <v>2883.607</v>
      </c>
      <c r="FK28" s="161">
        <v>2883.607</v>
      </c>
      <c r="FL28" s="161">
        <v>2883.607</v>
      </c>
      <c r="FM28" s="161">
        <v>2883.607</v>
      </c>
      <c r="FN28" s="69">
        <v>2923.607</v>
      </c>
      <c r="FO28" s="161">
        <v>2949.607</v>
      </c>
      <c r="FP28" s="161">
        <v>3051.4070000000002</v>
      </c>
      <c r="FQ28" s="161">
        <v>3101.3069999999998</v>
      </c>
      <c r="FR28" s="161">
        <v>3151.2069999999999</v>
      </c>
      <c r="FS28" s="161">
        <v>3196.2069999999999</v>
      </c>
      <c r="FT28" s="161">
        <v>3252.6570000000002</v>
      </c>
      <c r="FU28" s="161">
        <v>3285.6570000000002</v>
      </c>
      <c r="FV28" s="161">
        <v>3285.6570000000002</v>
      </c>
      <c r="FW28" s="161">
        <v>3537.5569999999998</v>
      </c>
      <c r="FX28" s="161">
        <v>3587.4569999999999</v>
      </c>
      <c r="FY28" s="194">
        <v>3622.4569999999999</v>
      </c>
      <c r="FZ28" s="161">
        <v>3708.4470000000001</v>
      </c>
      <c r="GA28" s="161">
        <v>3708.4470000000001</v>
      </c>
      <c r="GB28" s="161">
        <v>3953.047</v>
      </c>
      <c r="GC28" s="161">
        <v>4003.047</v>
      </c>
      <c r="GD28" s="161">
        <v>4003.047</v>
      </c>
      <c r="GE28" s="161">
        <v>4051.047</v>
      </c>
      <c r="GF28" s="161">
        <v>4508.9470000000001</v>
      </c>
      <c r="GG28" s="161">
        <v>4586.8469999999998</v>
      </c>
      <c r="GH28" s="161">
        <v>4628.8469999999998</v>
      </c>
      <c r="GI28" s="161">
        <v>4776.5870000000004</v>
      </c>
      <c r="GJ28" s="161">
        <v>4842.5870000000004</v>
      </c>
      <c r="GK28" s="194">
        <v>4892.4870000000001</v>
      </c>
      <c r="GL28" s="161">
        <v>4892.4870000000001</v>
      </c>
      <c r="GM28" s="161">
        <v>4892.4870000000001</v>
      </c>
      <c r="GN28" s="161">
        <v>4942.3869999999997</v>
      </c>
      <c r="GO28" s="161">
        <v>4942.3869999999997</v>
      </c>
      <c r="GP28" s="161">
        <v>4942.3869999999997</v>
      </c>
    </row>
    <row r="29" spans="1:200" s="1" customFormat="1" ht="20.149999999999999" customHeight="1" x14ac:dyDescent="0.35">
      <c r="A29" s="207" t="s">
        <v>270</v>
      </c>
      <c r="B29" s="47">
        <v>14.6</v>
      </c>
      <c r="C29" s="46">
        <v>14.6</v>
      </c>
      <c r="D29" s="46">
        <v>14.6</v>
      </c>
      <c r="E29" s="46">
        <v>14.6</v>
      </c>
      <c r="F29" s="46">
        <v>14.6</v>
      </c>
      <c r="G29" s="46">
        <v>14.6</v>
      </c>
      <c r="H29" s="46">
        <v>14.6</v>
      </c>
      <c r="I29" s="46">
        <v>14.6</v>
      </c>
      <c r="J29" s="46">
        <v>14.6</v>
      </c>
      <c r="K29" s="46">
        <v>14.6</v>
      </c>
      <c r="L29" s="46">
        <v>14.6</v>
      </c>
      <c r="M29" s="46">
        <v>14.6</v>
      </c>
      <c r="N29" s="47">
        <v>14.6</v>
      </c>
      <c r="O29" s="46">
        <v>14.6</v>
      </c>
      <c r="P29" s="46">
        <v>14.6</v>
      </c>
      <c r="Q29" s="46">
        <v>14.6</v>
      </c>
      <c r="R29" s="46">
        <v>14.6</v>
      </c>
      <c r="S29" s="46">
        <v>14.6</v>
      </c>
      <c r="T29" s="46">
        <v>14.6</v>
      </c>
      <c r="U29" s="46">
        <v>14.6</v>
      </c>
      <c r="V29" s="46">
        <v>14.6</v>
      </c>
      <c r="W29" s="46">
        <v>14.6</v>
      </c>
      <c r="X29" s="46">
        <v>14.6</v>
      </c>
      <c r="Y29" s="48">
        <v>14.6</v>
      </c>
      <c r="Z29" s="46">
        <v>14.6</v>
      </c>
      <c r="AA29" s="46">
        <v>14.6</v>
      </c>
      <c r="AB29" s="46">
        <v>14.6</v>
      </c>
      <c r="AC29" s="46">
        <v>14.6</v>
      </c>
      <c r="AD29" s="46">
        <v>14.6</v>
      </c>
      <c r="AE29" s="46">
        <v>14.6</v>
      </c>
      <c r="AF29" s="46">
        <v>14.6</v>
      </c>
      <c r="AG29" s="46">
        <v>14.6</v>
      </c>
      <c r="AH29" s="46">
        <v>14.6</v>
      </c>
      <c r="AI29" s="46">
        <v>14.6</v>
      </c>
      <c r="AJ29" s="46">
        <v>14.6</v>
      </c>
      <c r="AK29" s="186">
        <v>14.6</v>
      </c>
      <c r="AL29" s="46">
        <v>14.6</v>
      </c>
      <c r="AM29" s="46">
        <v>14.6</v>
      </c>
      <c r="AN29" s="46">
        <v>14.6</v>
      </c>
      <c r="AO29" s="46">
        <v>14.6</v>
      </c>
      <c r="AP29" s="46">
        <v>14.6</v>
      </c>
      <c r="AQ29" s="46">
        <v>14.6</v>
      </c>
      <c r="AR29" s="46">
        <v>14.6</v>
      </c>
      <c r="AS29" s="46">
        <v>14.6</v>
      </c>
      <c r="AT29" s="46">
        <v>14.6</v>
      </c>
      <c r="AU29" s="46">
        <v>14.6</v>
      </c>
      <c r="AV29" s="46">
        <v>14.6</v>
      </c>
      <c r="AW29" s="188">
        <v>14.6</v>
      </c>
      <c r="AX29" s="46">
        <v>14.6</v>
      </c>
      <c r="AY29" s="46">
        <v>14.6</v>
      </c>
      <c r="AZ29" s="46">
        <v>14.6</v>
      </c>
      <c r="BA29" s="46">
        <v>14.6</v>
      </c>
      <c r="BB29" s="46">
        <v>14.6</v>
      </c>
      <c r="BC29" s="46">
        <v>14.6</v>
      </c>
      <c r="BD29" s="46">
        <v>14.6</v>
      </c>
      <c r="BE29" s="46">
        <v>14.6</v>
      </c>
      <c r="BF29" s="46">
        <v>14.6</v>
      </c>
      <c r="BG29" s="46">
        <v>14.6</v>
      </c>
      <c r="BH29" s="46">
        <v>14.6</v>
      </c>
      <c r="BI29" s="188">
        <v>14.6</v>
      </c>
      <c r="BJ29" s="46">
        <v>14.6</v>
      </c>
      <c r="BK29" s="46">
        <v>14.6</v>
      </c>
      <c r="BL29" s="46">
        <v>14.6</v>
      </c>
      <c r="BM29" s="46">
        <v>14.6</v>
      </c>
      <c r="BN29" s="46">
        <v>14.6</v>
      </c>
      <c r="BO29" s="46">
        <v>14.6</v>
      </c>
      <c r="BP29" s="46">
        <v>14.6</v>
      </c>
      <c r="BQ29" s="46">
        <v>14.6</v>
      </c>
      <c r="BR29" s="46">
        <v>14.6</v>
      </c>
      <c r="BS29" s="46">
        <v>14.6</v>
      </c>
      <c r="BT29" s="46">
        <v>14.6</v>
      </c>
      <c r="BU29" s="188">
        <v>14.6</v>
      </c>
      <c r="BV29" s="46">
        <v>14.6</v>
      </c>
      <c r="BW29" s="46">
        <v>14.6</v>
      </c>
      <c r="BX29" s="46">
        <v>14.6</v>
      </c>
      <c r="BY29" s="46">
        <v>14.6</v>
      </c>
      <c r="BZ29" s="46">
        <v>14.6</v>
      </c>
      <c r="CA29" s="46">
        <v>14.6</v>
      </c>
      <c r="CB29" s="46">
        <v>14.6</v>
      </c>
      <c r="CC29" s="46">
        <v>14.6</v>
      </c>
      <c r="CD29" s="46">
        <v>14.6</v>
      </c>
      <c r="CE29" s="46">
        <v>14.6</v>
      </c>
      <c r="CF29" s="46">
        <v>14.6</v>
      </c>
      <c r="CG29" s="188">
        <v>14.6</v>
      </c>
      <c r="CH29" s="46">
        <v>14.6</v>
      </c>
      <c r="CI29" s="46">
        <v>14.6</v>
      </c>
      <c r="CJ29" s="46">
        <v>14.6</v>
      </c>
      <c r="CK29" s="46">
        <v>14.6</v>
      </c>
      <c r="CL29" s="46">
        <v>14.6</v>
      </c>
      <c r="CM29" s="46">
        <v>14.6</v>
      </c>
      <c r="CN29" s="46">
        <v>14.6</v>
      </c>
      <c r="CO29" s="46">
        <v>14.6</v>
      </c>
      <c r="CP29" s="46">
        <v>14.6</v>
      </c>
      <c r="CQ29" s="46">
        <v>14.6</v>
      </c>
      <c r="CR29" s="46">
        <v>14.6</v>
      </c>
      <c r="CS29" s="186">
        <v>14.6</v>
      </c>
      <c r="CT29" s="46">
        <v>14.6</v>
      </c>
      <c r="CU29" s="46">
        <v>14.6</v>
      </c>
      <c r="CV29" s="46">
        <v>14.6</v>
      </c>
      <c r="CW29" s="46">
        <v>14.6</v>
      </c>
      <c r="CX29" s="46">
        <v>14.6</v>
      </c>
      <c r="CY29" s="46">
        <v>14.6</v>
      </c>
      <c r="CZ29" s="46">
        <v>14.6</v>
      </c>
      <c r="DA29" s="46">
        <v>14.6</v>
      </c>
      <c r="DB29" s="46">
        <v>14.6</v>
      </c>
      <c r="DC29" s="46">
        <v>14.6</v>
      </c>
      <c r="DD29" s="46">
        <v>14.6</v>
      </c>
      <c r="DE29" s="188">
        <v>14.6</v>
      </c>
      <c r="DF29" s="46">
        <v>14.6</v>
      </c>
      <c r="DG29" s="46">
        <v>14.6</v>
      </c>
      <c r="DH29" s="46">
        <v>14.6</v>
      </c>
      <c r="DI29" s="46">
        <v>14.6</v>
      </c>
      <c r="DJ29" s="46">
        <v>14.6</v>
      </c>
      <c r="DK29" s="46">
        <v>14.6</v>
      </c>
      <c r="DL29" s="46">
        <v>14.6</v>
      </c>
      <c r="DM29" s="46">
        <v>14.6</v>
      </c>
      <c r="DN29" s="46">
        <v>14.6</v>
      </c>
      <c r="DO29" s="46">
        <v>14.6</v>
      </c>
      <c r="DP29" s="46">
        <v>14.6</v>
      </c>
      <c r="DQ29" s="188">
        <v>14.6</v>
      </c>
      <c r="DR29" s="46">
        <v>14.6</v>
      </c>
      <c r="DS29" s="46">
        <v>14.6</v>
      </c>
      <c r="DT29" s="46">
        <v>14.6</v>
      </c>
      <c r="DU29" s="46">
        <v>14.6</v>
      </c>
      <c r="DV29" s="46">
        <v>14.6</v>
      </c>
      <c r="DW29" s="46">
        <v>14.6</v>
      </c>
      <c r="DX29" s="46">
        <v>14.6</v>
      </c>
      <c r="DY29" s="46">
        <v>14.6</v>
      </c>
      <c r="DZ29" s="46">
        <v>14.6</v>
      </c>
      <c r="EA29" s="46">
        <v>14.6</v>
      </c>
      <c r="EB29" s="46">
        <v>14.6</v>
      </c>
      <c r="EC29" s="186">
        <v>14.6</v>
      </c>
      <c r="ED29" s="46">
        <v>14.6</v>
      </c>
      <c r="EE29" s="46">
        <v>14.6</v>
      </c>
      <c r="EF29" s="46">
        <v>14.6</v>
      </c>
      <c r="EG29" s="46">
        <v>14.6</v>
      </c>
      <c r="EH29" s="46">
        <v>14.6</v>
      </c>
      <c r="EI29" s="46">
        <v>14.6</v>
      </c>
      <c r="EJ29" s="46">
        <v>14.6</v>
      </c>
      <c r="EK29" s="46">
        <v>14.6</v>
      </c>
      <c r="EL29" s="46">
        <v>14.6</v>
      </c>
      <c r="EM29" s="46">
        <v>14.6</v>
      </c>
      <c r="EN29" s="46">
        <v>14.6</v>
      </c>
      <c r="EO29" s="186">
        <v>14.6</v>
      </c>
      <c r="EP29" s="185">
        <v>14.6</v>
      </c>
      <c r="EQ29" s="46">
        <v>14.6</v>
      </c>
      <c r="ER29" s="46">
        <v>14.6</v>
      </c>
      <c r="ES29" s="46">
        <v>14.6</v>
      </c>
      <c r="ET29" s="46">
        <v>14.6</v>
      </c>
      <c r="EU29" s="46">
        <v>14.6</v>
      </c>
      <c r="EV29" s="46">
        <v>14.6</v>
      </c>
      <c r="EW29" s="46">
        <v>14.6</v>
      </c>
      <c r="EX29" s="46">
        <v>14.6</v>
      </c>
      <c r="EY29" s="46">
        <v>14.6</v>
      </c>
      <c r="EZ29" s="46">
        <v>14.6</v>
      </c>
      <c r="FA29" s="184">
        <v>14.6</v>
      </c>
      <c r="FB29" s="185">
        <v>14.6</v>
      </c>
      <c r="FC29" s="46">
        <v>14.6</v>
      </c>
      <c r="FD29" s="46">
        <v>14.6</v>
      </c>
      <c r="FE29" s="46">
        <v>14.6</v>
      </c>
      <c r="FF29" s="46">
        <v>14.6</v>
      </c>
      <c r="FG29" s="46">
        <v>14.6</v>
      </c>
      <c r="FH29" s="46">
        <v>14.6</v>
      </c>
      <c r="FI29" s="46">
        <v>14.6</v>
      </c>
      <c r="FJ29" s="46">
        <v>14.6</v>
      </c>
      <c r="FK29" s="46">
        <v>14.6</v>
      </c>
      <c r="FL29" s="46">
        <v>14.6</v>
      </c>
      <c r="FM29" s="46">
        <v>14.6</v>
      </c>
      <c r="FN29" s="183">
        <v>14.6</v>
      </c>
      <c r="FO29" s="178">
        <v>14.6</v>
      </c>
      <c r="FP29" s="178">
        <v>14.6</v>
      </c>
      <c r="FQ29" s="178">
        <v>14.6</v>
      </c>
      <c r="FR29" s="178">
        <v>14.6</v>
      </c>
      <c r="FS29" s="178">
        <v>14.6</v>
      </c>
      <c r="FT29" s="178">
        <v>14.6</v>
      </c>
      <c r="FU29" s="178">
        <v>14.6</v>
      </c>
      <c r="FV29" s="178">
        <v>14.6</v>
      </c>
      <c r="FW29" s="178">
        <v>14.6</v>
      </c>
      <c r="FX29" s="178">
        <v>14.6</v>
      </c>
      <c r="FY29" s="180">
        <v>14.6</v>
      </c>
      <c r="FZ29" s="178">
        <v>14.6</v>
      </c>
      <c r="GA29" s="178">
        <v>14.6</v>
      </c>
      <c r="GB29" s="178">
        <v>14.6</v>
      </c>
      <c r="GC29" s="178">
        <v>14.6</v>
      </c>
      <c r="GD29" s="178">
        <v>14.6</v>
      </c>
      <c r="GE29" s="178">
        <v>14.6</v>
      </c>
      <c r="GF29" s="178">
        <v>14.6</v>
      </c>
      <c r="GG29" s="178">
        <v>14.6</v>
      </c>
      <c r="GH29" s="178">
        <v>14.6</v>
      </c>
      <c r="GI29" s="178">
        <v>14.6</v>
      </c>
      <c r="GJ29" s="178">
        <v>14.6</v>
      </c>
      <c r="GK29" s="180">
        <v>14.6</v>
      </c>
      <c r="GL29" s="178">
        <v>14.6</v>
      </c>
      <c r="GM29" s="178">
        <v>14.6</v>
      </c>
      <c r="GN29" s="178">
        <v>14.6</v>
      </c>
      <c r="GO29" s="178">
        <v>14.6</v>
      </c>
      <c r="GP29" s="178">
        <v>14.6</v>
      </c>
    </row>
    <row r="30" spans="1:200" s="25" customFormat="1" ht="20.149999999999999" customHeight="1" thickBot="1" x14ac:dyDescent="0.4">
      <c r="A30" s="32" t="s">
        <v>267</v>
      </c>
      <c r="B30" s="51">
        <f>SUM(B23:B29)</f>
        <v>29.872</v>
      </c>
      <c r="C30" s="52">
        <f t="shared" ref="C30:BN30" si="8">SUM(C23:C29)</f>
        <v>31.286999999999999</v>
      </c>
      <c r="D30" s="52">
        <f t="shared" si="8"/>
        <v>33.820999999999998</v>
      </c>
      <c r="E30" s="52">
        <f t="shared" si="8"/>
        <v>36.481000000000002</v>
      </c>
      <c r="F30" s="52">
        <f t="shared" si="8"/>
        <v>40.784999999999997</v>
      </c>
      <c r="G30" s="52">
        <f t="shared" si="8"/>
        <v>46.424999999999997</v>
      </c>
      <c r="H30" s="52">
        <f t="shared" si="8"/>
        <v>52.319000000000003</v>
      </c>
      <c r="I30" s="52">
        <f t="shared" si="8"/>
        <v>58.143999999999998</v>
      </c>
      <c r="J30" s="52">
        <f t="shared" si="8"/>
        <v>65.666999999999987</v>
      </c>
      <c r="K30" s="52">
        <f t="shared" si="8"/>
        <v>75.114999999999995</v>
      </c>
      <c r="L30" s="52">
        <f t="shared" si="8"/>
        <v>85.576999999999998</v>
      </c>
      <c r="M30" s="52">
        <f t="shared" si="8"/>
        <v>93.577999999999989</v>
      </c>
      <c r="N30" s="51">
        <f t="shared" si="8"/>
        <v>104.786</v>
      </c>
      <c r="O30" s="52">
        <f t="shared" si="8"/>
        <v>118.26700000000001</v>
      </c>
      <c r="P30" s="52">
        <f t="shared" si="8"/>
        <v>138.18700000000001</v>
      </c>
      <c r="Q30" s="52">
        <f t="shared" si="8"/>
        <v>162.62199999999999</v>
      </c>
      <c r="R30" s="52">
        <f t="shared" si="8"/>
        <v>186.316</v>
      </c>
      <c r="S30" s="52">
        <f t="shared" si="8"/>
        <v>220.309</v>
      </c>
      <c r="T30" s="52">
        <f t="shared" si="8"/>
        <v>378.154</v>
      </c>
      <c r="U30" s="52">
        <f t="shared" si="8"/>
        <v>424.12000000000006</v>
      </c>
      <c r="V30" s="52">
        <f t="shared" si="8"/>
        <v>496.08100000000002</v>
      </c>
      <c r="W30" s="52">
        <f t="shared" si="8"/>
        <v>617.72799999999995</v>
      </c>
      <c r="X30" s="52">
        <f t="shared" si="8"/>
        <v>816.34299999999996</v>
      </c>
      <c r="Y30" s="52">
        <f t="shared" si="8"/>
        <v>1010.0699999999999</v>
      </c>
      <c r="Z30" s="51">
        <f t="shared" si="8"/>
        <v>1040.6629999999998</v>
      </c>
      <c r="AA30" s="52">
        <f t="shared" si="8"/>
        <v>1215.289</v>
      </c>
      <c r="AB30" s="52">
        <f t="shared" si="8"/>
        <v>1327.5219999999999</v>
      </c>
      <c r="AC30" s="52">
        <f t="shared" si="8"/>
        <v>1344.915</v>
      </c>
      <c r="AD30" s="52">
        <f t="shared" si="8"/>
        <v>1381.1889999999999</v>
      </c>
      <c r="AE30" s="52">
        <f t="shared" si="8"/>
        <v>1446.4589999999998</v>
      </c>
      <c r="AF30" s="52">
        <f t="shared" si="8"/>
        <v>1642.3099999999997</v>
      </c>
      <c r="AG30" s="52">
        <f t="shared" si="8"/>
        <v>1657.7939999999999</v>
      </c>
      <c r="AH30" s="52">
        <f t="shared" si="8"/>
        <v>1677.1689999999999</v>
      </c>
      <c r="AI30" s="52">
        <f t="shared" si="8"/>
        <v>1722.36</v>
      </c>
      <c r="AJ30" s="52">
        <f t="shared" si="8"/>
        <v>1751.7710000000002</v>
      </c>
      <c r="AK30" s="53">
        <f t="shared" si="8"/>
        <v>1774.9309999999998</v>
      </c>
      <c r="AL30" s="52">
        <f t="shared" si="8"/>
        <v>1804.3809999999999</v>
      </c>
      <c r="AM30" s="52">
        <f t="shared" si="8"/>
        <v>1875.3409999999999</v>
      </c>
      <c r="AN30" s="52">
        <f t="shared" si="8"/>
        <v>2273.3919999999998</v>
      </c>
      <c r="AO30" s="52">
        <f t="shared" si="8"/>
        <v>2335.4160000000002</v>
      </c>
      <c r="AP30" s="52">
        <f t="shared" si="8"/>
        <v>2406.4329999999995</v>
      </c>
      <c r="AQ30" s="52">
        <f t="shared" si="8"/>
        <v>2535.5539999999996</v>
      </c>
      <c r="AR30" s="52">
        <f t="shared" si="8"/>
        <v>2576.5939999999996</v>
      </c>
      <c r="AS30" s="52">
        <f t="shared" si="8"/>
        <v>2646.0309999999999</v>
      </c>
      <c r="AT30" s="52">
        <f t="shared" si="8"/>
        <v>2692.1039999999998</v>
      </c>
      <c r="AU30" s="52">
        <f t="shared" si="8"/>
        <v>2741.0169999999998</v>
      </c>
      <c r="AV30" s="52">
        <f t="shared" si="8"/>
        <v>2846.0119999999997</v>
      </c>
      <c r="AW30" s="54">
        <f t="shared" si="8"/>
        <v>2919.1819999999998</v>
      </c>
      <c r="AX30" s="52">
        <f t="shared" si="8"/>
        <v>3045.377</v>
      </c>
      <c r="AY30" s="52">
        <f t="shared" si="8"/>
        <v>3173.2419999999997</v>
      </c>
      <c r="AZ30" s="52">
        <f t="shared" si="8"/>
        <v>4215.4900000000007</v>
      </c>
      <c r="BA30" s="52">
        <f t="shared" si="8"/>
        <v>4302.3650000000007</v>
      </c>
      <c r="BB30" s="52">
        <f t="shared" si="8"/>
        <v>4406.848</v>
      </c>
      <c r="BC30" s="52">
        <f t="shared" si="8"/>
        <v>4543.3550000000005</v>
      </c>
      <c r="BD30" s="52">
        <f t="shared" si="8"/>
        <v>4711.8899999999994</v>
      </c>
      <c r="BE30" s="52">
        <f t="shared" si="8"/>
        <v>4775.8970000000008</v>
      </c>
      <c r="BF30" s="52">
        <f t="shared" si="8"/>
        <v>4983.3020000000006</v>
      </c>
      <c r="BG30" s="52">
        <f t="shared" si="8"/>
        <v>5151.5439999999999</v>
      </c>
      <c r="BH30" s="52">
        <f t="shared" si="8"/>
        <v>5292.5780000000004</v>
      </c>
      <c r="BI30" s="54">
        <f t="shared" si="8"/>
        <v>5600.4889999999996</v>
      </c>
      <c r="BJ30" s="52">
        <f t="shared" si="8"/>
        <v>5700.5599999999995</v>
      </c>
      <c r="BK30" s="52">
        <f t="shared" si="8"/>
        <v>5865.4560000000001</v>
      </c>
      <c r="BL30" s="52">
        <f t="shared" si="8"/>
        <v>8236.5110000000004</v>
      </c>
      <c r="BM30" s="52">
        <f t="shared" si="8"/>
        <v>8288.5720000000001</v>
      </c>
      <c r="BN30" s="52">
        <f t="shared" si="8"/>
        <v>8359.4750000000004</v>
      </c>
      <c r="BO30" s="52">
        <f t="shared" ref="BO30:DZ30" si="9">SUM(BO23:BO29)</f>
        <v>8495.4619999999995</v>
      </c>
      <c r="BP30" s="52">
        <f t="shared" si="9"/>
        <v>8582.8950000000004</v>
      </c>
      <c r="BQ30" s="52">
        <f t="shared" si="9"/>
        <v>8704.8160000000007</v>
      </c>
      <c r="BR30" s="52">
        <f t="shared" si="9"/>
        <v>8843.8130000000019</v>
      </c>
      <c r="BS30" s="52">
        <f t="shared" si="9"/>
        <v>9014.7479999999996</v>
      </c>
      <c r="BT30" s="52">
        <f t="shared" si="9"/>
        <v>9226.1830000000009</v>
      </c>
      <c r="BU30" s="54">
        <f t="shared" si="9"/>
        <v>9909.3280000000013</v>
      </c>
      <c r="BV30" s="52">
        <f t="shared" si="9"/>
        <v>10074.852000000001</v>
      </c>
      <c r="BW30" s="52">
        <f t="shared" si="9"/>
        <v>10180.482000000002</v>
      </c>
      <c r="BX30" s="52">
        <f t="shared" si="9"/>
        <v>11350.25</v>
      </c>
      <c r="BY30" s="52">
        <f t="shared" si="9"/>
        <v>11423.094000000001</v>
      </c>
      <c r="BZ30" s="52">
        <f t="shared" si="9"/>
        <v>11472.438</v>
      </c>
      <c r="CA30" s="52">
        <f t="shared" si="9"/>
        <v>11692.071</v>
      </c>
      <c r="CB30" s="52">
        <f t="shared" si="9"/>
        <v>11734.669000000002</v>
      </c>
      <c r="CC30" s="52">
        <f t="shared" si="9"/>
        <v>11797.71</v>
      </c>
      <c r="CD30" s="52">
        <f t="shared" si="9"/>
        <v>11848.583000000001</v>
      </c>
      <c r="CE30" s="52">
        <f t="shared" si="9"/>
        <v>11889.190999999999</v>
      </c>
      <c r="CF30" s="52">
        <f t="shared" si="9"/>
        <v>11931.338</v>
      </c>
      <c r="CG30" s="54">
        <f t="shared" si="9"/>
        <v>12007.914000000001</v>
      </c>
      <c r="CH30" s="52">
        <f t="shared" si="9"/>
        <v>12046.726999999999</v>
      </c>
      <c r="CI30" s="52">
        <f t="shared" si="9"/>
        <v>12140.291000000001</v>
      </c>
      <c r="CJ30" s="52">
        <f t="shared" si="9"/>
        <v>12701.837</v>
      </c>
      <c r="CK30" s="52">
        <f t="shared" si="9"/>
        <v>12720.861000000001</v>
      </c>
      <c r="CL30" s="52">
        <f t="shared" si="9"/>
        <v>12738.695</v>
      </c>
      <c r="CM30" s="52">
        <f t="shared" si="9"/>
        <v>12755.839</v>
      </c>
      <c r="CN30" s="52">
        <f t="shared" si="9"/>
        <v>12784.571</v>
      </c>
      <c r="CO30" s="52">
        <f t="shared" si="9"/>
        <v>12802.018</v>
      </c>
      <c r="CP30" s="52">
        <f t="shared" si="9"/>
        <v>12818.812</v>
      </c>
      <c r="CQ30" s="52">
        <f t="shared" si="9"/>
        <v>12843.500000000002</v>
      </c>
      <c r="CR30" s="52">
        <f t="shared" si="9"/>
        <v>12859.423000000001</v>
      </c>
      <c r="CS30" s="54">
        <f t="shared" si="9"/>
        <v>12882.909</v>
      </c>
      <c r="CT30" s="52">
        <f t="shared" si="9"/>
        <v>12922.320000000002</v>
      </c>
      <c r="CU30" s="52">
        <f t="shared" si="9"/>
        <v>12939.789999999999</v>
      </c>
      <c r="CV30" s="52">
        <f t="shared" si="9"/>
        <v>12980.748000000001</v>
      </c>
      <c r="CW30" s="52">
        <f t="shared" si="9"/>
        <v>13007.658000000001</v>
      </c>
      <c r="CX30" s="52">
        <f t="shared" si="9"/>
        <v>13030.485999999999</v>
      </c>
      <c r="CY30" s="52">
        <f t="shared" si="9"/>
        <v>13050.974</v>
      </c>
      <c r="CZ30" s="52">
        <f t="shared" si="9"/>
        <v>13066.463000000002</v>
      </c>
      <c r="DA30" s="52">
        <f t="shared" si="9"/>
        <v>13083.63</v>
      </c>
      <c r="DB30" s="52">
        <f t="shared" si="9"/>
        <v>13100.921</v>
      </c>
      <c r="DC30" s="52">
        <f t="shared" si="9"/>
        <v>13127.017000000002</v>
      </c>
      <c r="DD30" s="52">
        <f t="shared" si="9"/>
        <v>13154.147999999999</v>
      </c>
      <c r="DE30" s="54">
        <f t="shared" si="9"/>
        <v>13183.576999999999</v>
      </c>
      <c r="DF30" s="52">
        <f t="shared" si="9"/>
        <v>13207.520000000002</v>
      </c>
      <c r="DG30" s="52">
        <f t="shared" si="9"/>
        <v>13239.836000000001</v>
      </c>
      <c r="DH30" s="52">
        <f t="shared" si="9"/>
        <v>13327.346</v>
      </c>
      <c r="DI30" s="52">
        <f t="shared" si="9"/>
        <v>13345.636</v>
      </c>
      <c r="DJ30" s="52">
        <f t="shared" si="9"/>
        <v>13353.318000000001</v>
      </c>
      <c r="DK30" s="52">
        <f t="shared" si="9"/>
        <v>13363.640000000001</v>
      </c>
      <c r="DL30" s="52">
        <f t="shared" si="9"/>
        <v>13382.342999999999</v>
      </c>
      <c r="DM30" s="52">
        <f t="shared" si="9"/>
        <v>13399.228000000001</v>
      </c>
      <c r="DN30" s="52">
        <f t="shared" si="9"/>
        <v>13425.621000000001</v>
      </c>
      <c r="DO30" s="52">
        <f t="shared" si="9"/>
        <v>13438.832</v>
      </c>
      <c r="DP30" s="52">
        <f t="shared" si="9"/>
        <v>13451.707</v>
      </c>
      <c r="DQ30" s="54">
        <f t="shared" si="9"/>
        <v>13496.427</v>
      </c>
      <c r="DR30" s="52">
        <f t="shared" si="9"/>
        <v>13578.989</v>
      </c>
      <c r="DS30" s="52">
        <f t="shared" si="9"/>
        <v>13596.021999999999</v>
      </c>
      <c r="DT30" s="52">
        <f t="shared" si="9"/>
        <v>13612.174000000001</v>
      </c>
      <c r="DU30" s="52">
        <f t="shared" si="9"/>
        <v>13617.200999999999</v>
      </c>
      <c r="DV30" s="52">
        <f t="shared" si="9"/>
        <v>13631.200999999999</v>
      </c>
      <c r="DW30" s="52">
        <f t="shared" si="9"/>
        <v>13641.627999999999</v>
      </c>
      <c r="DX30" s="52">
        <f t="shared" si="9"/>
        <v>13660.771999999999</v>
      </c>
      <c r="DY30" s="52">
        <f t="shared" si="9"/>
        <v>13678.103000000001</v>
      </c>
      <c r="DZ30" s="52">
        <f t="shared" si="9"/>
        <v>13694.03</v>
      </c>
      <c r="EA30" s="52">
        <f t="shared" ref="EA30:FM30" si="10">SUM(EA23:EA29)</f>
        <v>13712.977000000001</v>
      </c>
      <c r="EB30" s="52">
        <f t="shared" si="10"/>
        <v>13731.066000000001</v>
      </c>
      <c r="EC30" s="54">
        <f t="shared" si="10"/>
        <v>13808.232000000002</v>
      </c>
      <c r="ED30" s="52">
        <f t="shared" si="10"/>
        <v>13830.107999999998</v>
      </c>
      <c r="EE30" s="52">
        <f t="shared" si="10"/>
        <v>13845.552999999998</v>
      </c>
      <c r="EF30" s="52">
        <f t="shared" si="10"/>
        <v>13980.405000000001</v>
      </c>
      <c r="EG30" s="52">
        <f t="shared" si="10"/>
        <v>14048.943000000001</v>
      </c>
      <c r="EH30" s="52">
        <f t="shared" si="10"/>
        <v>14075.807000000001</v>
      </c>
      <c r="EI30" s="52">
        <f t="shared" si="10"/>
        <v>14110.597</v>
      </c>
      <c r="EJ30" s="52">
        <f t="shared" si="10"/>
        <v>14136.488000000001</v>
      </c>
      <c r="EK30" s="52">
        <f t="shared" si="10"/>
        <v>14158.239000000001</v>
      </c>
      <c r="EL30" s="52">
        <f t="shared" si="10"/>
        <v>14189.264000000001</v>
      </c>
      <c r="EM30" s="52">
        <f t="shared" si="10"/>
        <v>14215.65</v>
      </c>
      <c r="EN30" s="52">
        <f t="shared" si="10"/>
        <v>14246.942000000001</v>
      </c>
      <c r="EO30" s="53">
        <f t="shared" si="10"/>
        <v>14270.936</v>
      </c>
      <c r="EP30" s="52">
        <f t="shared" si="10"/>
        <v>14358.971000000001</v>
      </c>
      <c r="EQ30" s="52">
        <f t="shared" si="10"/>
        <v>14392.335000000001</v>
      </c>
      <c r="ER30" s="52">
        <f t="shared" si="10"/>
        <v>14445.705</v>
      </c>
      <c r="ES30" s="52">
        <f t="shared" si="10"/>
        <v>14493.476000000001</v>
      </c>
      <c r="ET30" s="52">
        <f t="shared" si="10"/>
        <v>14554.226000000001</v>
      </c>
      <c r="EU30" s="52">
        <f t="shared" si="10"/>
        <v>14605.957</v>
      </c>
      <c r="EV30" s="52">
        <f t="shared" si="10"/>
        <v>14677.745000000001</v>
      </c>
      <c r="EW30" s="52">
        <f t="shared" si="10"/>
        <v>14734.169000000002</v>
      </c>
      <c r="EX30" s="52">
        <f t="shared" si="10"/>
        <v>14819.728000000001</v>
      </c>
      <c r="EY30" s="52">
        <f t="shared" si="10"/>
        <v>14934.328000000001</v>
      </c>
      <c r="EZ30" s="52">
        <f t="shared" si="10"/>
        <v>15015.048000000001</v>
      </c>
      <c r="FA30" s="53">
        <f t="shared" si="10"/>
        <v>15138.733000000002</v>
      </c>
      <c r="FB30" s="52">
        <f t="shared" si="10"/>
        <v>15565.028000000002</v>
      </c>
      <c r="FC30" s="52">
        <f t="shared" si="10"/>
        <v>15930.396000000001</v>
      </c>
      <c r="FD30" s="52">
        <f t="shared" si="10"/>
        <v>16470.099999999999</v>
      </c>
      <c r="FE30" s="52">
        <f t="shared" si="10"/>
        <v>16559.470999999998</v>
      </c>
      <c r="FF30" s="52">
        <f t="shared" si="10"/>
        <v>16727.755999999998</v>
      </c>
      <c r="FG30" s="52">
        <f t="shared" si="10"/>
        <v>16880.482999999997</v>
      </c>
      <c r="FH30" s="52">
        <f t="shared" si="10"/>
        <v>16968.621999999999</v>
      </c>
      <c r="FI30" s="52">
        <f t="shared" si="10"/>
        <v>17056.204999999998</v>
      </c>
      <c r="FJ30" s="52">
        <f t="shared" si="10"/>
        <v>17243.690999999999</v>
      </c>
      <c r="FK30" s="52">
        <f t="shared" si="10"/>
        <v>17371.090999999997</v>
      </c>
      <c r="FL30" s="157">
        <f t="shared" si="10"/>
        <v>17495.121999999996</v>
      </c>
      <c r="FM30" s="157">
        <f t="shared" si="10"/>
        <v>17549.975999999999</v>
      </c>
      <c r="FN30" s="125">
        <f>(SUM(FN23:FN29))</f>
        <v>17705.597999999998</v>
      </c>
      <c r="FO30" s="157">
        <f>(SUM(FO23:FO29))</f>
        <v>17804.449000000001</v>
      </c>
      <c r="FP30" s="157">
        <f t="shared" ref="FP30:GP30" si="11">(SUM(FP23:FP29))</f>
        <v>18042.534</v>
      </c>
      <c r="FQ30" s="157">
        <f t="shared" si="11"/>
        <v>18170.879000000001</v>
      </c>
      <c r="FR30" s="157">
        <f t="shared" si="11"/>
        <v>18307.755999999998</v>
      </c>
      <c r="FS30" s="157">
        <f t="shared" si="11"/>
        <v>18476.906999999999</v>
      </c>
      <c r="FT30" s="157">
        <f t="shared" si="11"/>
        <v>18621.236999999997</v>
      </c>
      <c r="FU30" s="157">
        <f t="shared" si="11"/>
        <v>18731.14</v>
      </c>
      <c r="FV30" s="157">
        <f t="shared" si="11"/>
        <v>18811.978999999999</v>
      </c>
      <c r="FW30" s="157">
        <f t="shared" si="11"/>
        <v>19178.732</v>
      </c>
      <c r="FX30" s="157">
        <f t="shared" si="11"/>
        <v>19320.264999999996</v>
      </c>
      <c r="FY30" s="191">
        <f t="shared" si="11"/>
        <v>19426.672999999999</v>
      </c>
      <c r="FZ30" s="157">
        <f t="shared" si="11"/>
        <v>19621.423999999999</v>
      </c>
      <c r="GA30" s="157">
        <f t="shared" si="11"/>
        <v>19724.606999999996</v>
      </c>
      <c r="GB30" s="157">
        <f t="shared" si="11"/>
        <v>20079.307999999997</v>
      </c>
      <c r="GC30" s="157">
        <f t="shared" si="11"/>
        <v>20225.715</v>
      </c>
      <c r="GD30" s="157">
        <f t="shared" si="11"/>
        <v>20367.287999999997</v>
      </c>
      <c r="GE30" s="157">
        <f t="shared" si="11"/>
        <v>20542.396999999997</v>
      </c>
      <c r="GF30" s="157">
        <f t="shared" si="11"/>
        <v>21119.948999999997</v>
      </c>
      <c r="GG30" s="157">
        <f t="shared" si="11"/>
        <v>21315.54</v>
      </c>
      <c r="GH30" s="157">
        <f t="shared" si="11"/>
        <v>21470.578000000001</v>
      </c>
      <c r="GI30" s="157">
        <f t="shared" si="11"/>
        <v>21747.565999999999</v>
      </c>
      <c r="GJ30" s="157">
        <f t="shared" si="11"/>
        <v>21922.663999999997</v>
      </c>
      <c r="GK30" s="191">
        <f t="shared" si="11"/>
        <v>22065.513999999999</v>
      </c>
      <c r="GL30" s="157">
        <f t="shared" si="11"/>
        <v>22156.710999999999</v>
      </c>
      <c r="GM30" s="157">
        <f t="shared" si="11"/>
        <v>22260.339</v>
      </c>
      <c r="GN30" s="157">
        <f t="shared" si="11"/>
        <v>22436.596999999998</v>
      </c>
      <c r="GO30" s="157">
        <f t="shared" si="11"/>
        <v>22547.931</v>
      </c>
      <c r="GP30" s="157">
        <f t="shared" si="11"/>
        <v>22632.995999999996</v>
      </c>
      <c r="GR30" s="214"/>
    </row>
    <row r="31" spans="1:200" s="25" customFormat="1" ht="20.149999999999999" customHeight="1" thickTop="1" x14ac:dyDescent="0.35">
      <c r="A31" s="189" t="s">
        <v>271</v>
      </c>
      <c r="B31" s="87">
        <v>10.222</v>
      </c>
      <c r="C31" s="87">
        <v>11.53</v>
      </c>
      <c r="D31" s="87">
        <v>13.821999999999999</v>
      </c>
      <c r="E31" s="87">
        <v>16.359000000000002</v>
      </c>
      <c r="F31" s="87">
        <v>20.379000000000001</v>
      </c>
      <c r="G31" s="87">
        <v>24.93</v>
      </c>
      <c r="H31" s="87">
        <v>30.547000000000001</v>
      </c>
      <c r="I31" s="87">
        <v>36.151000000000003</v>
      </c>
      <c r="J31" s="87">
        <v>43.375999999999998</v>
      </c>
      <c r="K31" s="87">
        <v>52.075000000000003</v>
      </c>
      <c r="L31" s="87">
        <v>62.179000000000002</v>
      </c>
      <c r="M31" s="187">
        <v>69.760000000000005</v>
      </c>
      <c r="N31" s="87">
        <v>80.492000000000004</v>
      </c>
      <c r="O31" s="87">
        <v>92.831999999999994</v>
      </c>
      <c r="P31" s="87">
        <v>111.121</v>
      </c>
      <c r="Q31" s="87">
        <v>128.696</v>
      </c>
      <c r="R31" s="87">
        <v>150.148</v>
      </c>
      <c r="S31" s="87">
        <v>177.53399999999999</v>
      </c>
      <c r="T31" s="87">
        <v>211.24</v>
      </c>
      <c r="U31" s="87">
        <v>253.804</v>
      </c>
      <c r="V31" s="87">
        <v>309.44499999999999</v>
      </c>
      <c r="W31" s="87">
        <v>371.786</v>
      </c>
      <c r="X31" s="87">
        <v>550.07600000000002</v>
      </c>
      <c r="Y31" s="187">
        <v>705.15200000000004</v>
      </c>
      <c r="Z31" s="87">
        <v>728.88900000000001</v>
      </c>
      <c r="AA31" s="87">
        <v>874.57500000000005</v>
      </c>
      <c r="AB31" s="87">
        <v>960.77300000000002</v>
      </c>
      <c r="AC31" s="87">
        <v>976.25300000000004</v>
      </c>
      <c r="AD31" s="87">
        <v>1008.802</v>
      </c>
      <c r="AE31" s="87">
        <v>1053.221</v>
      </c>
      <c r="AF31" s="87">
        <v>1153.807</v>
      </c>
      <c r="AG31" s="87">
        <v>1165.8689999999999</v>
      </c>
      <c r="AH31" s="87">
        <v>1182.4359999999999</v>
      </c>
      <c r="AI31" s="87">
        <v>1219.4069999999999</v>
      </c>
      <c r="AJ31" s="87">
        <v>1238.549</v>
      </c>
      <c r="AK31" s="187">
        <v>1258.309</v>
      </c>
      <c r="AL31" s="87">
        <v>1279.711</v>
      </c>
      <c r="AM31" s="87">
        <v>1304.3140000000001</v>
      </c>
      <c r="AN31" s="87">
        <v>1333.742</v>
      </c>
      <c r="AO31" s="87">
        <v>1365.3810000000001</v>
      </c>
      <c r="AP31" s="87">
        <v>1396.527</v>
      </c>
      <c r="AQ31" s="87">
        <v>1447.146</v>
      </c>
      <c r="AR31" s="87">
        <v>1470.981</v>
      </c>
      <c r="AS31" s="87">
        <v>1501.3330000000001</v>
      </c>
      <c r="AT31" s="87">
        <v>1532.94</v>
      </c>
      <c r="AU31" s="87">
        <v>1565.9169999999999</v>
      </c>
      <c r="AV31" s="87">
        <v>1604.952</v>
      </c>
      <c r="AW31" s="187">
        <v>1641.8520000000001</v>
      </c>
      <c r="AX31" s="87">
        <v>1674.0509999999999</v>
      </c>
      <c r="AY31" s="87">
        <v>1715.922</v>
      </c>
      <c r="AZ31" s="87">
        <v>1778.4059999999999</v>
      </c>
      <c r="BA31" s="87">
        <v>1807.3630000000001</v>
      </c>
      <c r="BB31" s="87">
        <v>1841.2940000000001</v>
      </c>
      <c r="BC31" s="87">
        <v>1878.463</v>
      </c>
      <c r="BD31" s="87">
        <v>1918.9749999999999</v>
      </c>
      <c r="BE31" s="87">
        <v>1957.866</v>
      </c>
      <c r="BF31" s="87">
        <v>2004.835</v>
      </c>
      <c r="BG31" s="87">
        <v>2052.1280000000002</v>
      </c>
      <c r="BH31" s="87">
        <v>2098.1880000000001</v>
      </c>
      <c r="BI31" s="187">
        <v>2151.9369999999999</v>
      </c>
      <c r="BJ31" s="87">
        <v>2180.6770000000001</v>
      </c>
      <c r="BK31" s="87">
        <v>2218.6849999999999</v>
      </c>
      <c r="BL31" s="87">
        <v>2279.5659999999998</v>
      </c>
      <c r="BM31" s="87">
        <v>2318.366</v>
      </c>
      <c r="BN31" s="87">
        <v>2360.4899999999998</v>
      </c>
      <c r="BO31" s="87">
        <v>2421.4079999999999</v>
      </c>
      <c r="BP31" s="87">
        <v>2463.7579999999998</v>
      </c>
      <c r="BQ31" s="87">
        <v>2509.7159999999999</v>
      </c>
      <c r="BR31" s="87">
        <v>2589.4090000000001</v>
      </c>
      <c r="BS31" s="87">
        <v>2646.8989999999999</v>
      </c>
      <c r="BT31" s="87">
        <v>2719.3850000000002</v>
      </c>
      <c r="BU31" s="187">
        <v>2820.2779999999998</v>
      </c>
      <c r="BV31" s="87">
        <v>2872.3470000000002</v>
      </c>
      <c r="BW31" s="87">
        <v>2880.9180000000001</v>
      </c>
      <c r="BX31" s="87">
        <v>2892.973</v>
      </c>
      <c r="BY31" s="87">
        <v>2901.8629999999998</v>
      </c>
      <c r="BZ31" s="87">
        <v>2911.42</v>
      </c>
      <c r="CA31" s="87">
        <v>2922.2269999999999</v>
      </c>
      <c r="CB31" s="87">
        <v>2931.2289999999998</v>
      </c>
      <c r="CC31" s="87">
        <v>2940.982</v>
      </c>
      <c r="CD31" s="87">
        <v>2954.3389999999999</v>
      </c>
      <c r="CE31" s="87">
        <v>2960.846</v>
      </c>
      <c r="CF31" s="87">
        <v>2968.7069999999999</v>
      </c>
      <c r="CG31" s="187">
        <v>2976.0929999999998</v>
      </c>
      <c r="CH31" s="87">
        <v>2981.5720000000001</v>
      </c>
      <c r="CI31" s="87">
        <v>2988.3249999999998</v>
      </c>
      <c r="CJ31" s="87">
        <v>2998.0970000000002</v>
      </c>
      <c r="CK31" s="87">
        <v>3004.2089999999998</v>
      </c>
      <c r="CL31" s="87">
        <v>3011.1179999999999</v>
      </c>
      <c r="CM31" s="87">
        <v>3018.712</v>
      </c>
      <c r="CN31" s="87">
        <v>3025.5059999999999</v>
      </c>
      <c r="CO31" s="87">
        <v>3033.027</v>
      </c>
      <c r="CP31" s="87">
        <v>3041.1</v>
      </c>
      <c r="CQ31" s="87">
        <v>3048.212</v>
      </c>
      <c r="CR31" s="87">
        <v>3056.462</v>
      </c>
      <c r="CS31" s="187">
        <v>3062.9059999999999</v>
      </c>
      <c r="CT31" s="87">
        <v>3069.4279999999999</v>
      </c>
      <c r="CU31" s="87">
        <v>3075.5320000000002</v>
      </c>
      <c r="CV31" s="87">
        <v>3083.5859999999998</v>
      </c>
      <c r="CW31" s="87">
        <v>3090.5949999999998</v>
      </c>
      <c r="CX31" s="87">
        <v>3098.7510000000002</v>
      </c>
      <c r="CY31" s="87">
        <v>3107.538</v>
      </c>
      <c r="CZ31" s="87">
        <v>3115.7530000000002</v>
      </c>
      <c r="DA31" s="87">
        <v>3124.81</v>
      </c>
      <c r="DB31" s="87">
        <v>3134.8829999999998</v>
      </c>
      <c r="DC31" s="87">
        <v>3145.7350000000001</v>
      </c>
      <c r="DD31" s="87">
        <v>3158.17</v>
      </c>
      <c r="DE31" s="187">
        <v>3169.962</v>
      </c>
      <c r="DF31" s="87">
        <v>3184.5680000000002</v>
      </c>
      <c r="DG31" s="87">
        <v>3203.6529999999998</v>
      </c>
      <c r="DH31" s="87">
        <v>3254.6439999999998</v>
      </c>
      <c r="DI31" s="87">
        <v>3256.5590000000002</v>
      </c>
      <c r="DJ31" s="87">
        <v>3259.277</v>
      </c>
      <c r="DK31" s="87">
        <v>3262.4650000000001</v>
      </c>
      <c r="DL31" s="87">
        <v>3266.8249999999998</v>
      </c>
      <c r="DM31" s="87">
        <v>3271.181</v>
      </c>
      <c r="DN31" s="87">
        <v>3276.8180000000002</v>
      </c>
      <c r="DO31" s="87">
        <v>3283.0459999999998</v>
      </c>
      <c r="DP31" s="87">
        <v>3288.7809999999999</v>
      </c>
      <c r="DQ31" s="187">
        <v>3293</v>
      </c>
      <c r="DR31" s="87">
        <v>3298.7689999999998</v>
      </c>
      <c r="DS31" s="87">
        <v>3304.7060000000001</v>
      </c>
      <c r="DT31" s="87">
        <v>3310.7739999999999</v>
      </c>
      <c r="DU31" s="87">
        <v>3312.8989999999999</v>
      </c>
      <c r="DV31" s="87">
        <v>3316.2979999999998</v>
      </c>
      <c r="DW31" s="87">
        <v>3322.5920000000001</v>
      </c>
      <c r="DX31" s="87">
        <v>3329.752</v>
      </c>
      <c r="DY31" s="87">
        <v>3336.259</v>
      </c>
      <c r="DZ31" s="87">
        <v>3344.933</v>
      </c>
      <c r="EA31" s="87">
        <v>3353.6509999999998</v>
      </c>
      <c r="EB31" s="87">
        <v>3363.3240000000001</v>
      </c>
      <c r="EC31" s="187">
        <v>3371.7339999999999</v>
      </c>
      <c r="ED31" s="87">
        <v>3381.7629999999999</v>
      </c>
      <c r="EE31" s="87">
        <v>3391.2139999999999</v>
      </c>
      <c r="EF31" s="87">
        <v>3405.46</v>
      </c>
      <c r="EG31" s="87">
        <v>3419.415</v>
      </c>
      <c r="EH31" s="87">
        <v>3433.9369999999999</v>
      </c>
      <c r="EI31" s="87">
        <v>3448.1390000000001</v>
      </c>
      <c r="EJ31" s="87">
        <v>3461.7069999999999</v>
      </c>
      <c r="EK31" s="87">
        <v>3475.1149999999998</v>
      </c>
      <c r="EL31" s="87">
        <v>3491.6</v>
      </c>
      <c r="EM31" s="87">
        <v>3507.2049999999999</v>
      </c>
      <c r="EN31" s="87">
        <v>3526.9070000000002</v>
      </c>
      <c r="EO31" s="89">
        <v>3541.3879999999999</v>
      </c>
      <c r="EP31" s="87">
        <v>3559.9259999999999</v>
      </c>
      <c r="EQ31" s="87">
        <v>3581.8090000000002</v>
      </c>
      <c r="ER31" s="87">
        <v>3613.2130000000002</v>
      </c>
      <c r="ES31" s="87">
        <v>3645.2379999999998</v>
      </c>
      <c r="ET31" s="87">
        <v>3683.3409999999999</v>
      </c>
      <c r="EU31" s="87">
        <v>3722.0479999999998</v>
      </c>
      <c r="EV31" s="87">
        <v>3762.056</v>
      </c>
      <c r="EW31" s="87">
        <v>3806.857</v>
      </c>
      <c r="EX31" s="87">
        <v>3861.1210000000001</v>
      </c>
      <c r="EY31" s="87">
        <v>3916.4479999999999</v>
      </c>
      <c r="EZ31" s="87">
        <v>3979.5810000000001</v>
      </c>
      <c r="FA31" s="89">
        <v>4028.1019999999999</v>
      </c>
      <c r="FB31" s="87">
        <v>4096.2460000000001</v>
      </c>
      <c r="FC31" s="87">
        <v>4168.326</v>
      </c>
      <c r="FD31" s="87">
        <v>4249.8850000000002</v>
      </c>
      <c r="FE31" s="87">
        <v>4316.1310000000003</v>
      </c>
      <c r="FF31" s="87">
        <v>4389.2659999999996</v>
      </c>
      <c r="FG31" s="87">
        <v>4463.5720000000001</v>
      </c>
      <c r="FH31" s="87">
        <v>4527.4160000000002</v>
      </c>
      <c r="FI31" s="87">
        <v>4591.232</v>
      </c>
      <c r="FJ31" s="87">
        <v>4654.0770000000002</v>
      </c>
      <c r="FK31" s="87">
        <v>4715.1809999999996</v>
      </c>
      <c r="FL31" s="161">
        <v>4776.4530000000004</v>
      </c>
      <c r="FM31" s="161">
        <v>4816.8919999999998</v>
      </c>
      <c r="FN31" s="170">
        <v>4868.5219999999999</v>
      </c>
      <c r="FO31" s="161">
        <v>4921.9960000000001</v>
      </c>
      <c r="FP31" s="161">
        <v>4978.0540000000001</v>
      </c>
      <c r="FQ31" s="161">
        <v>5037.491</v>
      </c>
      <c r="FR31" s="161">
        <v>5098.6719999999996</v>
      </c>
      <c r="FS31" s="161">
        <v>5154.6170000000002</v>
      </c>
      <c r="FT31" s="161">
        <v>5213.9250000000002</v>
      </c>
      <c r="FU31" s="161">
        <v>5268.6319999999996</v>
      </c>
      <c r="FV31" s="161">
        <v>5326.6779999999999</v>
      </c>
      <c r="FW31" s="161">
        <v>5392.6559999999999</v>
      </c>
      <c r="FX31" s="161">
        <v>5456.6049999999996</v>
      </c>
      <c r="FY31" s="194">
        <v>5502.4049999999997</v>
      </c>
      <c r="FZ31" s="161">
        <v>5562.7349999999997</v>
      </c>
      <c r="GA31" s="161">
        <v>5629.1490000000003</v>
      </c>
      <c r="GB31" s="161">
        <v>5707.08</v>
      </c>
      <c r="GC31" s="161">
        <v>5775.9669999999996</v>
      </c>
      <c r="GD31" s="161">
        <v>5853.0870000000004</v>
      </c>
      <c r="GE31" s="161">
        <v>5929.1229999999996</v>
      </c>
      <c r="GF31" s="161">
        <v>6010.6760000000004</v>
      </c>
      <c r="GG31" s="161">
        <v>6082.9059999999999</v>
      </c>
      <c r="GH31" s="161">
        <v>6164.5640000000003</v>
      </c>
      <c r="GI31" s="161">
        <v>6250.1030000000001</v>
      </c>
      <c r="GJ31" s="161">
        <v>6325.5140000000001</v>
      </c>
      <c r="GK31" s="194">
        <v>6383.3639999999996</v>
      </c>
      <c r="GL31" s="161">
        <v>6448.86</v>
      </c>
      <c r="GM31" s="161">
        <v>6522.1139999999996</v>
      </c>
      <c r="GN31" s="161">
        <v>6611.01</v>
      </c>
      <c r="GO31" s="161">
        <v>6695.6570000000002</v>
      </c>
      <c r="GP31" s="161">
        <v>6759.6540000000005</v>
      </c>
    </row>
    <row r="32" spans="1:200" customFormat="1" ht="20.149999999999999" customHeight="1" x14ac:dyDescent="0.35">
      <c r="EO32" s="209"/>
      <c r="EP32" s="178"/>
      <c r="ES32" s="178"/>
      <c r="ET32" s="178"/>
      <c r="EU32" s="178"/>
      <c r="EV32" s="178"/>
      <c r="EW32" s="178"/>
      <c r="EX32" s="178"/>
      <c r="EY32" s="178"/>
      <c r="EZ32" s="178"/>
      <c r="FA32" s="210"/>
      <c r="FB32" s="178"/>
      <c r="FC32" s="178"/>
      <c r="FD32" s="178"/>
      <c r="FE32" s="178"/>
      <c r="FF32" s="178"/>
      <c r="FG32" s="178"/>
      <c r="FH32" s="178"/>
      <c r="FI32" s="178"/>
      <c r="FJ32" s="178"/>
      <c r="FK32" s="178"/>
      <c r="FL32" s="178"/>
      <c r="FM32" s="209"/>
      <c r="FN32" s="124"/>
      <c r="FO32" s="178"/>
      <c r="FP32" s="178"/>
      <c r="FQ32" s="178"/>
      <c r="FR32" s="178"/>
      <c r="FS32" s="178"/>
      <c r="FT32" s="178"/>
      <c r="FU32" s="178"/>
      <c r="FV32" s="178"/>
      <c r="FW32" s="178"/>
      <c r="FX32" s="178"/>
      <c r="FY32" s="209"/>
      <c r="FZ32" s="178"/>
      <c r="GA32" s="178"/>
      <c r="GB32" s="178"/>
      <c r="GC32" s="178"/>
      <c r="GD32" s="178"/>
      <c r="GE32" s="178"/>
      <c r="GF32" s="178"/>
      <c r="GG32" s="178"/>
      <c r="GH32" s="178"/>
      <c r="GI32" s="178"/>
      <c r="GJ32" s="178"/>
      <c r="GK32" s="209"/>
      <c r="GL32" s="178"/>
      <c r="GM32" s="178"/>
      <c r="GN32" s="178"/>
      <c r="GO32" s="178"/>
    </row>
    <row r="33" spans="1:198" customFormat="1" ht="30.65" customHeight="1" x14ac:dyDescent="0.35">
      <c r="A33" s="21" t="s">
        <v>272</v>
      </c>
      <c r="B33" s="22" t="s">
        <v>76</v>
      </c>
      <c r="C33" s="23" t="s">
        <v>77</v>
      </c>
      <c r="D33" s="23" t="s">
        <v>78</v>
      </c>
      <c r="E33" s="23" t="s">
        <v>79</v>
      </c>
      <c r="F33" s="23" t="s">
        <v>80</v>
      </c>
      <c r="G33" s="23" t="s">
        <v>81</v>
      </c>
      <c r="H33" s="23" t="s">
        <v>82</v>
      </c>
      <c r="I33" s="23" t="s">
        <v>83</v>
      </c>
      <c r="J33" s="23" t="s">
        <v>84</v>
      </c>
      <c r="K33" s="23" t="s">
        <v>85</v>
      </c>
      <c r="L33" s="23" t="s">
        <v>86</v>
      </c>
      <c r="M33" s="23" t="s">
        <v>87</v>
      </c>
      <c r="N33" s="22" t="s">
        <v>88</v>
      </c>
      <c r="O33" s="23" t="s">
        <v>89</v>
      </c>
      <c r="P33" s="23" t="s">
        <v>90</v>
      </c>
      <c r="Q33" s="23" t="s">
        <v>91</v>
      </c>
      <c r="R33" s="23" t="s">
        <v>92</v>
      </c>
      <c r="S33" s="23" t="s">
        <v>93</v>
      </c>
      <c r="T33" s="23" t="s">
        <v>94</v>
      </c>
      <c r="U33" s="23" t="s">
        <v>95</v>
      </c>
      <c r="V33" s="23" t="s">
        <v>96</v>
      </c>
      <c r="W33" s="23" t="s">
        <v>97</v>
      </c>
      <c r="X33" s="23" t="s">
        <v>98</v>
      </c>
      <c r="Y33" s="23" t="s">
        <v>99</v>
      </c>
      <c r="Z33" s="22" t="s">
        <v>100</v>
      </c>
      <c r="AA33" s="23" t="s">
        <v>101</v>
      </c>
      <c r="AB33" s="23" t="s">
        <v>102</v>
      </c>
      <c r="AC33" s="23" t="s">
        <v>103</v>
      </c>
      <c r="AD33" s="23" t="s">
        <v>104</v>
      </c>
      <c r="AE33" s="23" t="s">
        <v>105</v>
      </c>
      <c r="AF33" s="23" t="s">
        <v>106</v>
      </c>
      <c r="AG33" s="23" t="s">
        <v>107</v>
      </c>
      <c r="AH33" s="23" t="s">
        <v>108</v>
      </c>
      <c r="AI33" s="23" t="s">
        <v>109</v>
      </c>
      <c r="AJ33" s="23" t="s">
        <v>110</v>
      </c>
      <c r="AK33" s="23" t="s">
        <v>111</v>
      </c>
      <c r="AL33" s="22" t="s">
        <v>112</v>
      </c>
      <c r="AM33" s="23" t="s">
        <v>113</v>
      </c>
      <c r="AN33" s="23" t="s">
        <v>114</v>
      </c>
      <c r="AO33" s="23" t="s">
        <v>115</v>
      </c>
      <c r="AP33" s="23" t="s">
        <v>116</v>
      </c>
      <c r="AQ33" s="23" t="s">
        <v>117</v>
      </c>
      <c r="AR33" s="23" t="s">
        <v>118</v>
      </c>
      <c r="AS33" s="23" t="s">
        <v>119</v>
      </c>
      <c r="AT33" s="23" t="s">
        <v>120</v>
      </c>
      <c r="AU33" s="23" t="s">
        <v>121</v>
      </c>
      <c r="AV33" s="23" t="s">
        <v>122</v>
      </c>
      <c r="AW33" s="24" t="s">
        <v>123</v>
      </c>
      <c r="AX33" s="23" t="s">
        <v>124</v>
      </c>
      <c r="AY33" s="23" t="s">
        <v>125</v>
      </c>
      <c r="AZ33" s="23" t="s">
        <v>126</v>
      </c>
      <c r="BA33" s="23" t="s">
        <v>127</v>
      </c>
      <c r="BB33" s="23" t="s">
        <v>128</v>
      </c>
      <c r="BC33" s="23" t="s">
        <v>129</v>
      </c>
      <c r="BD33" s="23" t="s">
        <v>130</v>
      </c>
      <c r="BE33" s="23" t="s">
        <v>131</v>
      </c>
      <c r="BF33" s="23" t="s">
        <v>132</v>
      </c>
      <c r="BG33" s="23" t="s">
        <v>133</v>
      </c>
      <c r="BH33" s="23" t="s">
        <v>134</v>
      </c>
      <c r="BI33" s="24" t="s">
        <v>135</v>
      </c>
      <c r="BJ33" s="23" t="s">
        <v>136</v>
      </c>
      <c r="BK33" s="23" t="s">
        <v>137</v>
      </c>
      <c r="BL33" s="23" t="s">
        <v>138</v>
      </c>
      <c r="BM33" s="23" t="s">
        <v>139</v>
      </c>
      <c r="BN33" s="23" t="s">
        <v>140</v>
      </c>
      <c r="BO33" s="23" t="s">
        <v>141</v>
      </c>
      <c r="BP33" s="23" t="s">
        <v>142</v>
      </c>
      <c r="BQ33" s="23" t="s">
        <v>143</v>
      </c>
      <c r="BR33" s="23" t="s">
        <v>144</v>
      </c>
      <c r="BS33" s="23" t="s">
        <v>145</v>
      </c>
      <c r="BT33" s="23" t="s">
        <v>146</v>
      </c>
      <c r="BU33" s="24" t="s">
        <v>147</v>
      </c>
      <c r="BV33" s="23" t="s">
        <v>148</v>
      </c>
      <c r="BW33" s="23" t="s">
        <v>149</v>
      </c>
      <c r="BX33" s="23" t="s">
        <v>150</v>
      </c>
      <c r="BY33" s="23" t="s">
        <v>151</v>
      </c>
      <c r="BZ33" s="23" t="s">
        <v>152</v>
      </c>
      <c r="CA33" s="23" t="s">
        <v>153</v>
      </c>
      <c r="CB33" s="23" t="s">
        <v>154</v>
      </c>
      <c r="CC33" s="23" t="s">
        <v>155</v>
      </c>
      <c r="CD33" s="23" t="s">
        <v>156</v>
      </c>
      <c r="CE33" s="23" t="s">
        <v>157</v>
      </c>
      <c r="CF33" s="23" t="s">
        <v>158</v>
      </c>
      <c r="CG33" s="24" t="s">
        <v>159</v>
      </c>
      <c r="CH33" s="23" t="s">
        <v>160</v>
      </c>
      <c r="CI33" s="23" t="s">
        <v>161</v>
      </c>
      <c r="CJ33" s="23" t="s">
        <v>162</v>
      </c>
      <c r="CK33" s="23" t="s">
        <v>163</v>
      </c>
      <c r="CL33" s="23" t="s">
        <v>164</v>
      </c>
      <c r="CM33" s="23" t="s">
        <v>165</v>
      </c>
      <c r="CN33" s="23" t="s">
        <v>166</v>
      </c>
      <c r="CO33" s="23" t="s">
        <v>167</v>
      </c>
      <c r="CP33" s="23" t="s">
        <v>168</v>
      </c>
      <c r="CQ33" s="23" t="s">
        <v>169</v>
      </c>
      <c r="CR33" s="23" t="s">
        <v>170</v>
      </c>
      <c r="CS33" s="24" t="s">
        <v>171</v>
      </c>
      <c r="CT33" s="23" t="s">
        <v>172</v>
      </c>
      <c r="CU33" s="23" t="s">
        <v>173</v>
      </c>
      <c r="CV33" s="23" t="s">
        <v>174</v>
      </c>
      <c r="CW33" s="23" t="s">
        <v>175</v>
      </c>
      <c r="CX33" s="23" t="s">
        <v>176</v>
      </c>
      <c r="CY33" s="23" t="s">
        <v>177</v>
      </c>
      <c r="CZ33" s="23" t="s">
        <v>178</v>
      </c>
      <c r="DA33" s="23" t="s">
        <v>179</v>
      </c>
      <c r="DB33" s="23" t="s">
        <v>180</v>
      </c>
      <c r="DC33" s="23" t="s">
        <v>181</v>
      </c>
      <c r="DD33" s="23" t="s">
        <v>182</v>
      </c>
      <c r="DE33" s="24" t="s">
        <v>183</v>
      </c>
      <c r="DF33" s="23" t="s">
        <v>184</v>
      </c>
      <c r="DG33" s="23" t="s">
        <v>185</v>
      </c>
      <c r="DH33" s="23" t="s">
        <v>186</v>
      </c>
      <c r="DI33" s="23" t="s">
        <v>187</v>
      </c>
      <c r="DJ33" s="23" t="s">
        <v>188</v>
      </c>
      <c r="DK33" s="23" t="s">
        <v>189</v>
      </c>
      <c r="DL33" s="23" t="s">
        <v>190</v>
      </c>
      <c r="DM33" s="23" t="s">
        <v>191</v>
      </c>
      <c r="DN33" s="23" t="s">
        <v>192</v>
      </c>
      <c r="DO33" s="23" t="s">
        <v>193</v>
      </c>
      <c r="DP33" s="23" t="s">
        <v>194</v>
      </c>
      <c r="DQ33" s="24" t="s">
        <v>195</v>
      </c>
      <c r="DR33" s="23" t="s">
        <v>196</v>
      </c>
      <c r="DS33" s="23" t="s">
        <v>197</v>
      </c>
      <c r="DT33" s="23" t="s">
        <v>198</v>
      </c>
      <c r="DU33" s="23" t="s">
        <v>199</v>
      </c>
      <c r="DV33" s="23" t="s">
        <v>200</v>
      </c>
      <c r="DW33" s="23" t="s">
        <v>201</v>
      </c>
      <c r="DX33" s="23" t="s">
        <v>202</v>
      </c>
      <c r="DY33" s="23" t="s">
        <v>203</v>
      </c>
      <c r="DZ33" s="23" t="s">
        <v>204</v>
      </c>
      <c r="EA33" s="23" t="s">
        <v>205</v>
      </c>
      <c r="EB33" s="23" t="s">
        <v>206</v>
      </c>
      <c r="EC33" s="24" t="s">
        <v>207</v>
      </c>
      <c r="ED33" s="23" t="s">
        <v>208</v>
      </c>
      <c r="EE33" s="23" t="s">
        <v>209</v>
      </c>
      <c r="EF33" s="23" t="s">
        <v>210</v>
      </c>
      <c r="EG33" s="23" t="s">
        <v>211</v>
      </c>
      <c r="EH33" s="23" t="s">
        <v>212</v>
      </c>
      <c r="EI33" s="23" t="s">
        <v>213</v>
      </c>
      <c r="EJ33" s="23" t="s">
        <v>214</v>
      </c>
      <c r="EK33" s="23" t="s">
        <v>215</v>
      </c>
      <c r="EL33" s="23" t="s">
        <v>273</v>
      </c>
      <c r="EM33" s="23" t="s">
        <v>217</v>
      </c>
      <c r="EN33" s="43" t="s">
        <v>218</v>
      </c>
      <c r="EO33" s="24" t="s">
        <v>219</v>
      </c>
      <c r="EP33" s="23" t="s">
        <v>220</v>
      </c>
      <c r="EQ33" s="43" t="s">
        <v>221</v>
      </c>
      <c r="ER33" s="43" t="s">
        <v>222</v>
      </c>
      <c r="ES33" s="43" t="s">
        <v>223</v>
      </c>
      <c r="ET33" s="43" t="s">
        <v>224</v>
      </c>
      <c r="EU33" s="43" t="s">
        <v>225</v>
      </c>
      <c r="EV33" s="43" t="s">
        <v>226</v>
      </c>
      <c r="EW33" s="43" t="s">
        <v>227</v>
      </c>
      <c r="EX33" s="43" t="s">
        <v>228</v>
      </c>
      <c r="EY33" s="43" t="s">
        <v>229</v>
      </c>
      <c r="EZ33" s="43" t="s">
        <v>230</v>
      </c>
      <c r="FA33" s="24" t="s">
        <v>231</v>
      </c>
      <c r="FB33" s="43" t="s">
        <v>232</v>
      </c>
      <c r="FC33" s="43" t="s">
        <v>233</v>
      </c>
      <c r="FD33" s="43" t="s">
        <v>234</v>
      </c>
      <c r="FE33" s="43" t="s">
        <v>235</v>
      </c>
      <c r="FF33" s="43" t="s">
        <v>236</v>
      </c>
      <c r="FG33" s="43" t="s">
        <v>237</v>
      </c>
      <c r="FH33" s="43" t="s">
        <v>238</v>
      </c>
      <c r="FI33" s="43" t="s">
        <v>239</v>
      </c>
      <c r="FJ33" s="43" t="s">
        <v>240</v>
      </c>
      <c r="FK33" s="43" t="s">
        <v>241</v>
      </c>
      <c r="FL33" s="43" t="s">
        <v>242</v>
      </c>
      <c r="FM33" s="43" t="s">
        <v>243</v>
      </c>
      <c r="FN33" s="147" t="s">
        <v>244</v>
      </c>
      <c r="FO33" s="43" t="s">
        <v>245</v>
      </c>
      <c r="FP33" s="43" t="s">
        <v>246</v>
      </c>
      <c r="FQ33" s="43" t="s">
        <v>247</v>
      </c>
      <c r="FR33" s="43" t="s">
        <v>248</v>
      </c>
      <c r="FS33" s="43" t="s">
        <v>249</v>
      </c>
      <c r="FT33" s="43" t="s">
        <v>250</v>
      </c>
      <c r="FU33" s="43" t="s">
        <v>251</v>
      </c>
      <c r="FV33" s="43" t="s">
        <v>252</v>
      </c>
      <c r="FW33" s="43" t="s">
        <v>253</v>
      </c>
      <c r="FX33" s="43" t="s">
        <v>254</v>
      </c>
      <c r="FY33" s="141" t="s">
        <v>255</v>
      </c>
      <c r="FZ33" s="43" t="s">
        <v>256</v>
      </c>
      <c r="GA33" s="43" t="s">
        <v>257</v>
      </c>
      <c r="GB33" s="43" t="s">
        <v>258</v>
      </c>
      <c r="GC33" s="43" t="s">
        <v>259</v>
      </c>
      <c r="GD33" s="43" t="s">
        <v>260</v>
      </c>
      <c r="GE33" s="43" t="s">
        <v>261</v>
      </c>
      <c r="GF33" s="43" t="s">
        <v>262</v>
      </c>
      <c r="GG33" s="43" t="s">
        <v>263</v>
      </c>
      <c r="GH33" s="43" t="s">
        <v>264</v>
      </c>
      <c r="GI33" s="43" t="s">
        <v>265</v>
      </c>
      <c r="GJ33" s="43" t="s">
        <v>1622</v>
      </c>
      <c r="GK33" s="141" t="s">
        <v>1629</v>
      </c>
      <c r="GL33" s="43" t="s">
        <v>1630</v>
      </c>
      <c r="GM33" s="43" t="s">
        <v>1635</v>
      </c>
      <c r="GN33" s="43" t="s">
        <v>1638</v>
      </c>
      <c r="GO33" s="43" t="s">
        <v>1645</v>
      </c>
      <c r="GP33" s="43" t="s">
        <v>1649</v>
      </c>
    </row>
    <row r="34" spans="1:198" s="37" customFormat="1" ht="36" customHeight="1" x14ac:dyDescent="0.35">
      <c r="A34" s="26" t="s">
        <v>266</v>
      </c>
      <c r="B34" s="27"/>
      <c r="C34" s="27"/>
      <c r="D34" s="27"/>
      <c r="E34" s="27"/>
      <c r="F34" s="27"/>
      <c r="G34" s="27"/>
      <c r="H34" s="27"/>
      <c r="I34" s="27"/>
      <c r="J34" s="27"/>
      <c r="K34" s="27"/>
      <c r="L34" s="27"/>
      <c r="M34" s="28"/>
      <c r="N34" s="29"/>
      <c r="O34" s="27"/>
      <c r="P34" s="27"/>
      <c r="Q34" s="27"/>
      <c r="R34" s="27"/>
      <c r="S34" s="27"/>
      <c r="T34" s="27"/>
      <c r="U34" s="27"/>
      <c r="V34" s="27"/>
      <c r="W34" s="27"/>
      <c r="X34" s="27"/>
      <c r="Y34" s="28"/>
      <c r="Z34" s="29"/>
      <c r="AA34" s="27"/>
      <c r="AB34" s="27"/>
      <c r="AC34" s="27"/>
      <c r="AD34" s="27"/>
      <c r="AE34" s="27"/>
      <c r="AF34" s="27"/>
      <c r="AG34" s="27"/>
      <c r="AH34" s="27"/>
      <c r="AI34" s="27"/>
      <c r="AJ34" s="27"/>
      <c r="AK34" s="28"/>
      <c r="AL34" s="29"/>
      <c r="AM34" s="27"/>
      <c r="AN34" s="27"/>
      <c r="AO34" s="27"/>
      <c r="AP34" s="27"/>
      <c r="AQ34" s="27"/>
      <c r="AR34" s="27"/>
      <c r="AS34" s="27"/>
      <c r="AT34" s="27"/>
      <c r="AU34" s="27"/>
      <c r="AV34" s="27"/>
      <c r="AW34" s="28"/>
      <c r="AX34" s="27"/>
      <c r="AY34" s="27"/>
      <c r="AZ34" s="27"/>
      <c r="BA34" s="27"/>
      <c r="BB34" s="27"/>
      <c r="BC34" s="27"/>
      <c r="BD34" s="27"/>
      <c r="BE34" s="27"/>
      <c r="BF34" s="27"/>
      <c r="BG34" s="27"/>
      <c r="BH34" s="27"/>
      <c r="BI34" s="28"/>
      <c r="BJ34" s="27"/>
      <c r="BK34" s="27"/>
      <c r="BL34" s="27"/>
      <c r="BM34" s="27"/>
      <c r="BN34" s="27"/>
      <c r="BO34" s="27"/>
      <c r="BP34" s="27"/>
      <c r="BQ34" s="27"/>
      <c r="BR34" s="27"/>
      <c r="BS34" s="27"/>
      <c r="BT34" s="27"/>
      <c r="BU34" s="28"/>
      <c r="BV34" s="27"/>
      <c r="BW34" s="27"/>
      <c r="BX34" s="27"/>
      <c r="BY34" s="27"/>
      <c r="BZ34" s="27"/>
      <c r="CA34" s="27"/>
      <c r="CB34" s="27"/>
      <c r="CC34" s="27"/>
      <c r="CD34" s="27"/>
      <c r="CE34" s="27"/>
      <c r="CF34" s="27"/>
      <c r="CG34" s="28"/>
      <c r="CH34" s="27"/>
      <c r="CI34" s="27"/>
      <c r="CJ34" s="27"/>
      <c r="CK34" s="27"/>
      <c r="CL34" s="27"/>
      <c r="CM34" s="27"/>
      <c r="CN34" s="27"/>
      <c r="CO34" s="27"/>
      <c r="CP34" s="27"/>
      <c r="CQ34" s="27"/>
      <c r="CR34" s="27"/>
      <c r="CS34" s="28"/>
      <c r="CT34" s="27"/>
      <c r="CU34" s="27"/>
      <c r="CV34" s="27"/>
      <c r="CW34" s="27"/>
      <c r="CX34" s="27"/>
      <c r="CY34" s="27"/>
      <c r="CZ34" s="27"/>
      <c r="DA34" s="27"/>
      <c r="DB34" s="27"/>
      <c r="DC34" s="27"/>
      <c r="DD34" s="27"/>
      <c r="DE34" s="28"/>
      <c r="DF34" s="27"/>
      <c r="DG34" s="27"/>
      <c r="DH34" s="27"/>
      <c r="DI34" s="27"/>
      <c r="DJ34" s="27"/>
      <c r="DK34" s="27"/>
      <c r="DL34" s="27"/>
      <c r="DM34" s="27"/>
      <c r="DN34" s="27"/>
      <c r="DO34" s="27"/>
      <c r="DP34" s="27"/>
      <c r="DQ34" s="28"/>
      <c r="DR34" s="27"/>
      <c r="DS34" s="27"/>
      <c r="DT34" s="27"/>
      <c r="DU34" s="27"/>
      <c r="DV34" s="27"/>
      <c r="DW34" s="27"/>
      <c r="DX34" s="27"/>
      <c r="DY34" s="27"/>
      <c r="DZ34" s="27"/>
      <c r="EA34" s="27"/>
      <c r="EB34" s="27"/>
      <c r="EC34" s="28"/>
      <c r="ED34" s="27"/>
      <c r="EE34" s="27"/>
      <c r="EF34" s="27"/>
      <c r="EG34" s="27"/>
      <c r="EH34" s="27"/>
      <c r="EI34" s="27"/>
      <c r="EJ34" s="27"/>
      <c r="EK34" s="27"/>
      <c r="EL34" s="38"/>
      <c r="EM34" s="30"/>
      <c r="EN34" s="30"/>
      <c r="EO34" s="28"/>
      <c r="EP34" s="27"/>
      <c r="EQ34" s="38"/>
      <c r="ER34" s="38"/>
      <c r="ES34" s="38"/>
      <c r="ET34" s="38"/>
      <c r="EU34" s="38"/>
      <c r="EV34" s="38"/>
      <c r="EW34" s="39"/>
      <c r="EX34" s="39"/>
      <c r="EY34" s="38"/>
      <c r="EZ34" s="38"/>
      <c r="FA34" s="28"/>
      <c r="FB34" s="38"/>
      <c r="FC34" s="38"/>
      <c r="FD34" s="38"/>
      <c r="FE34" s="38"/>
      <c r="FF34" s="38"/>
      <c r="FG34" s="38"/>
      <c r="FH34" s="38"/>
      <c r="FI34" s="38"/>
      <c r="FJ34" s="38"/>
      <c r="FK34" s="38"/>
      <c r="FL34" s="38"/>
      <c r="FM34" s="38"/>
      <c r="FN34" s="166"/>
      <c r="FO34" s="38"/>
      <c r="FP34" s="38"/>
      <c r="FQ34" s="38"/>
      <c r="FR34" s="38"/>
      <c r="FS34" s="38"/>
      <c r="FT34" s="38"/>
      <c r="FU34" s="179"/>
      <c r="FV34" s="179"/>
      <c r="FW34" s="179"/>
      <c r="FX34" s="179"/>
      <c r="FY34" s="195"/>
      <c r="FZ34" s="179"/>
      <c r="GA34" s="179"/>
      <c r="GB34" s="179"/>
      <c r="GC34" s="179"/>
      <c r="GD34" s="179"/>
      <c r="GE34" s="179"/>
      <c r="GF34" s="179"/>
      <c r="GG34" s="179"/>
      <c r="GH34" s="179"/>
      <c r="GI34" s="179"/>
      <c r="GJ34" s="179"/>
      <c r="GK34" s="195"/>
      <c r="GL34" s="179"/>
      <c r="GM34" s="179"/>
      <c r="GN34" s="179"/>
      <c r="GO34" s="179"/>
      <c r="GP34" s="179"/>
    </row>
    <row r="35" spans="1:198" s="30" customFormat="1" ht="20.149999999999999" customHeight="1" x14ac:dyDescent="0.35">
      <c r="A35" s="31" t="s">
        <v>1623</v>
      </c>
      <c r="B35" s="55">
        <v>4202</v>
      </c>
      <c r="C35" s="55">
        <v>4757</v>
      </c>
      <c r="D35" s="55">
        <v>5723</v>
      </c>
      <c r="E35" s="55">
        <v>6729</v>
      </c>
      <c r="F35" s="55">
        <v>8182</v>
      </c>
      <c r="G35" s="55">
        <v>10024</v>
      </c>
      <c r="H35" s="55">
        <v>12267</v>
      </c>
      <c r="I35" s="55">
        <v>14477</v>
      </c>
      <c r="J35" s="55">
        <v>17237</v>
      </c>
      <c r="K35" s="55">
        <v>20581</v>
      </c>
      <c r="L35" s="55">
        <v>24424</v>
      </c>
      <c r="M35" s="56">
        <v>27391</v>
      </c>
      <c r="N35" s="57">
        <v>31392</v>
      </c>
      <c r="O35" s="55">
        <v>35895</v>
      </c>
      <c r="P35" s="55">
        <v>42731</v>
      </c>
      <c r="Q35" s="55">
        <v>48787</v>
      </c>
      <c r="R35" s="55">
        <v>55725</v>
      </c>
      <c r="S35" s="55">
        <v>64759</v>
      </c>
      <c r="T35" s="55">
        <v>75126</v>
      </c>
      <c r="U35" s="55">
        <v>88147</v>
      </c>
      <c r="V35" s="55">
        <v>103885</v>
      </c>
      <c r="W35" s="55">
        <v>122089</v>
      </c>
      <c r="X35" s="55">
        <v>172218</v>
      </c>
      <c r="Y35" s="56">
        <v>212254</v>
      </c>
      <c r="Z35" s="57">
        <v>220176</v>
      </c>
      <c r="AA35" s="55">
        <v>257164</v>
      </c>
      <c r="AB35" s="55">
        <v>281336</v>
      </c>
      <c r="AC35" s="55">
        <v>286303</v>
      </c>
      <c r="AD35" s="55">
        <v>295067</v>
      </c>
      <c r="AE35" s="55">
        <v>305640</v>
      </c>
      <c r="AF35" s="55">
        <v>325003</v>
      </c>
      <c r="AG35" s="55">
        <v>328456</v>
      </c>
      <c r="AH35" s="55">
        <v>332749</v>
      </c>
      <c r="AI35" s="55">
        <v>340622</v>
      </c>
      <c r="AJ35" s="55">
        <v>345369</v>
      </c>
      <c r="AK35" s="56">
        <v>350178</v>
      </c>
      <c r="AL35" s="57">
        <v>355249</v>
      </c>
      <c r="AM35" s="55">
        <v>360506</v>
      </c>
      <c r="AN35" s="55">
        <v>366335</v>
      </c>
      <c r="AO35" s="55">
        <v>372119</v>
      </c>
      <c r="AP35" s="55">
        <v>377846</v>
      </c>
      <c r="AQ35" s="55">
        <v>385645</v>
      </c>
      <c r="AR35" s="55">
        <v>390465</v>
      </c>
      <c r="AS35" s="55">
        <v>395885</v>
      </c>
      <c r="AT35" s="55">
        <v>401498</v>
      </c>
      <c r="AU35" s="55">
        <v>407532</v>
      </c>
      <c r="AV35" s="55">
        <v>414249</v>
      </c>
      <c r="AW35" s="56">
        <v>419776</v>
      </c>
      <c r="AX35" s="55">
        <v>425255</v>
      </c>
      <c r="AY35" s="55">
        <v>431250</v>
      </c>
      <c r="AZ35" s="55">
        <v>440410</v>
      </c>
      <c r="BA35" s="55">
        <v>445918</v>
      </c>
      <c r="BB35" s="55">
        <v>451747</v>
      </c>
      <c r="BC35" s="55">
        <v>458099</v>
      </c>
      <c r="BD35" s="55">
        <v>465456</v>
      </c>
      <c r="BE35" s="55">
        <v>472546</v>
      </c>
      <c r="BF35" s="55">
        <v>481170</v>
      </c>
      <c r="BG35" s="55">
        <v>490103</v>
      </c>
      <c r="BH35" s="55">
        <v>498289</v>
      </c>
      <c r="BI35" s="56">
        <v>506389</v>
      </c>
      <c r="BJ35" s="55">
        <v>512683</v>
      </c>
      <c r="BK35" s="55">
        <v>520145</v>
      </c>
      <c r="BL35" s="55">
        <v>531293</v>
      </c>
      <c r="BM35" s="55">
        <v>539019</v>
      </c>
      <c r="BN35" s="55">
        <v>546989</v>
      </c>
      <c r="BO35" s="55">
        <v>558205</v>
      </c>
      <c r="BP35" s="55">
        <v>566503</v>
      </c>
      <c r="BQ35" s="55">
        <v>574639</v>
      </c>
      <c r="BR35" s="55">
        <v>587712</v>
      </c>
      <c r="BS35" s="55">
        <v>599993</v>
      </c>
      <c r="BT35" s="55">
        <v>616015</v>
      </c>
      <c r="BU35" s="56">
        <v>633400</v>
      </c>
      <c r="BV35" s="55">
        <v>644414</v>
      </c>
      <c r="BW35" s="55">
        <v>647153</v>
      </c>
      <c r="BX35" s="55">
        <v>650404</v>
      </c>
      <c r="BY35" s="55">
        <v>653048</v>
      </c>
      <c r="BZ35" s="55">
        <v>655776</v>
      </c>
      <c r="CA35" s="55">
        <v>658938</v>
      </c>
      <c r="CB35" s="55">
        <v>661446</v>
      </c>
      <c r="CC35" s="55">
        <v>663725</v>
      </c>
      <c r="CD35" s="55">
        <v>666539</v>
      </c>
      <c r="CE35" s="55">
        <v>668769</v>
      </c>
      <c r="CF35" s="55">
        <v>671548</v>
      </c>
      <c r="CG35" s="56">
        <v>673457</v>
      </c>
      <c r="CH35" s="55">
        <v>675477</v>
      </c>
      <c r="CI35" s="55">
        <v>677640</v>
      </c>
      <c r="CJ35" s="55">
        <v>680396</v>
      </c>
      <c r="CK35" s="55">
        <v>682272</v>
      </c>
      <c r="CL35" s="55">
        <v>684821</v>
      </c>
      <c r="CM35" s="55">
        <v>687234</v>
      </c>
      <c r="CN35" s="55">
        <v>689371</v>
      </c>
      <c r="CO35" s="55">
        <v>691879</v>
      </c>
      <c r="CP35" s="55">
        <v>694379</v>
      </c>
      <c r="CQ35" s="55">
        <v>696794</v>
      </c>
      <c r="CR35" s="55">
        <v>699738</v>
      </c>
      <c r="CS35" s="56">
        <v>701552</v>
      </c>
      <c r="CT35" s="55">
        <v>703753</v>
      </c>
      <c r="CU35" s="55">
        <v>705837</v>
      </c>
      <c r="CV35" s="55">
        <v>708291</v>
      </c>
      <c r="CW35" s="55">
        <v>710564</v>
      </c>
      <c r="CX35" s="55">
        <v>713105</v>
      </c>
      <c r="CY35" s="55">
        <v>715611</v>
      </c>
      <c r="CZ35" s="55">
        <v>718034</v>
      </c>
      <c r="DA35" s="55">
        <v>720841</v>
      </c>
      <c r="DB35" s="55">
        <v>723621</v>
      </c>
      <c r="DC35" s="55">
        <v>726959</v>
      </c>
      <c r="DD35" s="55">
        <v>730467</v>
      </c>
      <c r="DE35" s="56">
        <v>733227</v>
      </c>
      <c r="DF35" s="55">
        <v>736945</v>
      </c>
      <c r="DG35" s="55">
        <v>741028</v>
      </c>
      <c r="DH35" s="55">
        <v>750624</v>
      </c>
      <c r="DI35" s="55">
        <v>752482</v>
      </c>
      <c r="DJ35" s="55">
        <v>754801</v>
      </c>
      <c r="DK35" s="55">
        <v>757241</v>
      </c>
      <c r="DL35" s="55">
        <v>759589</v>
      </c>
      <c r="DM35" s="55">
        <v>762067</v>
      </c>
      <c r="DN35" s="55">
        <v>764659</v>
      </c>
      <c r="DO35" s="55">
        <v>767308</v>
      </c>
      <c r="DP35" s="55">
        <v>770134</v>
      </c>
      <c r="DQ35" s="56">
        <v>771994</v>
      </c>
      <c r="DR35" s="55">
        <v>774336</v>
      </c>
      <c r="DS35" s="55">
        <v>776552</v>
      </c>
      <c r="DT35" s="55">
        <v>778820</v>
      </c>
      <c r="DU35" s="55">
        <v>779149</v>
      </c>
      <c r="DV35" s="55">
        <v>779700</v>
      </c>
      <c r="DW35" s="55">
        <v>781080</v>
      </c>
      <c r="DX35" s="55">
        <v>783273</v>
      </c>
      <c r="DY35" s="55">
        <v>785509</v>
      </c>
      <c r="DZ35" s="55">
        <v>788339</v>
      </c>
      <c r="EA35" s="55">
        <v>791027</v>
      </c>
      <c r="EB35" s="55">
        <v>794008</v>
      </c>
      <c r="EC35" s="56">
        <v>796148</v>
      </c>
      <c r="ED35" s="55">
        <v>798734</v>
      </c>
      <c r="EE35" s="55">
        <v>801147</v>
      </c>
      <c r="EF35" s="55">
        <v>804404</v>
      </c>
      <c r="EG35" s="55">
        <v>807799</v>
      </c>
      <c r="EH35" s="55">
        <v>811242</v>
      </c>
      <c r="EI35" s="55">
        <v>814695</v>
      </c>
      <c r="EJ35" s="55">
        <v>817847</v>
      </c>
      <c r="EK35" s="55">
        <v>821275</v>
      </c>
      <c r="EL35" s="55">
        <v>825059</v>
      </c>
      <c r="EM35" s="55">
        <v>828580</v>
      </c>
      <c r="EN35" s="55">
        <v>833044</v>
      </c>
      <c r="EO35" s="56">
        <v>836328</v>
      </c>
      <c r="EP35" s="55">
        <v>840039</v>
      </c>
      <c r="EQ35" s="55">
        <v>844797</v>
      </c>
      <c r="ER35" s="55">
        <v>851063</v>
      </c>
      <c r="ES35" s="55">
        <v>856925</v>
      </c>
      <c r="ET35" s="55">
        <v>863175</v>
      </c>
      <c r="EU35" s="55">
        <v>869750</v>
      </c>
      <c r="EV35" s="55">
        <v>875623</v>
      </c>
      <c r="EW35" s="55">
        <v>882076</v>
      </c>
      <c r="EX35" s="55">
        <v>889656</v>
      </c>
      <c r="EY35" s="55">
        <v>896422</v>
      </c>
      <c r="EZ35" s="55">
        <v>903944</v>
      </c>
      <c r="FA35" s="56">
        <v>909551</v>
      </c>
      <c r="FB35" s="55">
        <v>916699</v>
      </c>
      <c r="FC35" s="55">
        <v>924460</v>
      </c>
      <c r="FD35" s="55">
        <v>933310</v>
      </c>
      <c r="FE35" s="55">
        <v>940213</v>
      </c>
      <c r="FF35" s="55">
        <v>947861</v>
      </c>
      <c r="FG35" s="55">
        <v>955964</v>
      </c>
      <c r="FH35" s="55">
        <v>962967</v>
      </c>
      <c r="FI35" s="55">
        <v>969883</v>
      </c>
      <c r="FJ35" s="39">
        <v>976862</v>
      </c>
      <c r="FK35" s="39">
        <v>983771</v>
      </c>
      <c r="FL35" s="39">
        <v>991276</v>
      </c>
      <c r="FM35" s="39">
        <v>995924</v>
      </c>
      <c r="FN35" s="77">
        <v>1002243</v>
      </c>
      <c r="FO35" s="39">
        <v>1009024</v>
      </c>
      <c r="FP35" s="39">
        <v>1016763</v>
      </c>
      <c r="FQ35" s="39">
        <v>1024297</v>
      </c>
      <c r="FR35" s="39">
        <v>1032492</v>
      </c>
      <c r="FS35" s="39">
        <v>1040965</v>
      </c>
      <c r="FT35" s="39">
        <v>1049526</v>
      </c>
      <c r="FU35" s="38">
        <v>1058102</v>
      </c>
      <c r="FV35" s="38">
        <v>1067902</v>
      </c>
      <c r="FW35" s="38">
        <v>1079698</v>
      </c>
      <c r="FX35" s="38">
        <v>1092970</v>
      </c>
      <c r="FY35" s="196">
        <v>1101525</v>
      </c>
      <c r="FZ35" s="38">
        <v>1112020</v>
      </c>
      <c r="GA35" s="38">
        <v>1124339</v>
      </c>
      <c r="GB35" s="38">
        <v>1139502</v>
      </c>
      <c r="GC35" s="38">
        <v>1151132</v>
      </c>
      <c r="GD35" s="38">
        <v>1164681</v>
      </c>
      <c r="GE35" s="38">
        <v>1178747</v>
      </c>
      <c r="GF35" s="38">
        <v>1191351</v>
      </c>
      <c r="GG35" s="38">
        <v>1202608</v>
      </c>
      <c r="GH35" s="38">
        <v>1216143</v>
      </c>
      <c r="GI35" s="38">
        <v>1231576</v>
      </c>
      <c r="GJ35" s="38">
        <v>1246040</v>
      </c>
      <c r="GK35" s="196">
        <v>1257386</v>
      </c>
      <c r="GL35" s="38">
        <v>1269242</v>
      </c>
      <c r="GM35" s="38">
        <v>1283689</v>
      </c>
      <c r="GN35" s="38">
        <v>1301924</v>
      </c>
      <c r="GO35" s="38">
        <v>1315033</v>
      </c>
      <c r="GP35" s="38">
        <v>1325411</v>
      </c>
    </row>
    <row r="36" spans="1:198" s="1" customFormat="1" ht="20.149999999999999" customHeight="1" x14ac:dyDescent="0.35">
      <c r="A36" s="31" t="s">
        <v>1626</v>
      </c>
      <c r="B36" s="55">
        <v>484</v>
      </c>
      <c r="C36" s="55">
        <v>514</v>
      </c>
      <c r="D36" s="55">
        <v>559</v>
      </c>
      <c r="E36" s="55">
        <v>589</v>
      </c>
      <c r="F36" s="55">
        <v>643</v>
      </c>
      <c r="G36" s="55">
        <v>704</v>
      </c>
      <c r="H36" s="55">
        <v>773</v>
      </c>
      <c r="I36" s="55">
        <v>840</v>
      </c>
      <c r="J36" s="55">
        <v>919</v>
      </c>
      <c r="K36" s="55">
        <v>1017</v>
      </c>
      <c r="L36" s="55">
        <v>1114</v>
      </c>
      <c r="M36" s="56">
        <v>1180</v>
      </c>
      <c r="N36" s="57">
        <v>1313</v>
      </c>
      <c r="O36" s="55">
        <v>1455</v>
      </c>
      <c r="P36" s="55">
        <v>1676</v>
      </c>
      <c r="Q36" s="55">
        <v>1979</v>
      </c>
      <c r="R36" s="55">
        <v>2339</v>
      </c>
      <c r="S36" s="55">
        <v>2779</v>
      </c>
      <c r="T36" s="55">
        <v>3408</v>
      </c>
      <c r="U36" s="55">
        <v>4515</v>
      </c>
      <c r="V36" s="55">
        <v>6119</v>
      </c>
      <c r="W36" s="55">
        <v>8216</v>
      </c>
      <c r="X36" s="55">
        <v>14505</v>
      </c>
      <c r="Y36" s="56">
        <v>19353</v>
      </c>
      <c r="Z36" s="57">
        <v>19826</v>
      </c>
      <c r="AA36" s="55">
        <v>25683</v>
      </c>
      <c r="AB36" s="55">
        <v>27665</v>
      </c>
      <c r="AC36" s="55">
        <v>28129</v>
      </c>
      <c r="AD36" s="55">
        <v>29681</v>
      </c>
      <c r="AE36" s="55">
        <v>32031</v>
      </c>
      <c r="AF36" s="55">
        <v>37899</v>
      </c>
      <c r="AG36" s="55">
        <v>38281</v>
      </c>
      <c r="AH36" s="55">
        <v>39124</v>
      </c>
      <c r="AI36" s="55">
        <v>41655</v>
      </c>
      <c r="AJ36" s="55">
        <v>42595</v>
      </c>
      <c r="AK36" s="56">
        <v>43720</v>
      </c>
      <c r="AL36" s="57">
        <v>44952</v>
      </c>
      <c r="AM36" s="55">
        <v>46451</v>
      </c>
      <c r="AN36" s="55">
        <v>48367</v>
      </c>
      <c r="AO36" s="55">
        <v>50598</v>
      </c>
      <c r="AP36" s="55">
        <v>53086</v>
      </c>
      <c r="AQ36" s="55">
        <v>57156</v>
      </c>
      <c r="AR36" s="55">
        <v>58875</v>
      </c>
      <c r="AS36" s="55">
        <v>61005</v>
      </c>
      <c r="AT36" s="55">
        <v>63446</v>
      </c>
      <c r="AU36" s="55">
        <v>66130</v>
      </c>
      <c r="AV36" s="55">
        <v>69352</v>
      </c>
      <c r="AW36" s="56">
        <v>72067</v>
      </c>
      <c r="AX36" s="55">
        <v>74575</v>
      </c>
      <c r="AY36" s="55">
        <v>77326</v>
      </c>
      <c r="AZ36" s="55">
        <v>82934</v>
      </c>
      <c r="BA36" s="55">
        <v>85465</v>
      </c>
      <c r="BB36" s="55">
        <v>88407</v>
      </c>
      <c r="BC36" s="55">
        <v>91760</v>
      </c>
      <c r="BD36" s="55">
        <v>95315</v>
      </c>
      <c r="BE36" s="55">
        <v>98670</v>
      </c>
      <c r="BF36" s="55">
        <v>102494</v>
      </c>
      <c r="BG36" s="55">
        <v>106577</v>
      </c>
      <c r="BH36" s="55">
        <v>110674</v>
      </c>
      <c r="BI36" s="56">
        <v>115166</v>
      </c>
      <c r="BJ36" s="55">
        <v>117212</v>
      </c>
      <c r="BK36" s="55">
        <v>119897</v>
      </c>
      <c r="BL36" s="55">
        <v>124742</v>
      </c>
      <c r="BM36" s="55">
        <v>127632</v>
      </c>
      <c r="BN36" s="55">
        <v>130911</v>
      </c>
      <c r="BO36" s="55">
        <v>135781</v>
      </c>
      <c r="BP36" s="55">
        <v>138707</v>
      </c>
      <c r="BQ36" s="55">
        <v>141712</v>
      </c>
      <c r="BR36" s="55">
        <v>146993</v>
      </c>
      <c r="BS36" s="55">
        <v>150878</v>
      </c>
      <c r="BT36" s="55">
        <v>155673</v>
      </c>
      <c r="BU36" s="56">
        <v>161662</v>
      </c>
      <c r="BV36" s="55">
        <v>164575</v>
      </c>
      <c r="BW36" s="55">
        <v>165008</v>
      </c>
      <c r="BX36" s="55">
        <v>165729</v>
      </c>
      <c r="BY36" s="55">
        <v>166320</v>
      </c>
      <c r="BZ36" s="55">
        <v>166912</v>
      </c>
      <c r="CA36" s="55">
        <v>167645</v>
      </c>
      <c r="CB36" s="55">
        <v>168215</v>
      </c>
      <c r="CC36" s="55">
        <v>168767</v>
      </c>
      <c r="CD36" s="55">
        <v>169426</v>
      </c>
      <c r="CE36" s="55">
        <v>169879</v>
      </c>
      <c r="CF36" s="55">
        <v>170381</v>
      </c>
      <c r="CG36" s="56">
        <v>170847</v>
      </c>
      <c r="CH36" s="55">
        <v>171214</v>
      </c>
      <c r="CI36" s="55">
        <v>171600</v>
      </c>
      <c r="CJ36" s="55">
        <v>172148</v>
      </c>
      <c r="CK36" s="55">
        <v>172542</v>
      </c>
      <c r="CL36" s="55">
        <v>173068</v>
      </c>
      <c r="CM36" s="55">
        <v>173677</v>
      </c>
      <c r="CN36" s="55">
        <v>174222</v>
      </c>
      <c r="CO36" s="55">
        <v>174727</v>
      </c>
      <c r="CP36" s="55">
        <v>175366</v>
      </c>
      <c r="CQ36" s="55">
        <v>175926</v>
      </c>
      <c r="CR36" s="55">
        <v>176521</v>
      </c>
      <c r="CS36" s="56">
        <v>177006</v>
      </c>
      <c r="CT36" s="55">
        <v>177434</v>
      </c>
      <c r="CU36" s="55">
        <v>177907</v>
      </c>
      <c r="CV36" s="55">
        <v>178550</v>
      </c>
      <c r="CW36" s="55">
        <v>179127</v>
      </c>
      <c r="CX36" s="55">
        <v>179787</v>
      </c>
      <c r="CY36" s="55">
        <v>180549</v>
      </c>
      <c r="CZ36" s="55">
        <v>181203</v>
      </c>
      <c r="DA36" s="55">
        <v>181892</v>
      </c>
      <c r="DB36" s="55">
        <v>182772</v>
      </c>
      <c r="DC36" s="55">
        <v>183589</v>
      </c>
      <c r="DD36" s="55">
        <v>184686</v>
      </c>
      <c r="DE36" s="56">
        <v>185700</v>
      </c>
      <c r="DF36" s="55">
        <v>186718</v>
      </c>
      <c r="DG36" s="55">
        <v>188255</v>
      </c>
      <c r="DH36" s="55">
        <v>192070</v>
      </c>
      <c r="DI36" s="55">
        <v>192219</v>
      </c>
      <c r="DJ36" s="55">
        <v>192470</v>
      </c>
      <c r="DK36" s="55">
        <v>192790</v>
      </c>
      <c r="DL36" s="55">
        <v>193243</v>
      </c>
      <c r="DM36" s="55">
        <v>193702</v>
      </c>
      <c r="DN36" s="55">
        <v>194343</v>
      </c>
      <c r="DO36" s="55">
        <v>195110</v>
      </c>
      <c r="DP36" s="55">
        <v>195768</v>
      </c>
      <c r="DQ36" s="56">
        <v>196288</v>
      </c>
      <c r="DR36" s="55">
        <v>196939</v>
      </c>
      <c r="DS36" s="55">
        <v>197608</v>
      </c>
      <c r="DT36" s="55">
        <v>198353</v>
      </c>
      <c r="DU36" s="55">
        <v>198635</v>
      </c>
      <c r="DV36" s="55">
        <v>199112</v>
      </c>
      <c r="DW36" s="55">
        <v>199988</v>
      </c>
      <c r="DX36" s="55">
        <v>200930</v>
      </c>
      <c r="DY36" s="55">
        <v>201791</v>
      </c>
      <c r="DZ36" s="55">
        <v>202888</v>
      </c>
      <c r="EA36" s="55">
        <v>204000</v>
      </c>
      <c r="EB36" s="55">
        <v>205161</v>
      </c>
      <c r="EC36" s="56">
        <v>206022</v>
      </c>
      <c r="ED36" s="55">
        <v>206930</v>
      </c>
      <c r="EE36" s="55">
        <v>207921</v>
      </c>
      <c r="EF36" s="55">
        <v>209385</v>
      </c>
      <c r="EG36" s="55">
        <v>210775</v>
      </c>
      <c r="EH36" s="55">
        <v>212168</v>
      </c>
      <c r="EI36" s="55">
        <v>213733</v>
      </c>
      <c r="EJ36" s="55">
        <v>215226</v>
      </c>
      <c r="EK36" s="55">
        <v>216586</v>
      </c>
      <c r="EL36" s="55">
        <v>218419</v>
      </c>
      <c r="EM36" s="55">
        <v>220196</v>
      </c>
      <c r="EN36" s="55">
        <v>222448</v>
      </c>
      <c r="EO36" s="56">
        <v>224127</v>
      </c>
      <c r="EP36" s="55">
        <v>226228</v>
      </c>
      <c r="EQ36" s="55">
        <v>228713</v>
      </c>
      <c r="ER36" s="55">
        <v>232126</v>
      </c>
      <c r="ES36" s="55">
        <v>235785</v>
      </c>
      <c r="ET36" s="55">
        <v>240244</v>
      </c>
      <c r="EU36" s="55">
        <v>244744</v>
      </c>
      <c r="EV36" s="55">
        <v>249691</v>
      </c>
      <c r="EW36" s="55">
        <v>255218</v>
      </c>
      <c r="EX36" s="55">
        <v>261712</v>
      </c>
      <c r="EY36" s="55">
        <v>268737</v>
      </c>
      <c r="EZ36" s="55">
        <v>276945</v>
      </c>
      <c r="FA36" s="56">
        <v>283258</v>
      </c>
      <c r="FB36" s="55">
        <v>292043</v>
      </c>
      <c r="FC36" s="55">
        <v>301253</v>
      </c>
      <c r="FD36" s="55">
        <v>311708</v>
      </c>
      <c r="FE36" s="55">
        <v>320153</v>
      </c>
      <c r="FF36" s="55">
        <v>329719</v>
      </c>
      <c r="FG36" s="55">
        <v>339189</v>
      </c>
      <c r="FH36" s="55">
        <v>347181</v>
      </c>
      <c r="FI36" s="55">
        <v>355461</v>
      </c>
      <c r="FJ36" s="39">
        <v>363310</v>
      </c>
      <c r="FK36" s="39">
        <v>371144</v>
      </c>
      <c r="FL36" s="39">
        <v>378859</v>
      </c>
      <c r="FM36" s="39">
        <v>383900</v>
      </c>
      <c r="FN36" s="77">
        <v>390059</v>
      </c>
      <c r="FO36" s="39">
        <v>396527</v>
      </c>
      <c r="FP36" s="39">
        <v>403086</v>
      </c>
      <c r="FQ36" s="39">
        <v>410139</v>
      </c>
      <c r="FR36" s="39">
        <v>417148</v>
      </c>
      <c r="FS36" s="39">
        <v>423475</v>
      </c>
      <c r="FT36" s="39">
        <v>430327</v>
      </c>
      <c r="FU36" s="39">
        <v>436345</v>
      </c>
      <c r="FV36" s="39">
        <v>442751</v>
      </c>
      <c r="FW36" s="39">
        <v>449958</v>
      </c>
      <c r="FX36" s="39">
        <v>456747</v>
      </c>
      <c r="FY36" s="197">
        <v>461636</v>
      </c>
      <c r="FZ36" s="39">
        <v>467784</v>
      </c>
      <c r="GA36" s="39">
        <v>474779</v>
      </c>
      <c r="GB36" s="39">
        <v>483028</v>
      </c>
      <c r="GC36" s="39">
        <v>490637</v>
      </c>
      <c r="GD36" s="39">
        <v>498910</v>
      </c>
      <c r="GE36" s="39">
        <v>507199</v>
      </c>
      <c r="GF36" s="39">
        <v>516152</v>
      </c>
      <c r="GG36" s="39">
        <v>524078</v>
      </c>
      <c r="GH36" s="39">
        <v>533091</v>
      </c>
      <c r="GI36" s="39">
        <v>542482</v>
      </c>
      <c r="GJ36" s="39">
        <v>550704</v>
      </c>
      <c r="GK36" s="197">
        <v>556710</v>
      </c>
      <c r="GL36" s="39">
        <v>563282</v>
      </c>
      <c r="GM36" s="39">
        <v>570444</v>
      </c>
      <c r="GN36" s="39">
        <v>578768</v>
      </c>
      <c r="GO36" s="39">
        <v>587174</v>
      </c>
      <c r="GP36" s="39">
        <v>593863</v>
      </c>
    </row>
    <row r="37" spans="1:198" s="1" customFormat="1" ht="20.149999999999999" customHeight="1" x14ac:dyDescent="0.35">
      <c r="A37" s="31" t="s">
        <v>1625</v>
      </c>
      <c r="B37" s="55">
        <v>139</v>
      </c>
      <c r="C37" s="55">
        <v>145</v>
      </c>
      <c r="D37" s="55">
        <v>161</v>
      </c>
      <c r="E37" s="55">
        <v>172</v>
      </c>
      <c r="F37" s="55">
        <v>190</v>
      </c>
      <c r="G37" s="55">
        <v>202</v>
      </c>
      <c r="H37" s="55">
        <v>211</v>
      </c>
      <c r="I37" s="55">
        <v>225</v>
      </c>
      <c r="J37" s="55">
        <v>252</v>
      </c>
      <c r="K37" s="55">
        <v>273</v>
      </c>
      <c r="L37" s="55">
        <v>298</v>
      </c>
      <c r="M37" s="56">
        <v>311</v>
      </c>
      <c r="N37" s="57">
        <v>338</v>
      </c>
      <c r="O37" s="55">
        <v>376</v>
      </c>
      <c r="P37" s="55">
        <v>415</v>
      </c>
      <c r="Q37" s="55">
        <v>463</v>
      </c>
      <c r="R37" s="55">
        <v>517</v>
      </c>
      <c r="S37" s="55">
        <v>572</v>
      </c>
      <c r="T37" s="55">
        <v>688</v>
      </c>
      <c r="U37" s="55">
        <v>799</v>
      </c>
      <c r="V37" s="55">
        <v>945</v>
      </c>
      <c r="W37" s="55">
        <v>1092</v>
      </c>
      <c r="X37" s="55">
        <v>1869</v>
      </c>
      <c r="Y37" s="56">
        <v>3345</v>
      </c>
      <c r="Z37" s="57">
        <v>3390</v>
      </c>
      <c r="AA37" s="55">
        <v>4565</v>
      </c>
      <c r="AB37" s="55">
        <v>5409</v>
      </c>
      <c r="AC37" s="55">
        <v>5478</v>
      </c>
      <c r="AD37" s="55">
        <v>5640</v>
      </c>
      <c r="AE37" s="55">
        <v>5954</v>
      </c>
      <c r="AF37" s="55">
        <v>7251</v>
      </c>
      <c r="AG37" s="55">
        <v>7312</v>
      </c>
      <c r="AH37" s="55">
        <v>7401</v>
      </c>
      <c r="AI37" s="55">
        <v>7702</v>
      </c>
      <c r="AJ37" s="55">
        <v>7806</v>
      </c>
      <c r="AK37" s="56">
        <v>7927</v>
      </c>
      <c r="AL37" s="57">
        <v>8066</v>
      </c>
      <c r="AM37" s="55">
        <v>8306</v>
      </c>
      <c r="AN37" s="55">
        <v>8637</v>
      </c>
      <c r="AO37" s="55">
        <v>8966</v>
      </c>
      <c r="AP37" s="55">
        <v>9268</v>
      </c>
      <c r="AQ37" s="55">
        <v>10004</v>
      </c>
      <c r="AR37" s="55">
        <v>10174</v>
      </c>
      <c r="AS37" s="55">
        <v>10426</v>
      </c>
      <c r="AT37" s="55">
        <v>10695</v>
      </c>
      <c r="AU37" s="55">
        <v>10935</v>
      </c>
      <c r="AV37" s="55">
        <v>11194</v>
      </c>
      <c r="AW37" s="56">
        <v>11454</v>
      </c>
      <c r="AX37" s="55">
        <v>11696</v>
      </c>
      <c r="AY37" s="55">
        <v>11933</v>
      </c>
      <c r="AZ37" s="55">
        <v>12791</v>
      </c>
      <c r="BA37" s="55">
        <v>12959</v>
      </c>
      <c r="BB37" s="55">
        <v>13190</v>
      </c>
      <c r="BC37" s="55">
        <v>13493</v>
      </c>
      <c r="BD37" s="55">
        <v>13785</v>
      </c>
      <c r="BE37" s="55">
        <v>14083</v>
      </c>
      <c r="BF37" s="55">
        <v>14422</v>
      </c>
      <c r="BG37" s="55">
        <v>14742</v>
      </c>
      <c r="BH37" s="55">
        <v>15075</v>
      </c>
      <c r="BI37" s="56">
        <v>15726</v>
      </c>
      <c r="BJ37" s="55">
        <v>15870</v>
      </c>
      <c r="BK37" s="55">
        <v>16142</v>
      </c>
      <c r="BL37" s="55">
        <v>16634</v>
      </c>
      <c r="BM37" s="55">
        <v>16906</v>
      </c>
      <c r="BN37" s="55">
        <v>17181</v>
      </c>
      <c r="BO37" s="55">
        <v>17645</v>
      </c>
      <c r="BP37" s="55">
        <v>18007</v>
      </c>
      <c r="BQ37" s="55">
        <v>18403</v>
      </c>
      <c r="BR37" s="55">
        <v>19256</v>
      </c>
      <c r="BS37" s="55">
        <v>19716</v>
      </c>
      <c r="BT37" s="55">
        <v>20442</v>
      </c>
      <c r="BU37" s="56">
        <v>22446</v>
      </c>
      <c r="BV37" s="55">
        <v>23388</v>
      </c>
      <c r="BW37" s="55">
        <v>23472</v>
      </c>
      <c r="BX37" s="55">
        <v>23660</v>
      </c>
      <c r="BY37" s="55">
        <v>23777</v>
      </c>
      <c r="BZ37" s="55">
        <v>23894</v>
      </c>
      <c r="CA37" s="55">
        <v>24059</v>
      </c>
      <c r="CB37" s="55">
        <v>24214</v>
      </c>
      <c r="CC37" s="55">
        <v>24415</v>
      </c>
      <c r="CD37" s="55">
        <v>24713</v>
      </c>
      <c r="CE37" s="55">
        <v>24841</v>
      </c>
      <c r="CF37" s="55">
        <v>24986</v>
      </c>
      <c r="CG37" s="56">
        <v>25167</v>
      </c>
      <c r="CH37" s="55">
        <v>25251</v>
      </c>
      <c r="CI37" s="55">
        <v>25351</v>
      </c>
      <c r="CJ37" s="55">
        <v>25554</v>
      </c>
      <c r="CK37" s="55">
        <v>25679</v>
      </c>
      <c r="CL37" s="55">
        <v>25830</v>
      </c>
      <c r="CM37" s="55">
        <v>26015</v>
      </c>
      <c r="CN37" s="55">
        <v>26171</v>
      </c>
      <c r="CO37" s="55">
        <v>26336</v>
      </c>
      <c r="CP37" s="55">
        <v>26535</v>
      </c>
      <c r="CQ37" s="55">
        <v>26699</v>
      </c>
      <c r="CR37" s="55">
        <v>26895</v>
      </c>
      <c r="CS37" s="56">
        <v>27051</v>
      </c>
      <c r="CT37" s="55">
        <v>27216</v>
      </c>
      <c r="CU37" s="55">
        <v>27374</v>
      </c>
      <c r="CV37" s="55">
        <v>27596</v>
      </c>
      <c r="CW37" s="55">
        <v>27736</v>
      </c>
      <c r="CX37" s="55">
        <v>27888</v>
      </c>
      <c r="CY37" s="55">
        <v>28083</v>
      </c>
      <c r="CZ37" s="55">
        <v>28266</v>
      </c>
      <c r="DA37" s="55">
        <v>28473</v>
      </c>
      <c r="DB37" s="55">
        <v>28655</v>
      </c>
      <c r="DC37" s="55">
        <v>28871</v>
      </c>
      <c r="DD37" s="55">
        <v>29084</v>
      </c>
      <c r="DE37" s="56">
        <v>29313</v>
      </c>
      <c r="DF37" s="55">
        <v>29582</v>
      </c>
      <c r="DG37" s="55">
        <v>29985</v>
      </c>
      <c r="DH37" s="55">
        <v>31580</v>
      </c>
      <c r="DI37" s="55">
        <v>31651</v>
      </c>
      <c r="DJ37" s="55">
        <v>31720</v>
      </c>
      <c r="DK37" s="55">
        <v>31816</v>
      </c>
      <c r="DL37" s="55">
        <v>31924</v>
      </c>
      <c r="DM37" s="55">
        <v>32061</v>
      </c>
      <c r="DN37" s="55">
        <v>32197</v>
      </c>
      <c r="DO37" s="55">
        <v>32336</v>
      </c>
      <c r="DP37" s="55">
        <v>32490</v>
      </c>
      <c r="DQ37" s="56">
        <v>32601</v>
      </c>
      <c r="DR37" s="55">
        <v>32759</v>
      </c>
      <c r="DS37" s="55">
        <v>32919</v>
      </c>
      <c r="DT37" s="55">
        <v>33134</v>
      </c>
      <c r="DU37" s="55">
        <v>33185</v>
      </c>
      <c r="DV37" s="55">
        <v>33236</v>
      </c>
      <c r="DW37" s="55">
        <v>33359</v>
      </c>
      <c r="DX37" s="55">
        <v>33504</v>
      </c>
      <c r="DY37" s="55">
        <v>33618</v>
      </c>
      <c r="DZ37" s="55">
        <v>33789</v>
      </c>
      <c r="EA37" s="55">
        <v>33963</v>
      </c>
      <c r="EB37" s="55">
        <v>34152</v>
      </c>
      <c r="EC37" s="56">
        <v>34291</v>
      </c>
      <c r="ED37" s="55">
        <v>34431</v>
      </c>
      <c r="EE37" s="55">
        <v>34593</v>
      </c>
      <c r="EF37" s="55">
        <v>34822</v>
      </c>
      <c r="EG37" s="55">
        <v>35003</v>
      </c>
      <c r="EH37" s="55">
        <v>35181</v>
      </c>
      <c r="EI37" s="55">
        <v>35348</v>
      </c>
      <c r="EJ37" s="55">
        <v>35572</v>
      </c>
      <c r="EK37" s="55">
        <v>35820</v>
      </c>
      <c r="EL37" s="55">
        <v>36058</v>
      </c>
      <c r="EM37" s="55">
        <v>36305</v>
      </c>
      <c r="EN37" s="55">
        <v>36608</v>
      </c>
      <c r="EO37" s="56">
        <v>36774</v>
      </c>
      <c r="EP37" s="55">
        <v>36997</v>
      </c>
      <c r="EQ37" s="55">
        <v>37239</v>
      </c>
      <c r="ER37" s="55">
        <v>37610</v>
      </c>
      <c r="ES37" s="55">
        <v>37889</v>
      </c>
      <c r="ET37" s="55">
        <v>38261</v>
      </c>
      <c r="EU37" s="55">
        <v>38610</v>
      </c>
      <c r="EV37" s="55">
        <v>38975</v>
      </c>
      <c r="EW37" s="55">
        <v>39365</v>
      </c>
      <c r="EX37" s="55">
        <v>39774</v>
      </c>
      <c r="EY37" s="55">
        <v>40212</v>
      </c>
      <c r="EZ37" s="55">
        <v>40740</v>
      </c>
      <c r="FA37" s="56">
        <v>41145</v>
      </c>
      <c r="FB37" s="55">
        <v>41680</v>
      </c>
      <c r="FC37" s="55">
        <v>42383</v>
      </c>
      <c r="FD37" s="55">
        <v>43187</v>
      </c>
      <c r="FE37" s="55">
        <v>43904</v>
      </c>
      <c r="FF37" s="55">
        <v>44806</v>
      </c>
      <c r="FG37" s="55">
        <v>45787</v>
      </c>
      <c r="FH37" s="55">
        <v>46635</v>
      </c>
      <c r="FI37" s="55">
        <v>47470</v>
      </c>
      <c r="FJ37" s="39">
        <v>48391</v>
      </c>
      <c r="FK37" s="39">
        <v>49199</v>
      </c>
      <c r="FL37" s="39">
        <v>50023</v>
      </c>
      <c r="FM37" s="39">
        <v>50542</v>
      </c>
      <c r="FN37" s="77">
        <v>51298</v>
      </c>
      <c r="FO37" s="39">
        <v>51974</v>
      </c>
      <c r="FP37" s="39">
        <v>52747</v>
      </c>
      <c r="FQ37" s="39">
        <v>53550</v>
      </c>
      <c r="FR37" s="39">
        <v>54495</v>
      </c>
      <c r="FS37" s="39">
        <v>55379</v>
      </c>
      <c r="FT37" s="39">
        <v>56343</v>
      </c>
      <c r="FU37" s="39">
        <v>57258</v>
      </c>
      <c r="FV37" s="39">
        <v>58145</v>
      </c>
      <c r="FW37" s="39">
        <v>59089</v>
      </c>
      <c r="FX37" s="39">
        <v>60056</v>
      </c>
      <c r="FY37" s="197">
        <v>60737</v>
      </c>
      <c r="FZ37" s="39">
        <v>61679</v>
      </c>
      <c r="GA37" s="39">
        <v>62769</v>
      </c>
      <c r="GB37" s="39">
        <v>63989</v>
      </c>
      <c r="GC37" s="39">
        <v>65184</v>
      </c>
      <c r="GD37" s="39">
        <v>66518</v>
      </c>
      <c r="GE37" s="39">
        <v>67806</v>
      </c>
      <c r="GF37" s="39">
        <v>69193</v>
      </c>
      <c r="GG37" s="39">
        <v>70447</v>
      </c>
      <c r="GH37" s="39">
        <v>71884</v>
      </c>
      <c r="GI37" s="39">
        <v>73289</v>
      </c>
      <c r="GJ37" s="39">
        <v>74527</v>
      </c>
      <c r="GK37" s="197">
        <v>75624</v>
      </c>
      <c r="GL37" s="39">
        <v>76850</v>
      </c>
      <c r="GM37" s="39">
        <v>78221</v>
      </c>
      <c r="GN37" s="39">
        <v>79936</v>
      </c>
      <c r="GO37" s="39">
        <v>81607</v>
      </c>
      <c r="GP37" s="39">
        <v>82866</v>
      </c>
    </row>
    <row r="38" spans="1:198" s="1" customFormat="1" ht="20.149999999999999" customHeight="1" x14ac:dyDescent="0.35">
      <c r="A38" s="31" t="s">
        <v>1627</v>
      </c>
      <c r="B38" s="55">
        <v>17</v>
      </c>
      <c r="C38" s="55">
        <v>17</v>
      </c>
      <c r="D38" s="55">
        <v>17</v>
      </c>
      <c r="E38" s="55">
        <v>17</v>
      </c>
      <c r="F38" s="55">
        <v>19</v>
      </c>
      <c r="G38" s="55">
        <v>21</v>
      </c>
      <c r="H38" s="55">
        <v>23</v>
      </c>
      <c r="I38" s="55">
        <v>23</v>
      </c>
      <c r="J38" s="55">
        <v>23</v>
      </c>
      <c r="K38" s="55">
        <v>27</v>
      </c>
      <c r="L38" s="55">
        <v>28</v>
      </c>
      <c r="M38" s="56">
        <v>30</v>
      </c>
      <c r="N38" s="57">
        <v>30</v>
      </c>
      <c r="O38" s="55">
        <v>33</v>
      </c>
      <c r="P38" s="55">
        <v>36</v>
      </c>
      <c r="Q38" s="55">
        <v>45</v>
      </c>
      <c r="R38" s="55">
        <v>57</v>
      </c>
      <c r="S38" s="55">
        <v>93</v>
      </c>
      <c r="T38" s="55">
        <v>304</v>
      </c>
      <c r="U38" s="55">
        <v>309</v>
      </c>
      <c r="V38" s="55">
        <v>325</v>
      </c>
      <c r="W38" s="55">
        <v>353</v>
      </c>
      <c r="X38" s="55">
        <v>371</v>
      </c>
      <c r="Y38" s="56">
        <v>430</v>
      </c>
      <c r="Z38" s="57">
        <v>432</v>
      </c>
      <c r="AA38" s="55">
        <v>496</v>
      </c>
      <c r="AB38" s="55">
        <v>544</v>
      </c>
      <c r="AC38" s="55">
        <v>550</v>
      </c>
      <c r="AD38" s="55">
        <v>564</v>
      </c>
      <c r="AE38" s="55">
        <v>600</v>
      </c>
      <c r="AF38" s="55">
        <v>811</v>
      </c>
      <c r="AG38" s="55">
        <v>832</v>
      </c>
      <c r="AH38" s="55">
        <v>849</v>
      </c>
      <c r="AI38" s="55">
        <v>895</v>
      </c>
      <c r="AJ38" s="55">
        <v>912</v>
      </c>
      <c r="AK38" s="56">
        <v>933</v>
      </c>
      <c r="AL38" s="57">
        <v>955</v>
      </c>
      <c r="AM38" s="55">
        <v>984</v>
      </c>
      <c r="AN38" s="55">
        <v>1050</v>
      </c>
      <c r="AO38" s="55">
        <v>1168</v>
      </c>
      <c r="AP38" s="55">
        <v>1226</v>
      </c>
      <c r="AQ38" s="55">
        <v>1344</v>
      </c>
      <c r="AR38" s="55">
        <v>1405</v>
      </c>
      <c r="AS38" s="55">
        <v>1480</v>
      </c>
      <c r="AT38" s="55">
        <v>1541</v>
      </c>
      <c r="AU38" s="55">
        <v>1589</v>
      </c>
      <c r="AV38" s="55">
        <v>1658</v>
      </c>
      <c r="AW38" s="56">
        <v>1765</v>
      </c>
      <c r="AX38" s="55">
        <v>1810</v>
      </c>
      <c r="AY38" s="55">
        <v>1873</v>
      </c>
      <c r="AZ38" s="55">
        <v>2067</v>
      </c>
      <c r="BA38" s="55">
        <v>2102</v>
      </c>
      <c r="BB38" s="55">
        <v>2154</v>
      </c>
      <c r="BC38" s="55">
        <v>2294</v>
      </c>
      <c r="BD38" s="55">
        <v>2372</v>
      </c>
      <c r="BE38" s="55">
        <v>2444</v>
      </c>
      <c r="BF38" s="55">
        <v>2566</v>
      </c>
      <c r="BG38" s="55">
        <v>2681</v>
      </c>
      <c r="BH38" s="55">
        <v>2788</v>
      </c>
      <c r="BI38" s="56">
        <v>2945</v>
      </c>
      <c r="BJ38" s="55">
        <v>3013</v>
      </c>
      <c r="BK38" s="55">
        <v>3075</v>
      </c>
      <c r="BL38" s="55">
        <v>3326</v>
      </c>
      <c r="BM38" s="55">
        <v>3402</v>
      </c>
      <c r="BN38" s="55">
        <v>3484</v>
      </c>
      <c r="BO38" s="55">
        <v>3707</v>
      </c>
      <c r="BP38" s="55">
        <v>3814</v>
      </c>
      <c r="BQ38" s="55">
        <v>3926</v>
      </c>
      <c r="BR38" s="55">
        <v>4126</v>
      </c>
      <c r="BS38" s="55">
        <v>4286</v>
      </c>
      <c r="BT38" s="55">
        <v>4522</v>
      </c>
      <c r="BU38" s="56">
        <v>5178</v>
      </c>
      <c r="BV38" s="55">
        <v>5382</v>
      </c>
      <c r="BW38" s="55">
        <v>5440</v>
      </c>
      <c r="BX38" s="55">
        <v>5677</v>
      </c>
      <c r="BY38" s="55">
        <v>5703</v>
      </c>
      <c r="BZ38" s="55">
        <v>5737</v>
      </c>
      <c r="CA38" s="55">
        <v>5797</v>
      </c>
      <c r="CB38" s="55">
        <v>5814</v>
      </c>
      <c r="CC38" s="55">
        <v>5840</v>
      </c>
      <c r="CD38" s="55">
        <v>5881</v>
      </c>
      <c r="CE38" s="55">
        <v>5909</v>
      </c>
      <c r="CF38" s="55">
        <v>5932</v>
      </c>
      <c r="CG38" s="56">
        <v>5971</v>
      </c>
      <c r="CH38" s="55">
        <v>5977</v>
      </c>
      <c r="CI38" s="55">
        <v>6000</v>
      </c>
      <c r="CJ38" s="55">
        <v>6105</v>
      </c>
      <c r="CK38" s="55">
        <v>6125</v>
      </c>
      <c r="CL38" s="55">
        <v>6138</v>
      </c>
      <c r="CM38" s="55">
        <v>6161</v>
      </c>
      <c r="CN38" s="55">
        <v>6179</v>
      </c>
      <c r="CO38" s="55">
        <v>6203</v>
      </c>
      <c r="CP38" s="55">
        <v>6227</v>
      </c>
      <c r="CQ38" s="55">
        <v>6242</v>
      </c>
      <c r="CR38" s="55">
        <v>6260</v>
      </c>
      <c r="CS38" s="56">
        <v>6268</v>
      </c>
      <c r="CT38" s="55">
        <v>6278</v>
      </c>
      <c r="CU38" s="55">
        <v>6286</v>
      </c>
      <c r="CV38" s="55">
        <v>6301</v>
      </c>
      <c r="CW38" s="55">
        <v>6315</v>
      </c>
      <c r="CX38" s="55">
        <v>6328</v>
      </c>
      <c r="CY38" s="55">
        <v>6339</v>
      </c>
      <c r="CZ38" s="55">
        <v>6350</v>
      </c>
      <c r="DA38" s="55">
        <v>6370</v>
      </c>
      <c r="DB38" s="55">
        <v>6387</v>
      </c>
      <c r="DC38" s="55">
        <v>6399</v>
      </c>
      <c r="DD38" s="55">
        <v>6425</v>
      </c>
      <c r="DE38" s="56">
        <v>6455</v>
      </c>
      <c r="DF38" s="55">
        <v>6466</v>
      </c>
      <c r="DG38" s="55">
        <v>6480</v>
      </c>
      <c r="DH38" s="55">
        <v>6516</v>
      </c>
      <c r="DI38" s="55">
        <v>6532</v>
      </c>
      <c r="DJ38" s="55">
        <v>6538</v>
      </c>
      <c r="DK38" s="55">
        <v>6547</v>
      </c>
      <c r="DL38" s="55">
        <v>6557</v>
      </c>
      <c r="DM38" s="55">
        <v>6572</v>
      </c>
      <c r="DN38" s="55">
        <v>6587</v>
      </c>
      <c r="DO38" s="55">
        <v>6597</v>
      </c>
      <c r="DP38" s="55">
        <v>6602</v>
      </c>
      <c r="DQ38" s="56">
        <v>6608</v>
      </c>
      <c r="DR38" s="55">
        <v>6618</v>
      </c>
      <c r="DS38" s="55">
        <v>6623</v>
      </c>
      <c r="DT38" s="55">
        <v>6640</v>
      </c>
      <c r="DU38" s="55">
        <v>6648</v>
      </c>
      <c r="DV38" s="55">
        <v>6651</v>
      </c>
      <c r="DW38" s="55">
        <v>6654</v>
      </c>
      <c r="DX38" s="55">
        <v>6661</v>
      </c>
      <c r="DY38" s="55">
        <v>6673</v>
      </c>
      <c r="DZ38" s="55">
        <v>6683</v>
      </c>
      <c r="EA38" s="55">
        <v>6687</v>
      </c>
      <c r="EB38" s="55">
        <v>6691</v>
      </c>
      <c r="EC38" s="56">
        <v>6700</v>
      </c>
      <c r="ED38" s="55">
        <v>6706</v>
      </c>
      <c r="EE38" s="55">
        <v>6711</v>
      </c>
      <c r="EF38" s="55">
        <v>6719</v>
      </c>
      <c r="EG38" s="55">
        <v>6725</v>
      </c>
      <c r="EH38" s="55">
        <v>6731</v>
      </c>
      <c r="EI38" s="55">
        <v>6740</v>
      </c>
      <c r="EJ38" s="55">
        <v>6751</v>
      </c>
      <c r="EK38" s="55">
        <v>6758</v>
      </c>
      <c r="EL38" s="55">
        <v>6775</v>
      </c>
      <c r="EM38" s="55">
        <v>6789</v>
      </c>
      <c r="EN38" s="55">
        <v>6805</v>
      </c>
      <c r="EO38" s="56">
        <v>6819</v>
      </c>
      <c r="EP38" s="55">
        <v>6837</v>
      </c>
      <c r="EQ38" s="55">
        <v>6851</v>
      </c>
      <c r="ER38" s="55">
        <v>6870</v>
      </c>
      <c r="ES38" s="55">
        <v>6887</v>
      </c>
      <c r="ET38" s="55">
        <v>6907</v>
      </c>
      <c r="EU38" s="55">
        <v>6929</v>
      </c>
      <c r="EV38" s="55">
        <v>6943</v>
      </c>
      <c r="EW38" s="55">
        <v>6956</v>
      </c>
      <c r="EX38" s="55">
        <v>6974</v>
      </c>
      <c r="EY38" s="55">
        <v>7003</v>
      </c>
      <c r="EZ38" s="55">
        <v>7028</v>
      </c>
      <c r="FA38" s="56">
        <v>7048</v>
      </c>
      <c r="FB38" s="55">
        <v>7076</v>
      </c>
      <c r="FC38" s="55">
        <v>7105</v>
      </c>
      <c r="FD38" s="55">
        <v>7163</v>
      </c>
      <c r="FE38" s="55">
        <v>7202</v>
      </c>
      <c r="FF38" s="55">
        <v>7254</v>
      </c>
      <c r="FG38" s="55">
        <v>7314</v>
      </c>
      <c r="FH38" s="55">
        <v>7359</v>
      </c>
      <c r="FI38" s="55">
        <v>7410</v>
      </c>
      <c r="FJ38" s="39">
        <v>7457</v>
      </c>
      <c r="FK38" s="39">
        <v>7500</v>
      </c>
      <c r="FL38" s="39">
        <v>7541</v>
      </c>
      <c r="FM38" s="39">
        <v>7565</v>
      </c>
      <c r="FN38" s="77">
        <v>7599</v>
      </c>
      <c r="FO38" s="39">
        <v>7636</v>
      </c>
      <c r="FP38" s="39">
        <v>7676</v>
      </c>
      <c r="FQ38" s="39">
        <v>7718</v>
      </c>
      <c r="FR38" s="39">
        <v>7762</v>
      </c>
      <c r="FS38" s="39">
        <v>7794</v>
      </c>
      <c r="FT38" s="39">
        <v>7840</v>
      </c>
      <c r="FU38" s="39">
        <v>7877</v>
      </c>
      <c r="FV38" s="39">
        <v>7900</v>
      </c>
      <c r="FW38" s="39">
        <v>7930</v>
      </c>
      <c r="FX38" s="39">
        <v>7969</v>
      </c>
      <c r="FY38" s="197">
        <v>7989</v>
      </c>
      <c r="FZ38" s="39">
        <v>8013</v>
      </c>
      <c r="GA38" s="39">
        <v>8048</v>
      </c>
      <c r="GB38" s="39">
        <v>8076</v>
      </c>
      <c r="GC38" s="39">
        <v>8105</v>
      </c>
      <c r="GD38" s="39">
        <v>8157</v>
      </c>
      <c r="GE38" s="39">
        <v>8196</v>
      </c>
      <c r="GF38" s="39">
        <v>8249</v>
      </c>
      <c r="GG38" s="39">
        <v>8289</v>
      </c>
      <c r="GH38" s="39">
        <v>8335</v>
      </c>
      <c r="GI38" s="39">
        <v>8388</v>
      </c>
      <c r="GJ38" s="39">
        <v>8423</v>
      </c>
      <c r="GK38" s="197">
        <v>8456</v>
      </c>
      <c r="GL38" s="39">
        <v>8478</v>
      </c>
      <c r="GM38" s="39">
        <v>8510</v>
      </c>
      <c r="GN38" s="39">
        <v>8548</v>
      </c>
      <c r="GO38" s="39">
        <v>8577</v>
      </c>
      <c r="GP38" s="39">
        <v>8592</v>
      </c>
    </row>
    <row r="39" spans="1:198" s="1" customFormat="1" ht="20.149999999999999" customHeight="1" x14ac:dyDescent="0.35">
      <c r="A39" s="31" t="s">
        <v>1624</v>
      </c>
      <c r="B39" s="55">
        <v>0</v>
      </c>
      <c r="C39" s="55">
        <v>0</v>
      </c>
      <c r="D39" s="55">
        <v>0</v>
      </c>
      <c r="E39" s="55">
        <v>0</v>
      </c>
      <c r="F39" s="55">
        <v>0</v>
      </c>
      <c r="G39" s="55">
        <v>0</v>
      </c>
      <c r="H39" s="55">
        <v>0</v>
      </c>
      <c r="I39" s="55">
        <v>0</v>
      </c>
      <c r="J39" s="55">
        <v>0</v>
      </c>
      <c r="K39" s="55">
        <v>0</v>
      </c>
      <c r="L39" s="55">
        <v>0</v>
      </c>
      <c r="M39" s="56">
        <v>0</v>
      </c>
      <c r="N39" s="57">
        <v>0</v>
      </c>
      <c r="O39" s="55">
        <v>0</v>
      </c>
      <c r="P39" s="55">
        <v>0</v>
      </c>
      <c r="Q39" s="55">
        <v>0</v>
      </c>
      <c r="R39" s="55">
        <v>0</v>
      </c>
      <c r="S39" s="55">
        <v>0</v>
      </c>
      <c r="T39" s="55">
        <v>0</v>
      </c>
      <c r="U39" s="55">
        <v>0</v>
      </c>
      <c r="V39" s="55">
        <v>0</v>
      </c>
      <c r="W39" s="55">
        <v>0</v>
      </c>
      <c r="X39" s="55">
        <v>0</v>
      </c>
      <c r="Y39" s="56">
        <v>0</v>
      </c>
      <c r="Z39" s="57">
        <v>1</v>
      </c>
      <c r="AA39" s="55">
        <v>1</v>
      </c>
      <c r="AB39" s="55">
        <v>1</v>
      </c>
      <c r="AC39" s="55">
        <v>1</v>
      </c>
      <c r="AD39" s="55">
        <v>1</v>
      </c>
      <c r="AE39" s="55">
        <v>1</v>
      </c>
      <c r="AF39" s="55">
        <v>1</v>
      </c>
      <c r="AG39" s="55">
        <v>1</v>
      </c>
      <c r="AH39" s="55">
        <v>1</v>
      </c>
      <c r="AI39" s="55">
        <v>1</v>
      </c>
      <c r="AJ39" s="55">
        <v>1</v>
      </c>
      <c r="AK39" s="56">
        <v>1</v>
      </c>
      <c r="AL39" s="57">
        <v>1</v>
      </c>
      <c r="AM39" s="55">
        <v>7</v>
      </c>
      <c r="AN39" s="55">
        <v>41</v>
      </c>
      <c r="AO39" s="55">
        <v>41</v>
      </c>
      <c r="AP39" s="55">
        <v>44</v>
      </c>
      <c r="AQ39" s="55">
        <v>51</v>
      </c>
      <c r="AR39" s="55">
        <v>51</v>
      </c>
      <c r="AS39" s="55">
        <v>54</v>
      </c>
      <c r="AT39" s="55">
        <v>54</v>
      </c>
      <c r="AU39" s="55">
        <v>54</v>
      </c>
      <c r="AV39" s="55">
        <v>58</v>
      </c>
      <c r="AW39" s="56">
        <v>60</v>
      </c>
      <c r="AX39" s="55">
        <v>68</v>
      </c>
      <c r="AY39" s="55">
        <v>72</v>
      </c>
      <c r="AZ39" s="55">
        <v>144</v>
      </c>
      <c r="BA39" s="55">
        <v>145</v>
      </c>
      <c r="BB39" s="55">
        <v>149</v>
      </c>
      <c r="BC39" s="55">
        <v>154</v>
      </c>
      <c r="BD39" s="55">
        <v>161</v>
      </c>
      <c r="BE39" s="55">
        <v>162</v>
      </c>
      <c r="BF39" s="55">
        <v>170</v>
      </c>
      <c r="BG39" s="55">
        <v>175</v>
      </c>
      <c r="BH39" s="55">
        <v>181</v>
      </c>
      <c r="BI39" s="56">
        <v>190</v>
      </c>
      <c r="BJ39" s="55">
        <v>196</v>
      </c>
      <c r="BK39" s="55">
        <v>206</v>
      </c>
      <c r="BL39" s="55">
        <v>337</v>
      </c>
      <c r="BM39" s="55">
        <v>337</v>
      </c>
      <c r="BN39" s="55">
        <v>337</v>
      </c>
      <c r="BO39" s="55">
        <v>338</v>
      </c>
      <c r="BP39" s="55">
        <v>339</v>
      </c>
      <c r="BQ39" s="55">
        <v>343</v>
      </c>
      <c r="BR39" s="55">
        <v>343</v>
      </c>
      <c r="BS39" s="55">
        <v>346</v>
      </c>
      <c r="BT39" s="55">
        <v>350</v>
      </c>
      <c r="BU39" s="56">
        <v>358</v>
      </c>
      <c r="BV39" s="55">
        <v>362</v>
      </c>
      <c r="BW39" s="55">
        <v>364</v>
      </c>
      <c r="BX39" s="55">
        <v>389</v>
      </c>
      <c r="BY39" s="55">
        <v>390</v>
      </c>
      <c r="BZ39" s="55">
        <v>390</v>
      </c>
      <c r="CA39" s="55">
        <v>397</v>
      </c>
      <c r="CB39" s="55">
        <v>398</v>
      </c>
      <c r="CC39" s="55">
        <v>400</v>
      </c>
      <c r="CD39" s="55">
        <v>400</v>
      </c>
      <c r="CE39" s="55">
        <v>401</v>
      </c>
      <c r="CF39" s="55">
        <v>401</v>
      </c>
      <c r="CG39" s="56">
        <v>406</v>
      </c>
      <c r="CH39" s="55">
        <v>409</v>
      </c>
      <c r="CI39" s="55">
        <v>410</v>
      </c>
      <c r="CJ39" s="55">
        <v>426</v>
      </c>
      <c r="CK39" s="55">
        <v>426</v>
      </c>
      <c r="CL39" s="55">
        <v>426</v>
      </c>
      <c r="CM39" s="55">
        <v>426</v>
      </c>
      <c r="CN39" s="55">
        <v>427</v>
      </c>
      <c r="CO39" s="55">
        <v>427</v>
      </c>
      <c r="CP39" s="55">
        <v>427</v>
      </c>
      <c r="CQ39" s="55">
        <v>428</v>
      </c>
      <c r="CR39" s="55">
        <v>428</v>
      </c>
      <c r="CS39" s="56">
        <v>428</v>
      </c>
      <c r="CT39" s="55">
        <v>428</v>
      </c>
      <c r="CU39" s="55">
        <v>428</v>
      </c>
      <c r="CV39" s="55">
        <v>428</v>
      </c>
      <c r="CW39" s="55">
        <v>428</v>
      </c>
      <c r="CX39" s="55">
        <v>428</v>
      </c>
      <c r="CY39" s="55">
        <v>428</v>
      </c>
      <c r="CZ39" s="55">
        <v>428</v>
      </c>
      <c r="DA39" s="55">
        <v>428</v>
      </c>
      <c r="DB39" s="55">
        <v>428</v>
      </c>
      <c r="DC39" s="55">
        <v>429</v>
      </c>
      <c r="DD39" s="55">
        <v>429</v>
      </c>
      <c r="DE39" s="56">
        <v>430</v>
      </c>
      <c r="DF39" s="55">
        <v>430</v>
      </c>
      <c r="DG39" s="55">
        <v>430</v>
      </c>
      <c r="DH39" s="55">
        <v>430</v>
      </c>
      <c r="DI39" s="55">
        <v>430</v>
      </c>
      <c r="DJ39" s="55">
        <v>430</v>
      </c>
      <c r="DK39" s="55">
        <v>430</v>
      </c>
      <c r="DL39" s="55">
        <v>431</v>
      </c>
      <c r="DM39" s="55">
        <v>431</v>
      </c>
      <c r="DN39" s="55">
        <v>431</v>
      </c>
      <c r="DO39" s="55">
        <v>431</v>
      </c>
      <c r="DP39" s="55">
        <v>431</v>
      </c>
      <c r="DQ39" s="56">
        <v>431</v>
      </c>
      <c r="DR39" s="55">
        <v>433</v>
      </c>
      <c r="DS39" s="55">
        <v>434</v>
      </c>
      <c r="DT39" s="55">
        <v>434</v>
      </c>
      <c r="DU39" s="55">
        <v>434</v>
      </c>
      <c r="DV39" s="55">
        <v>435</v>
      </c>
      <c r="DW39" s="55">
        <v>435</v>
      </c>
      <c r="DX39" s="55">
        <v>435</v>
      </c>
      <c r="DY39" s="55">
        <v>436</v>
      </c>
      <c r="DZ39" s="55">
        <v>436</v>
      </c>
      <c r="EA39" s="55">
        <v>436</v>
      </c>
      <c r="EB39" s="55">
        <v>436</v>
      </c>
      <c r="EC39" s="56">
        <v>437</v>
      </c>
      <c r="ED39" s="55">
        <v>438</v>
      </c>
      <c r="EE39" s="55">
        <v>438</v>
      </c>
      <c r="EF39" s="55">
        <v>439</v>
      </c>
      <c r="EG39" s="55">
        <v>439</v>
      </c>
      <c r="EH39" s="55">
        <v>440</v>
      </c>
      <c r="EI39" s="55">
        <v>442</v>
      </c>
      <c r="EJ39" s="55">
        <v>442</v>
      </c>
      <c r="EK39" s="55">
        <v>442</v>
      </c>
      <c r="EL39" s="55">
        <v>442</v>
      </c>
      <c r="EM39" s="55">
        <v>442</v>
      </c>
      <c r="EN39" s="55">
        <v>442</v>
      </c>
      <c r="EO39" s="56">
        <v>442</v>
      </c>
      <c r="EP39" s="55">
        <v>445</v>
      </c>
      <c r="EQ39" s="55">
        <v>445</v>
      </c>
      <c r="ER39" s="55">
        <v>445</v>
      </c>
      <c r="ES39" s="55">
        <v>445</v>
      </c>
      <c r="ET39" s="55">
        <v>446</v>
      </c>
      <c r="EU39" s="55">
        <v>446</v>
      </c>
      <c r="EV39" s="55">
        <v>447</v>
      </c>
      <c r="EW39" s="55">
        <v>447</v>
      </c>
      <c r="EX39" s="55">
        <v>448</v>
      </c>
      <c r="EY39" s="55">
        <v>450</v>
      </c>
      <c r="EZ39" s="55">
        <v>450</v>
      </c>
      <c r="FA39" s="56">
        <v>452</v>
      </c>
      <c r="FB39" s="55">
        <v>461</v>
      </c>
      <c r="FC39" s="55">
        <v>464</v>
      </c>
      <c r="FD39" s="55">
        <v>466</v>
      </c>
      <c r="FE39" s="55">
        <v>467</v>
      </c>
      <c r="FF39" s="55">
        <v>468</v>
      </c>
      <c r="FG39" s="55">
        <v>469</v>
      </c>
      <c r="FH39" s="55">
        <v>469</v>
      </c>
      <c r="FI39" s="55">
        <v>469</v>
      </c>
      <c r="FJ39" s="39">
        <v>470</v>
      </c>
      <c r="FK39" s="39">
        <v>473</v>
      </c>
      <c r="FL39" s="39">
        <v>475</v>
      </c>
      <c r="FM39" s="39">
        <v>475</v>
      </c>
      <c r="FN39" s="77">
        <v>477</v>
      </c>
      <c r="FO39" s="39">
        <v>477</v>
      </c>
      <c r="FP39" s="39">
        <v>480</v>
      </c>
      <c r="FQ39" s="39">
        <v>480</v>
      </c>
      <c r="FR39" s="39">
        <v>480</v>
      </c>
      <c r="FS39" s="39">
        <v>482</v>
      </c>
      <c r="FT39" s="39">
        <v>482</v>
      </c>
      <c r="FU39" s="39">
        <v>482</v>
      </c>
      <c r="FV39" s="39">
        <v>482</v>
      </c>
      <c r="FW39" s="39">
        <v>483</v>
      </c>
      <c r="FX39" s="39">
        <v>483</v>
      </c>
      <c r="FY39" s="197">
        <v>485</v>
      </c>
      <c r="FZ39" s="39">
        <v>488</v>
      </c>
      <c r="GA39" s="39">
        <v>489</v>
      </c>
      <c r="GB39" s="39">
        <v>489</v>
      </c>
      <c r="GC39" s="39">
        <v>489</v>
      </c>
      <c r="GD39" s="39">
        <v>491</v>
      </c>
      <c r="GE39" s="39">
        <v>492</v>
      </c>
      <c r="GF39" s="39">
        <v>492</v>
      </c>
      <c r="GG39" s="39">
        <v>493</v>
      </c>
      <c r="GH39" s="39">
        <v>493</v>
      </c>
      <c r="GI39" s="39">
        <v>494</v>
      </c>
      <c r="GJ39" s="39">
        <v>494</v>
      </c>
      <c r="GK39" s="197">
        <v>494</v>
      </c>
      <c r="GL39" s="39">
        <v>494</v>
      </c>
      <c r="GM39" s="39">
        <v>494</v>
      </c>
      <c r="GN39" s="39">
        <v>494</v>
      </c>
      <c r="GO39" s="39">
        <v>494</v>
      </c>
      <c r="GP39" s="39">
        <v>494</v>
      </c>
    </row>
    <row r="40" spans="1:198" s="1" customFormat="1" ht="20.149999999999999" customHeight="1" x14ac:dyDescent="0.4">
      <c r="A40" s="31" t="s">
        <v>1628</v>
      </c>
      <c r="B40" s="58">
        <v>0</v>
      </c>
      <c r="C40" s="58">
        <v>0</v>
      </c>
      <c r="D40" s="58">
        <v>0</v>
      </c>
      <c r="E40" s="58">
        <v>0</v>
      </c>
      <c r="F40" s="58">
        <v>0</v>
      </c>
      <c r="G40" s="58">
        <v>0</v>
      </c>
      <c r="H40" s="58">
        <v>0</v>
      </c>
      <c r="I40" s="58">
        <v>0</v>
      </c>
      <c r="J40" s="58">
        <v>0</v>
      </c>
      <c r="K40" s="58">
        <v>0</v>
      </c>
      <c r="L40" s="58">
        <v>0</v>
      </c>
      <c r="M40" s="59">
        <v>0</v>
      </c>
      <c r="N40" s="60">
        <v>0</v>
      </c>
      <c r="O40" s="58">
        <v>0</v>
      </c>
      <c r="P40" s="58">
        <v>0</v>
      </c>
      <c r="Q40" s="58">
        <v>0</v>
      </c>
      <c r="R40" s="58">
        <v>0</v>
      </c>
      <c r="S40" s="58">
        <v>0</v>
      </c>
      <c r="T40" s="58">
        <v>0</v>
      </c>
      <c r="U40" s="58">
        <v>0</v>
      </c>
      <c r="V40" s="58">
        <v>0</v>
      </c>
      <c r="W40" s="58">
        <v>0</v>
      </c>
      <c r="X40" s="58">
        <v>0</v>
      </c>
      <c r="Y40" s="59">
        <v>0</v>
      </c>
      <c r="Z40" s="60">
        <v>0</v>
      </c>
      <c r="AA40" s="58">
        <v>0</v>
      </c>
      <c r="AB40" s="58">
        <v>0</v>
      </c>
      <c r="AC40" s="58">
        <v>0</v>
      </c>
      <c r="AD40" s="58">
        <v>0</v>
      </c>
      <c r="AE40" s="58">
        <v>0</v>
      </c>
      <c r="AF40" s="58">
        <v>0</v>
      </c>
      <c r="AG40" s="58">
        <v>0</v>
      </c>
      <c r="AH40" s="58">
        <v>0</v>
      </c>
      <c r="AI40" s="58">
        <v>0</v>
      </c>
      <c r="AJ40" s="58">
        <v>0</v>
      </c>
      <c r="AK40" s="59">
        <v>0</v>
      </c>
      <c r="AL40" s="60">
        <v>0</v>
      </c>
      <c r="AM40" s="58">
        <v>0</v>
      </c>
      <c r="AN40" s="58">
        <v>1</v>
      </c>
      <c r="AO40" s="58">
        <v>1</v>
      </c>
      <c r="AP40" s="58">
        <v>1</v>
      </c>
      <c r="AQ40" s="58">
        <v>1</v>
      </c>
      <c r="AR40" s="58">
        <v>1</v>
      </c>
      <c r="AS40" s="58">
        <v>1</v>
      </c>
      <c r="AT40" s="58">
        <v>1</v>
      </c>
      <c r="AU40" s="58">
        <v>1</v>
      </c>
      <c r="AV40" s="58">
        <v>1</v>
      </c>
      <c r="AW40" s="59">
        <v>1</v>
      </c>
      <c r="AX40" s="58">
        <v>1</v>
      </c>
      <c r="AY40" s="58">
        <v>2</v>
      </c>
      <c r="AZ40" s="58">
        <v>3</v>
      </c>
      <c r="BA40" s="58">
        <v>4</v>
      </c>
      <c r="BB40" s="58">
        <v>4</v>
      </c>
      <c r="BC40" s="58">
        <v>4</v>
      </c>
      <c r="BD40" s="58">
        <v>5</v>
      </c>
      <c r="BE40" s="58">
        <v>5</v>
      </c>
      <c r="BF40" s="58">
        <v>7</v>
      </c>
      <c r="BG40" s="58">
        <v>9</v>
      </c>
      <c r="BH40" s="58">
        <v>9</v>
      </c>
      <c r="BI40" s="59">
        <v>11</v>
      </c>
      <c r="BJ40" s="58">
        <v>11</v>
      </c>
      <c r="BK40" s="58">
        <v>11</v>
      </c>
      <c r="BL40" s="58">
        <v>28</v>
      </c>
      <c r="BM40" s="58">
        <v>28</v>
      </c>
      <c r="BN40" s="58">
        <v>28</v>
      </c>
      <c r="BO40" s="58">
        <v>28</v>
      </c>
      <c r="BP40" s="58">
        <v>28</v>
      </c>
      <c r="BQ40" s="58">
        <v>28</v>
      </c>
      <c r="BR40" s="58">
        <v>28</v>
      </c>
      <c r="BS40" s="58">
        <v>28</v>
      </c>
      <c r="BT40" s="58">
        <v>28</v>
      </c>
      <c r="BU40" s="59">
        <v>28</v>
      </c>
      <c r="BV40" s="58">
        <v>28</v>
      </c>
      <c r="BW40" s="58">
        <v>28</v>
      </c>
      <c r="BX40" s="58">
        <v>37</v>
      </c>
      <c r="BY40" s="58">
        <v>37</v>
      </c>
      <c r="BZ40" s="58">
        <v>37</v>
      </c>
      <c r="CA40" s="58">
        <v>37</v>
      </c>
      <c r="CB40" s="58">
        <v>37</v>
      </c>
      <c r="CC40" s="58">
        <v>37</v>
      </c>
      <c r="CD40" s="58">
        <v>37</v>
      </c>
      <c r="CE40" s="58">
        <v>37</v>
      </c>
      <c r="CF40" s="58">
        <v>37</v>
      </c>
      <c r="CG40" s="59">
        <v>37</v>
      </c>
      <c r="CH40" s="55">
        <v>37</v>
      </c>
      <c r="CI40" s="55">
        <v>37</v>
      </c>
      <c r="CJ40" s="55">
        <v>37</v>
      </c>
      <c r="CK40" s="55">
        <v>37</v>
      </c>
      <c r="CL40" s="55">
        <v>37</v>
      </c>
      <c r="CM40" s="55">
        <v>37</v>
      </c>
      <c r="CN40" s="55">
        <v>37</v>
      </c>
      <c r="CO40" s="55">
        <v>37</v>
      </c>
      <c r="CP40" s="55">
        <v>37</v>
      </c>
      <c r="CQ40" s="55">
        <v>37</v>
      </c>
      <c r="CR40" s="55">
        <v>37</v>
      </c>
      <c r="CS40" s="56">
        <v>37</v>
      </c>
      <c r="CT40" s="55">
        <v>37</v>
      </c>
      <c r="CU40" s="55">
        <v>37</v>
      </c>
      <c r="CV40" s="55">
        <v>37</v>
      </c>
      <c r="CW40" s="55">
        <v>37</v>
      </c>
      <c r="CX40" s="55">
        <v>37</v>
      </c>
      <c r="CY40" s="55">
        <v>37</v>
      </c>
      <c r="CZ40" s="55">
        <v>37</v>
      </c>
      <c r="DA40" s="55">
        <v>37</v>
      </c>
      <c r="DB40" s="55">
        <v>37</v>
      </c>
      <c r="DC40" s="55">
        <v>37</v>
      </c>
      <c r="DD40" s="58">
        <v>37</v>
      </c>
      <c r="DE40" s="59">
        <v>37</v>
      </c>
      <c r="DF40" s="55">
        <v>37</v>
      </c>
      <c r="DG40" s="55">
        <v>37</v>
      </c>
      <c r="DH40" s="58">
        <v>37</v>
      </c>
      <c r="DI40" s="55">
        <v>37</v>
      </c>
      <c r="DJ40" s="55">
        <v>37</v>
      </c>
      <c r="DK40" s="55">
        <v>37</v>
      </c>
      <c r="DL40" s="58">
        <v>37</v>
      </c>
      <c r="DM40" s="55">
        <v>37</v>
      </c>
      <c r="DN40" s="55">
        <v>37</v>
      </c>
      <c r="DO40" s="55">
        <v>37</v>
      </c>
      <c r="DP40" s="55">
        <v>37</v>
      </c>
      <c r="DQ40" s="59">
        <v>38</v>
      </c>
      <c r="DR40" s="55">
        <v>39</v>
      </c>
      <c r="DS40" s="55">
        <v>39</v>
      </c>
      <c r="DT40" s="55">
        <v>39</v>
      </c>
      <c r="DU40" s="55">
        <v>39</v>
      </c>
      <c r="DV40" s="55">
        <v>39</v>
      </c>
      <c r="DW40" s="55">
        <v>39</v>
      </c>
      <c r="DX40" s="55">
        <v>39</v>
      </c>
      <c r="DY40" s="55">
        <v>39</v>
      </c>
      <c r="DZ40" s="55">
        <v>39</v>
      </c>
      <c r="EA40" s="55">
        <v>39</v>
      </c>
      <c r="EB40" s="55">
        <v>39</v>
      </c>
      <c r="EC40" s="56">
        <v>40</v>
      </c>
      <c r="ED40" s="55">
        <v>40</v>
      </c>
      <c r="EE40" s="55">
        <v>40</v>
      </c>
      <c r="EF40" s="55">
        <v>42</v>
      </c>
      <c r="EG40" s="55">
        <v>43</v>
      </c>
      <c r="EH40" s="55">
        <v>43</v>
      </c>
      <c r="EI40" s="55">
        <v>43</v>
      </c>
      <c r="EJ40" s="55">
        <v>43</v>
      </c>
      <c r="EK40" s="55">
        <v>43</v>
      </c>
      <c r="EL40" s="55">
        <v>43</v>
      </c>
      <c r="EM40" s="55">
        <v>43</v>
      </c>
      <c r="EN40" s="55">
        <v>43</v>
      </c>
      <c r="EO40" s="56">
        <v>43</v>
      </c>
      <c r="EP40" s="55">
        <v>43</v>
      </c>
      <c r="EQ40" s="55">
        <v>43</v>
      </c>
      <c r="ER40" s="55">
        <v>43</v>
      </c>
      <c r="ES40" s="55">
        <v>43</v>
      </c>
      <c r="ET40" s="55">
        <v>43</v>
      </c>
      <c r="EU40" s="55">
        <v>43</v>
      </c>
      <c r="EV40" s="55">
        <v>43</v>
      </c>
      <c r="EW40" s="55">
        <v>43</v>
      </c>
      <c r="EX40" s="55">
        <v>43</v>
      </c>
      <c r="EY40" s="55">
        <v>43</v>
      </c>
      <c r="EZ40" s="55">
        <v>43</v>
      </c>
      <c r="FA40" s="56">
        <v>44</v>
      </c>
      <c r="FB40" s="160">
        <v>50</v>
      </c>
      <c r="FC40" s="160">
        <v>55</v>
      </c>
      <c r="FD40" s="160">
        <v>64</v>
      </c>
      <c r="FE40" s="160">
        <v>64</v>
      </c>
      <c r="FF40" s="160">
        <v>65</v>
      </c>
      <c r="FG40" s="160">
        <v>66</v>
      </c>
      <c r="FH40" s="160">
        <v>66</v>
      </c>
      <c r="FI40" s="160">
        <v>66</v>
      </c>
      <c r="FJ40" s="160">
        <v>68</v>
      </c>
      <c r="FK40" s="160">
        <v>68</v>
      </c>
      <c r="FL40" s="160">
        <v>68</v>
      </c>
      <c r="FM40" s="39">
        <v>68</v>
      </c>
      <c r="FN40" s="77">
        <v>69</v>
      </c>
      <c r="FO40" s="39">
        <v>70</v>
      </c>
      <c r="FP40" s="39">
        <v>73</v>
      </c>
      <c r="FQ40" s="39">
        <v>74</v>
      </c>
      <c r="FR40" s="39">
        <v>75</v>
      </c>
      <c r="FS40" s="39">
        <v>76</v>
      </c>
      <c r="FT40" s="39">
        <v>78</v>
      </c>
      <c r="FU40" s="39">
        <v>79</v>
      </c>
      <c r="FV40" s="39">
        <v>79</v>
      </c>
      <c r="FW40" s="39">
        <v>85</v>
      </c>
      <c r="FX40" s="39">
        <v>86</v>
      </c>
      <c r="FY40" s="197">
        <v>87</v>
      </c>
      <c r="FZ40" s="39">
        <v>89</v>
      </c>
      <c r="GA40" s="39">
        <v>89</v>
      </c>
      <c r="GB40" s="39">
        <v>94</v>
      </c>
      <c r="GC40" s="39">
        <v>96</v>
      </c>
      <c r="GD40" s="39">
        <v>96</v>
      </c>
      <c r="GE40" s="39">
        <v>97</v>
      </c>
      <c r="GF40" s="39">
        <v>100</v>
      </c>
      <c r="GG40" s="39">
        <v>102</v>
      </c>
      <c r="GH40" s="39">
        <v>103</v>
      </c>
      <c r="GI40" s="39">
        <v>106</v>
      </c>
      <c r="GJ40" s="39">
        <v>107</v>
      </c>
      <c r="GK40" s="197">
        <v>108</v>
      </c>
      <c r="GL40" s="39">
        <v>108</v>
      </c>
      <c r="GM40" s="39">
        <v>108</v>
      </c>
      <c r="GN40" s="39">
        <v>109</v>
      </c>
      <c r="GO40" s="39">
        <v>109</v>
      </c>
      <c r="GP40" s="39">
        <v>109</v>
      </c>
    </row>
    <row r="41" spans="1:198" s="1" customFormat="1" ht="20.149999999999999" customHeight="1" thickBot="1" x14ac:dyDescent="0.4">
      <c r="A41" s="32" t="s">
        <v>267</v>
      </c>
      <c r="B41" s="61">
        <f>SUM(B35:B40)</f>
        <v>4842</v>
      </c>
      <c r="C41" s="62">
        <f t="shared" ref="C41:BN41" si="12">SUM(C35:C40)</f>
        <v>5433</v>
      </c>
      <c r="D41" s="62">
        <f t="shared" si="12"/>
        <v>6460</v>
      </c>
      <c r="E41" s="62">
        <f t="shared" si="12"/>
        <v>7507</v>
      </c>
      <c r="F41" s="62">
        <f t="shared" si="12"/>
        <v>9034</v>
      </c>
      <c r="G41" s="62">
        <f t="shared" si="12"/>
        <v>10951</v>
      </c>
      <c r="H41" s="62">
        <f t="shared" si="12"/>
        <v>13274</v>
      </c>
      <c r="I41" s="62">
        <f t="shared" si="12"/>
        <v>15565</v>
      </c>
      <c r="J41" s="62">
        <f t="shared" si="12"/>
        <v>18431</v>
      </c>
      <c r="K41" s="62">
        <f t="shared" si="12"/>
        <v>21898</v>
      </c>
      <c r="L41" s="62">
        <f t="shared" si="12"/>
        <v>25864</v>
      </c>
      <c r="M41" s="62">
        <f t="shared" si="12"/>
        <v>28912</v>
      </c>
      <c r="N41" s="61">
        <f t="shared" si="12"/>
        <v>33073</v>
      </c>
      <c r="O41" s="62">
        <f t="shared" si="12"/>
        <v>37759</v>
      </c>
      <c r="P41" s="62">
        <f t="shared" si="12"/>
        <v>44858</v>
      </c>
      <c r="Q41" s="62">
        <f t="shared" si="12"/>
        <v>51274</v>
      </c>
      <c r="R41" s="62">
        <f t="shared" si="12"/>
        <v>58638</v>
      </c>
      <c r="S41" s="62">
        <f t="shared" si="12"/>
        <v>68203</v>
      </c>
      <c r="T41" s="62">
        <f t="shared" si="12"/>
        <v>79526</v>
      </c>
      <c r="U41" s="62">
        <f t="shared" si="12"/>
        <v>93770</v>
      </c>
      <c r="V41" s="62">
        <f t="shared" si="12"/>
        <v>111274</v>
      </c>
      <c r="W41" s="62">
        <f t="shared" si="12"/>
        <v>131750</v>
      </c>
      <c r="X41" s="62">
        <f t="shared" si="12"/>
        <v>188963</v>
      </c>
      <c r="Y41" s="62">
        <f t="shared" si="12"/>
        <v>235382</v>
      </c>
      <c r="Z41" s="61">
        <f t="shared" si="12"/>
        <v>243825</v>
      </c>
      <c r="AA41" s="62">
        <f t="shared" si="12"/>
        <v>287909</v>
      </c>
      <c r="AB41" s="62">
        <f t="shared" si="12"/>
        <v>314955</v>
      </c>
      <c r="AC41" s="62">
        <f t="shared" si="12"/>
        <v>320461</v>
      </c>
      <c r="AD41" s="62">
        <f t="shared" si="12"/>
        <v>330953</v>
      </c>
      <c r="AE41" s="62">
        <f t="shared" si="12"/>
        <v>344226</v>
      </c>
      <c r="AF41" s="62">
        <f t="shared" si="12"/>
        <v>370965</v>
      </c>
      <c r="AG41" s="62">
        <f t="shared" si="12"/>
        <v>374882</v>
      </c>
      <c r="AH41" s="62">
        <f t="shared" si="12"/>
        <v>380124</v>
      </c>
      <c r="AI41" s="62">
        <f t="shared" si="12"/>
        <v>390875</v>
      </c>
      <c r="AJ41" s="62">
        <f t="shared" si="12"/>
        <v>396683</v>
      </c>
      <c r="AK41" s="127">
        <f t="shared" si="12"/>
        <v>402759</v>
      </c>
      <c r="AL41" s="62">
        <f t="shared" si="12"/>
        <v>409223</v>
      </c>
      <c r="AM41" s="62">
        <f t="shared" si="12"/>
        <v>416254</v>
      </c>
      <c r="AN41" s="62">
        <f t="shared" si="12"/>
        <v>424431</v>
      </c>
      <c r="AO41" s="62">
        <f t="shared" si="12"/>
        <v>432893</v>
      </c>
      <c r="AP41" s="62">
        <f t="shared" si="12"/>
        <v>441471</v>
      </c>
      <c r="AQ41" s="62">
        <f t="shared" si="12"/>
        <v>454201</v>
      </c>
      <c r="AR41" s="62">
        <f t="shared" si="12"/>
        <v>460971</v>
      </c>
      <c r="AS41" s="62">
        <f t="shared" si="12"/>
        <v>468851</v>
      </c>
      <c r="AT41" s="62">
        <f t="shared" si="12"/>
        <v>477235</v>
      </c>
      <c r="AU41" s="62">
        <f t="shared" si="12"/>
        <v>486241</v>
      </c>
      <c r="AV41" s="62">
        <f t="shared" si="12"/>
        <v>496512</v>
      </c>
      <c r="AW41" s="63">
        <f t="shared" si="12"/>
        <v>505123</v>
      </c>
      <c r="AX41" s="62">
        <f t="shared" si="12"/>
        <v>513405</v>
      </c>
      <c r="AY41" s="62">
        <f t="shared" si="12"/>
        <v>522456</v>
      </c>
      <c r="AZ41" s="62">
        <f t="shared" si="12"/>
        <v>538349</v>
      </c>
      <c r="BA41" s="62">
        <f t="shared" si="12"/>
        <v>546593</v>
      </c>
      <c r="BB41" s="62">
        <f t="shared" si="12"/>
        <v>555651</v>
      </c>
      <c r="BC41" s="62">
        <f t="shared" si="12"/>
        <v>565804</v>
      </c>
      <c r="BD41" s="62">
        <f t="shared" si="12"/>
        <v>577094</v>
      </c>
      <c r="BE41" s="62">
        <f t="shared" si="12"/>
        <v>587910</v>
      </c>
      <c r="BF41" s="62">
        <f t="shared" si="12"/>
        <v>600829</v>
      </c>
      <c r="BG41" s="62">
        <f t="shared" si="12"/>
        <v>614287</v>
      </c>
      <c r="BH41" s="62">
        <f t="shared" si="12"/>
        <v>627016</v>
      </c>
      <c r="BI41" s="63">
        <f t="shared" si="12"/>
        <v>640427</v>
      </c>
      <c r="BJ41" s="62">
        <f t="shared" si="12"/>
        <v>648985</v>
      </c>
      <c r="BK41" s="62">
        <f t="shared" si="12"/>
        <v>659476</v>
      </c>
      <c r="BL41" s="62">
        <f t="shared" si="12"/>
        <v>676360</v>
      </c>
      <c r="BM41" s="62">
        <f t="shared" si="12"/>
        <v>687324</v>
      </c>
      <c r="BN41" s="62">
        <f t="shared" si="12"/>
        <v>698930</v>
      </c>
      <c r="BO41" s="62">
        <f t="shared" ref="BO41:DZ41" si="13">SUM(BO35:BO40)</f>
        <v>715704</v>
      </c>
      <c r="BP41" s="62">
        <f t="shared" si="13"/>
        <v>727398</v>
      </c>
      <c r="BQ41" s="62">
        <f t="shared" si="13"/>
        <v>739051</v>
      </c>
      <c r="BR41" s="62">
        <f t="shared" si="13"/>
        <v>758458</v>
      </c>
      <c r="BS41" s="62">
        <f t="shared" si="13"/>
        <v>775247</v>
      </c>
      <c r="BT41" s="62">
        <f t="shared" si="13"/>
        <v>797030</v>
      </c>
      <c r="BU41" s="63">
        <f t="shared" si="13"/>
        <v>823072</v>
      </c>
      <c r="BV41" s="62">
        <f t="shared" si="13"/>
        <v>838149</v>
      </c>
      <c r="BW41" s="62">
        <f t="shared" si="13"/>
        <v>841465</v>
      </c>
      <c r="BX41" s="62">
        <f t="shared" si="13"/>
        <v>845896</v>
      </c>
      <c r="BY41" s="62">
        <f t="shared" si="13"/>
        <v>849275</v>
      </c>
      <c r="BZ41" s="62">
        <f t="shared" si="13"/>
        <v>852746</v>
      </c>
      <c r="CA41" s="62">
        <f t="shared" si="13"/>
        <v>856873</v>
      </c>
      <c r="CB41" s="62">
        <f t="shared" si="13"/>
        <v>860124</v>
      </c>
      <c r="CC41" s="62">
        <f t="shared" si="13"/>
        <v>863184</v>
      </c>
      <c r="CD41" s="62">
        <f t="shared" si="13"/>
        <v>866996</v>
      </c>
      <c r="CE41" s="62">
        <f t="shared" si="13"/>
        <v>869836</v>
      </c>
      <c r="CF41" s="62">
        <f t="shared" si="13"/>
        <v>873285</v>
      </c>
      <c r="CG41" s="63">
        <f t="shared" si="13"/>
        <v>875885</v>
      </c>
      <c r="CH41" s="62">
        <f t="shared" si="13"/>
        <v>878365</v>
      </c>
      <c r="CI41" s="62">
        <f t="shared" si="13"/>
        <v>881038</v>
      </c>
      <c r="CJ41" s="62">
        <f t="shared" si="13"/>
        <v>884666</v>
      </c>
      <c r="CK41" s="62">
        <f t="shared" si="13"/>
        <v>887081</v>
      </c>
      <c r="CL41" s="62">
        <f t="shared" si="13"/>
        <v>890320</v>
      </c>
      <c r="CM41" s="62">
        <f t="shared" si="13"/>
        <v>893550</v>
      </c>
      <c r="CN41" s="62">
        <f t="shared" si="13"/>
        <v>896407</v>
      </c>
      <c r="CO41" s="62">
        <f t="shared" si="13"/>
        <v>899609</v>
      </c>
      <c r="CP41" s="62">
        <f t="shared" si="13"/>
        <v>902971</v>
      </c>
      <c r="CQ41" s="62">
        <f t="shared" si="13"/>
        <v>906126</v>
      </c>
      <c r="CR41" s="62">
        <f t="shared" si="13"/>
        <v>909879</v>
      </c>
      <c r="CS41" s="63">
        <f t="shared" si="13"/>
        <v>912342</v>
      </c>
      <c r="CT41" s="62">
        <f t="shared" si="13"/>
        <v>915146</v>
      </c>
      <c r="CU41" s="62">
        <f t="shared" si="13"/>
        <v>917869</v>
      </c>
      <c r="CV41" s="62">
        <f t="shared" si="13"/>
        <v>921203</v>
      </c>
      <c r="CW41" s="62">
        <f t="shared" si="13"/>
        <v>924207</v>
      </c>
      <c r="CX41" s="62">
        <f t="shared" si="13"/>
        <v>927573</v>
      </c>
      <c r="CY41" s="62">
        <f t="shared" si="13"/>
        <v>931047</v>
      </c>
      <c r="CZ41" s="62">
        <f t="shared" si="13"/>
        <v>934318</v>
      </c>
      <c r="DA41" s="62">
        <f t="shared" si="13"/>
        <v>938041</v>
      </c>
      <c r="DB41" s="62">
        <f t="shared" si="13"/>
        <v>941900</v>
      </c>
      <c r="DC41" s="62">
        <f t="shared" si="13"/>
        <v>946284</v>
      </c>
      <c r="DD41" s="62">
        <f t="shared" si="13"/>
        <v>951128</v>
      </c>
      <c r="DE41" s="63">
        <f t="shared" si="13"/>
        <v>955162</v>
      </c>
      <c r="DF41" s="62">
        <f t="shared" si="13"/>
        <v>960178</v>
      </c>
      <c r="DG41" s="62">
        <f t="shared" si="13"/>
        <v>966215</v>
      </c>
      <c r="DH41" s="62">
        <f t="shared" si="13"/>
        <v>981257</v>
      </c>
      <c r="DI41" s="62">
        <f t="shared" si="13"/>
        <v>983351</v>
      </c>
      <c r="DJ41" s="62">
        <f t="shared" si="13"/>
        <v>985996</v>
      </c>
      <c r="DK41" s="62">
        <f t="shared" si="13"/>
        <v>988861</v>
      </c>
      <c r="DL41" s="62">
        <f t="shared" si="13"/>
        <v>991781</v>
      </c>
      <c r="DM41" s="62">
        <f t="shared" si="13"/>
        <v>994870</v>
      </c>
      <c r="DN41" s="62">
        <f t="shared" si="13"/>
        <v>998254</v>
      </c>
      <c r="DO41" s="62">
        <f t="shared" si="13"/>
        <v>1001819</v>
      </c>
      <c r="DP41" s="62">
        <f t="shared" si="13"/>
        <v>1005462</v>
      </c>
      <c r="DQ41" s="63">
        <f t="shared" si="13"/>
        <v>1007960</v>
      </c>
      <c r="DR41" s="62">
        <f t="shared" si="13"/>
        <v>1011124</v>
      </c>
      <c r="DS41" s="62">
        <f t="shared" si="13"/>
        <v>1014175</v>
      </c>
      <c r="DT41" s="62">
        <f t="shared" si="13"/>
        <v>1017420</v>
      </c>
      <c r="DU41" s="62">
        <f t="shared" si="13"/>
        <v>1018090</v>
      </c>
      <c r="DV41" s="62">
        <f t="shared" si="13"/>
        <v>1019173</v>
      </c>
      <c r="DW41" s="62">
        <f t="shared" si="13"/>
        <v>1021555</v>
      </c>
      <c r="DX41" s="62">
        <f t="shared" si="13"/>
        <v>1024842</v>
      </c>
      <c r="DY41" s="62">
        <f t="shared" si="13"/>
        <v>1028066</v>
      </c>
      <c r="DZ41" s="62">
        <f t="shared" si="13"/>
        <v>1032174</v>
      </c>
      <c r="EA41" s="62">
        <f t="shared" ref="EA41:GL41" si="14">SUM(EA35:EA40)</f>
        <v>1036152</v>
      </c>
      <c r="EB41" s="62">
        <f t="shared" si="14"/>
        <v>1040487</v>
      </c>
      <c r="EC41" s="63">
        <f t="shared" si="14"/>
        <v>1043638</v>
      </c>
      <c r="ED41" s="62">
        <f t="shared" si="14"/>
        <v>1047279</v>
      </c>
      <c r="EE41" s="62">
        <f t="shared" si="14"/>
        <v>1050850</v>
      </c>
      <c r="EF41" s="62">
        <f t="shared" si="14"/>
        <v>1055811</v>
      </c>
      <c r="EG41" s="62">
        <f t="shared" si="14"/>
        <v>1060784</v>
      </c>
      <c r="EH41" s="62">
        <f t="shared" si="14"/>
        <v>1065805</v>
      </c>
      <c r="EI41" s="62">
        <f t="shared" si="14"/>
        <v>1071001</v>
      </c>
      <c r="EJ41" s="62">
        <f t="shared" si="14"/>
        <v>1075881</v>
      </c>
      <c r="EK41" s="62">
        <f t="shared" si="14"/>
        <v>1080924</v>
      </c>
      <c r="EL41" s="62">
        <f t="shared" si="14"/>
        <v>1086796</v>
      </c>
      <c r="EM41" s="62">
        <f t="shared" si="14"/>
        <v>1092355</v>
      </c>
      <c r="EN41" s="62">
        <f t="shared" si="14"/>
        <v>1099390</v>
      </c>
      <c r="EO41" s="63">
        <f t="shared" si="14"/>
        <v>1104533</v>
      </c>
      <c r="EP41" s="62">
        <f t="shared" si="14"/>
        <v>1110589</v>
      </c>
      <c r="EQ41" s="62">
        <f t="shared" si="14"/>
        <v>1118088</v>
      </c>
      <c r="ER41" s="62">
        <f t="shared" si="14"/>
        <v>1128157</v>
      </c>
      <c r="ES41" s="62">
        <f t="shared" si="14"/>
        <v>1137974</v>
      </c>
      <c r="ET41" s="62">
        <f t="shared" si="14"/>
        <v>1149076</v>
      </c>
      <c r="EU41" s="62">
        <f t="shared" si="14"/>
        <v>1160522</v>
      </c>
      <c r="EV41" s="62">
        <f t="shared" si="14"/>
        <v>1171722</v>
      </c>
      <c r="EW41" s="62">
        <f t="shared" si="14"/>
        <v>1184105</v>
      </c>
      <c r="EX41" s="62">
        <f t="shared" si="14"/>
        <v>1198607</v>
      </c>
      <c r="EY41" s="62">
        <f t="shared" si="14"/>
        <v>1212867</v>
      </c>
      <c r="EZ41" s="62">
        <f t="shared" si="14"/>
        <v>1229150</v>
      </c>
      <c r="FA41" s="63">
        <f t="shared" si="14"/>
        <v>1241498</v>
      </c>
      <c r="FB41" s="62">
        <f t="shared" si="14"/>
        <v>1258009</v>
      </c>
      <c r="FC41" s="62">
        <f t="shared" si="14"/>
        <v>1275720</v>
      </c>
      <c r="FD41" s="62">
        <f t="shared" si="14"/>
        <v>1295898</v>
      </c>
      <c r="FE41" s="62">
        <f t="shared" si="14"/>
        <v>1312003</v>
      </c>
      <c r="FF41" s="62">
        <f t="shared" si="14"/>
        <v>1330173</v>
      </c>
      <c r="FG41" s="62">
        <f t="shared" si="14"/>
        <v>1348789</v>
      </c>
      <c r="FH41" s="62">
        <f t="shared" si="14"/>
        <v>1364677</v>
      </c>
      <c r="FI41" s="62">
        <f t="shared" si="14"/>
        <v>1380759</v>
      </c>
      <c r="FJ41" s="62">
        <f t="shared" si="14"/>
        <v>1396558</v>
      </c>
      <c r="FK41" s="158">
        <f t="shared" si="14"/>
        <v>1412155</v>
      </c>
      <c r="FL41" s="158">
        <f t="shared" si="14"/>
        <v>1428242</v>
      </c>
      <c r="FM41" s="158">
        <f t="shared" si="14"/>
        <v>1438474</v>
      </c>
      <c r="FN41" s="122">
        <f t="shared" si="14"/>
        <v>1451745</v>
      </c>
      <c r="FO41" s="158">
        <f t="shared" si="14"/>
        <v>1465708</v>
      </c>
      <c r="FP41" s="158">
        <f t="shared" si="14"/>
        <v>1480825</v>
      </c>
      <c r="FQ41" s="158">
        <f t="shared" si="14"/>
        <v>1496258</v>
      </c>
      <c r="FR41" s="158">
        <f t="shared" si="14"/>
        <v>1512452</v>
      </c>
      <c r="FS41" s="158">
        <f t="shared" si="14"/>
        <v>1528171</v>
      </c>
      <c r="FT41" s="158">
        <f t="shared" si="14"/>
        <v>1544596</v>
      </c>
      <c r="FU41" s="158">
        <f t="shared" si="14"/>
        <v>1560143</v>
      </c>
      <c r="FV41" s="158">
        <f t="shared" si="14"/>
        <v>1577259</v>
      </c>
      <c r="FW41" s="158">
        <f t="shared" si="14"/>
        <v>1597243</v>
      </c>
      <c r="FX41" s="158">
        <f t="shared" si="14"/>
        <v>1618311</v>
      </c>
      <c r="FY41" s="198">
        <f t="shared" si="14"/>
        <v>1632459</v>
      </c>
      <c r="FZ41" s="158">
        <f t="shared" si="14"/>
        <v>1650073</v>
      </c>
      <c r="GA41" s="158">
        <f t="shared" si="14"/>
        <v>1670513</v>
      </c>
      <c r="GB41" s="158">
        <f t="shared" si="14"/>
        <v>1695178</v>
      </c>
      <c r="GC41" s="158">
        <f t="shared" si="14"/>
        <v>1715643</v>
      </c>
      <c r="GD41" s="158">
        <f t="shared" si="14"/>
        <v>1738853</v>
      </c>
      <c r="GE41" s="158">
        <f t="shared" si="14"/>
        <v>1762537</v>
      </c>
      <c r="GF41" s="158">
        <f t="shared" si="14"/>
        <v>1785537</v>
      </c>
      <c r="GG41" s="158">
        <f t="shared" si="14"/>
        <v>1806017</v>
      </c>
      <c r="GH41" s="158">
        <f t="shared" si="14"/>
        <v>1830049</v>
      </c>
      <c r="GI41" s="158">
        <f t="shared" si="14"/>
        <v>1856335</v>
      </c>
      <c r="GJ41" s="158">
        <f t="shared" si="14"/>
        <v>1880295</v>
      </c>
      <c r="GK41" s="198">
        <f t="shared" si="14"/>
        <v>1898778</v>
      </c>
      <c r="GL41" s="158">
        <f t="shared" si="14"/>
        <v>1918454</v>
      </c>
      <c r="GM41" s="158">
        <f t="shared" ref="GM41:GP41" si="15">SUM(GM35:GM40)</f>
        <v>1941466</v>
      </c>
      <c r="GN41" s="158">
        <f t="shared" si="15"/>
        <v>1969779</v>
      </c>
      <c r="GO41" s="158">
        <f t="shared" si="15"/>
        <v>1992994</v>
      </c>
      <c r="GP41" s="158">
        <f t="shared" si="15"/>
        <v>2011335</v>
      </c>
    </row>
    <row r="42" spans="1:198" s="25" customFormat="1" ht="20.149999999999999" customHeight="1" thickTop="1" x14ac:dyDescent="0.35">
      <c r="A42" s="26" t="s">
        <v>268</v>
      </c>
      <c r="B42" s="55"/>
      <c r="C42" s="55"/>
      <c r="D42" s="55"/>
      <c r="E42" s="55"/>
      <c r="F42" s="55"/>
      <c r="G42" s="55"/>
      <c r="H42" s="55"/>
      <c r="I42" s="55"/>
      <c r="J42" s="55"/>
      <c r="K42" s="55"/>
      <c r="L42" s="55"/>
      <c r="M42" s="56"/>
      <c r="N42" s="57"/>
      <c r="O42" s="55"/>
      <c r="P42" s="55"/>
      <c r="Q42" s="55"/>
      <c r="R42" s="55"/>
      <c r="S42" s="55"/>
      <c r="T42" s="55"/>
      <c r="U42" s="55"/>
      <c r="V42" s="55"/>
      <c r="W42" s="55"/>
      <c r="X42" s="55"/>
      <c r="Y42" s="56"/>
      <c r="Z42" s="57"/>
      <c r="AA42" s="55"/>
      <c r="AB42" s="55"/>
      <c r="AC42" s="55"/>
      <c r="AD42" s="55"/>
      <c r="AE42" s="55"/>
      <c r="AF42" s="55"/>
      <c r="AG42" s="55"/>
      <c r="AH42" s="55"/>
      <c r="AI42" s="55"/>
      <c r="AJ42" s="55"/>
      <c r="AK42" s="56"/>
      <c r="AL42" s="57"/>
      <c r="AM42" s="55"/>
      <c r="AN42" s="55"/>
      <c r="AO42" s="55"/>
      <c r="AP42" s="55"/>
      <c r="AQ42" s="55"/>
      <c r="AR42" s="55"/>
      <c r="AS42" s="55"/>
      <c r="AT42" s="55"/>
      <c r="AU42" s="55"/>
      <c r="AV42" s="55"/>
      <c r="AW42" s="56"/>
      <c r="AX42" s="55"/>
      <c r="AY42" s="55"/>
      <c r="AZ42" s="55"/>
      <c r="BA42" s="55"/>
      <c r="BB42" s="55"/>
      <c r="BC42" s="55"/>
      <c r="BD42" s="55"/>
      <c r="BE42" s="55"/>
      <c r="BF42" s="55"/>
      <c r="BG42" s="55"/>
      <c r="BH42" s="55"/>
      <c r="BI42" s="56"/>
      <c r="BJ42" s="55"/>
      <c r="BK42" s="55"/>
      <c r="BL42" s="55"/>
      <c r="BM42" s="55"/>
      <c r="BN42" s="55"/>
      <c r="BO42" s="55"/>
      <c r="BP42" s="55"/>
      <c r="BQ42" s="55"/>
      <c r="BR42" s="55"/>
      <c r="BS42" s="55"/>
      <c r="BT42" s="55"/>
      <c r="BU42" s="56"/>
      <c r="BV42" s="55"/>
      <c r="BW42" s="55"/>
      <c r="BX42" s="55"/>
      <c r="BY42" s="55"/>
      <c r="BZ42" s="55"/>
      <c r="CA42" s="55"/>
      <c r="CB42" s="55"/>
      <c r="CC42" s="55"/>
      <c r="CD42" s="55"/>
      <c r="CE42" s="55"/>
      <c r="CF42" s="55"/>
      <c r="CG42" s="56"/>
      <c r="CH42" s="55"/>
      <c r="CI42" s="55"/>
      <c r="CJ42" s="55"/>
      <c r="CK42" s="55"/>
      <c r="CL42" s="55"/>
      <c r="CM42" s="55"/>
      <c r="CN42" s="55"/>
      <c r="CO42" s="55"/>
      <c r="CP42" s="55"/>
      <c r="CQ42" s="55"/>
      <c r="CR42" s="55"/>
      <c r="CS42" s="56"/>
      <c r="CT42" s="55"/>
      <c r="CU42" s="55"/>
      <c r="CV42" s="55"/>
      <c r="CW42" s="55"/>
      <c r="CX42" s="55"/>
      <c r="CY42" s="55"/>
      <c r="CZ42" s="55"/>
      <c r="DA42" s="55"/>
      <c r="DB42" s="55"/>
      <c r="DC42" s="55"/>
      <c r="DD42" s="55"/>
      <c r="DE42" s="56"/>
      <c r="DF42" s="55"/>
      <c r="DG42" s="55"/>
      <c r="DH42" s="55"/>
      <c r="DI42" s="55"/>
      <c r="DJ42" s="55"/>
      <c r="DK42" s="55"/>
      <c r="DL42" s="55"/>
      <c r="DM42" s="55"/>
      <c r="DN42" s="55"/>
      <c r="DO42" s="55"/>
      <c r="DP42" s="55"/>
      <c r="DQ42" s="56"/>
      <c r="DR42" s="55"/>
      <c r="DS42" s="55"/>
      <c r="DT42" s="55"/>
      <c r="DU42" s="55"/>
      <c r="DV42" s="55"/>
      <c r="DW42" s="55"/>
      <c r="DX42" s="55"/>
      <c r="DY42" s="55"/>
      <c r="DZ42" s="55"/>
      <c r="EA42" s="55"/>
      <c r="EB42" s="55"/>
      <c r="EC42" s="56"/>
      <c r="ED42" s="55"/>
      <c r="EE42" s="55"/>
      <c r="EF42" s="55"/>
      <c r="EG42" s="55"/>
      <c r="EH42" s="55"/>
      <c r="EI42" s="55"/>
      <c r="EJ42" s="55"/>
      <c r="EK42" s="55"/>
      <c r="EL42" s="55"/>
      <c r="EM42" s="55"/>
      <c r="EN42" s="55"/>
      <c r="EO42" s="56"/>
      <c r="EP42" s="55"/>
      <c r="EQ42" s="55"/>
      <c r="ER42" s="55"/>
      <c r="ES42" s="55"/>
      <c r="ET42" s="55"/>
      <c r="EU42" s="55"/>
      <c r="EV42" s="55"/>
      <c r="EW42" s="55"/>
      <c r="EX42" s="55"/>
      <c r="EY42" s="123"/>
      <c r="EZ42" s="123"/>
      <c r="FA42" s="56"/>
      <c r="FB42" s="123"/>
      <c r="FC42" s="123"/>
      <c r="FD42" s="123"/>
      <c r="FE42" s="123"/>
      <c r="FF42" s="123"/>
      <c r="FG42" s="123"/>
      <c r="FH42" s="123"/>
      <c r="FI42" s="123"/>
      <c r="FJ42" s="38"/>
      <c r="FK42" s="38"/>
      <c r="FL42" s="38"/>
      <c r="FM42" s="38"/>
      <c r="FN42" s="167"/>
      <c r="FO42" s="38"/>
      <c r="FP42" s="38"/>
      <c r="FQ42" s="38"/>
      <c r="FR42" s="38"/>
      <c r="FS42" s="38"/>
      <c r="FT42" s="38"/>
      <c r="FU42" s="39"/>
      <c r="FV42" s="39"/>
      <c r="FW42" s="39"/>
      <c r="FX42" s="39"/>
      <c r="FY42" s="197"/>
      <c r="FZ42" s="39"/>
      <c r="GA42" s="39"/>
      <c r="GB42" s="39"/>
      <c r="GC42" s="39"/>
      <c r="GD42" s="39"/>
      <c r="GE42" s="39"/>
      <c r="GF42" s="39"/>
      <c r="GG42" s="39"/>
      <c r="GH42" s="39"/>
      <c r="GI42" s="39"/>
      <c r="GJ42" s="39"/>
      <c r="GK42" s="197"/>
      <c r="GL42" s="39"/>
      <c r="GM42" s="39"/>
      <c r="GN42" s="39"/>
      <c r="GO42" s="39"/>
      <c r="GP42" s="39"/>
    </row>
    <row r="43" spans="1:198" s="30" customFormat="1" ht="20.149999999999999" customHeight="1" x14ac:dyDescent="0.35">
      <c r="A43" s="31" t="s">
        <v>1623</v>
      </c>
      <c r="B43" s="55">
        <v>136</v>
      </c>
      <c r="C43" s="55">
        <v>136</v>
      </c>
      <c r="D43" s="55">
        <v>143</v>
      </c>
      <c r="E43" s="55">
        <v>156</v>
      </c>
      <c r="F43" s="55">
        <v>158</v>
      </c>
      <c r="G43" s="55">
        <v>173</v>
      </c>
      <c r="H43" s="55">
        <v>175</v>
      </c>
      <c r="I43" s="55">
        <v>177</v>
      </c>
      <c r="J43" s="55">
        <v>178</v>
      </c>
      <c r="K43" s="55">
        <v>182</v>
      </c>
      <c r="L43" s="55">
        <v>201</v>
      </c>
      <c r="M43" s="56">
        <v>206</v>
      </c>
      <c r="N43" s="57">
        <v>206</v>
      </c>
      <c r="O43" s="55">
        <v>207</v>
      </c>
      <c r="P43" s="55">
        <v>217</v>
      </c>
      <c r="Q43" s="55">
        <v>219</v>
      </c>
      <c r="R43" s="55">
        <v>227</v>
      </c>
      <c r="S43" s="55">
        <v>229</v>
      </c>
      <c r="T43" s="55">
        <v>230</v>
      </c>
      <c r="U43" s="55">
        <v>236</v>
      </c>
      <c r="V43" s="55">
        <v>259</v>
      </c>
      <c r="W43" s="55">
        <v>273</v>
      </c>
      <c r="X43" s="55">
        <v>299</v>
      </c>
      <c r="Y43" s="56">
        <v>317</v>
      </c>
      <c r="Z43" s="57">
        <v>379</v>
      </c>
      <c r="AA43" s="55">
        <v>394</v>
      </c>
      <c r="AB43" s="55">
        <v>441</v>
      </c>
      <c r="AC43" s="55">
        <v>453</v>
      </c>
      <c r="AD43" s="55">
        <v>465</v>
      </c>
      <c r="AE43" s="55">
        <v>472</v>
      </c>
      <c r="AF43" s="55">
        <v>500</v>
      </c>
      <c r="AG43" s="55">
        <v>570</v>
      </c>
      <c r="AH43" s="55">
        <v>671</v>
      </c>
      <c r="AI43" s="55">
        <v>729</v>
      </c>
      <c r="AJ43" s="55">
        <v>784</v>
      </c>
      <c r="AK43" s="56">
        <v>826</v>
      </c>
      <c r="AL43" s="57">
        <v>925</v>
      </c>
      <c r="AM43" s="55">
        <v>1011</v>
      </c>
      <c r="AN43" s="55">
        <v>1060</v>
      </c>
      <c r="AO43" s="55">
        <v>1093</v>
      </c>
      <c r="AP43" s="55">
        <v>1166</v>
      </c>
      <c r="AQ43" s="55">
        <v>1196</v>
      </c>
      <c r="AR43" s="55">
        <v>1261</v>
      </c>
      <c r="AS43" s="55">
        <v>1392</v>
      </c>
      <c r="AT43" s="55">
        <v>1501</v>
      </c>
      <c r="AU43" s="55">
        <v>1604</v>
      </c>
      <c r="AV43" s="55">
        <v>1688</v>
      </c>
      <c r="AW43" s="56">
        <v>1833</v>
      </c>
      <c r="AX43" s="55">
        <v>1893</v>
      </c>
      <c r="AY43" s="55">
        <v>1979</v>
      </c>
      <c r="AZ43" s="55">
        <v>2095</v>
      </c>
      <c r="BA43" s="55">
        <v>2219</v>
      </c>
      <c r="BB43" s="55">
        <v>2392</v>
      </c>
      <c r="BC43" s="55">
        <v>2585</v>
      </c>
      <c r="BD43" s="55">
        <v>2784</v>
      </c>
      <c r="BE43" s="55">
        <v>3002</v>
      </c>
      <c r="BF43" s="55">
        <v>3196</v>
      </c>
      <c r="BG43" s="55">
        <v>3371</v>
      </c>
      <c r="BH43" s="55">
        <v>3598</v>
      </c>
      <c r="BI43" s="56">
        <v>3738</v>
      </c>
      <c r="BJ43" s="55">
        <v>3860</v>
      </c>
      <c r="BK43" s="55">
        <v>3987</v>
      </c>
      <c r="BL43" s="55">
        <v>4109</v>
      </c>
      <c r="BM43" s="55">
        <v>4225</v>
      </c>
      <c r="BN43" s="55">
        <v>4379</v>
      </c>
      <c r="BO43" s="55">
        <v>4542</v>
      </c>
      <c r="BP43" s="55">
        <v>4720</v>
      </c>
      <c r="BQ43" s="55">
        <v>4962</v>
      </c>
      <c r="BR43" s="55">
        <v>5331</v>
      </c>
      <c r="BS43" s="55">
        <v>5505</v>
      </c>
      <c r="BT43" s="55">
        <v>5727</v>
      </c>
      <c r="BU43" s="56">
        <v>5958</v>
      </c>
      <c r="BV43" s="55">
        <v>6215</v>
      </c>
      <c r="BW43" s="55">
        <v>6478</v>
      </c>
      <c r="BX43" s="55">
        <v>6761</v>
      </c>
      <c r="BY43" s="55">
        <v>6966</v>
      </c>
      <c r="BZ43" s="55">
        <v>7035</v>
      </c>
      <c r="CA43" s="55">
        <v>7120</v>
      </c>
      <c r="CB43" s="55">
        <v>7227</v>
      </c>
      <c r="CC43" s="55">
        <v>7332</v>
      </c>
      <c r="CD43" s="55">
        <v>7847</v>
      </c>
      <c r="CE43" s="55">
        <v>7874</v>
      </c>
      <c r="CF43" s="55">
        <v>7908</v>
      </c>
      <c r="CG43" s="56">
        <v>7922</v>
      </c>
      <c r="CH43" s="55">
        <v>7953</v>
      </c>
      <c r="CI43" s="55">
        <v>8073</v>
      </c>
      <c r="CJ43" s="55">
        <v>8313</v>
      </c>
      <c r="CK43" s="55">
        <v>8323</v>
      </c>
      <c r="CL43" s="55">
        <v>8345</v>
      </c>
      <c r="CM43" s="55">
        <v>8404</v>
      </c>
      <c r="CN43" s="55">
        <v>8413</v>
      </c>
      <c r="CO43" s="55">
        <v>8431</v>
      </c>
      <c r="CP43" s="55">
        <v>8458</v>
      </c>
      <c r="CQ43" s="55">
        <v>8490</v>
      </c>
      <c r="CR43" s="55">
        <v>8538</v>
      </c>
      <c r="CS43" s="56">
        <v>8547</v>
      </c>
      <c r="CT43" s="55">
        <v>8562</v>
      </c>
      <c r="CU43" s="55">
        <v>8591</v>
      </c>
      <c r="CV43" s="55">
        <v>8623</v>
      </c>
      <c r="CW43" s="55">
        <v>8641</v>
      </c>
      <c r="CX43" s="55">
        <v>8649</v>
      </c>
      <c r="CY43" s="55">
        <v>8664</v>
      </c>
      <c r="CZ43" s="55">
        <v>8671</v>
      </c>
      <c r="DA43" s="55">
        <v>8700</v>
      </c>
      <c r="DB43" s="55">
        <v>8702</v>
      </c>
      <c r="DC43" s="55">
        <v>8781</v>
      </c>
      <c r="DD43" s="55">
        <v>8824</v>
      </c>
      <c r="DE43" s="56">
        <v>8827</v>
      </c>
      <c r="DF43" s="55">
        <v>8889</v>
      </c>
      <c r="DG43" s="55">
        <v>8933</v>
      </c>
      <c r="DH43" s="55">
        <v>8941</v>
      </c>
      <c r="DI43" s="55">
        <v>8965</v>
      </c>
      <c r="DJ43" s="55">
        <v>8984</v>
      </c>
      <c r="DK43" s="55">
        <v>9021</v>
      </c>
      <c r="DL43" s="55">
        <v>9047</v>
      </c>
      <c r="DM43" s="55">
        <v>9070</v>
      </c>
      <c r="DN43" s="55">
        <v>9103</v>
      </c>
      <c r="DO43" s="55">
        <v>9115</v>
      </c>
      <c r="DP43" s="55">
        <v>9133</v>
      </c>
      <c r="DQ43" s="56">
        <v>9135</v>
      </c>
      <c r="DR43" s="55">
        <v>9143</v>
      </c>
      <c r="DS43" s="55">
        <v>9151</v>
      </c>
      <c r="DT43" s="55">
        <v>9168</v>
      </c>
      <c r="DU43" s="55">
        <v>9168</v>
      </c>
      <c r="DV43" s="55">
        <v>9169</v>
      </c>
      <c r="DW43" s="55">
        <v>9194</v>
      </c>
      <c r="DX43" s="55">
        <v>9195</v>
      </c>
      <c r="DY43" s="55">
        <v>9237</v>
      </c>
      <c r="DZ43" s="55">
        <v>9255</v>
      </c>
      <c r="EA43" s="55">
        <v>9278</v>
      </c>
      <c r="EB43" s="55">
        <v>9284</v>
      </c>
      <c r="EC43" s="56">
        <v>9284</v>
      </c>
      <c r="ED43" s="55">
        <v>9321</v>
      </c>
      <c r="EE43" s="55">
        <v>9325</v>
      </c>
      <c r="EF43" s="55">
        <v>9342</v>
      </c>
      <c r="EG43" s="55">
        <v>9349</v>
      </c>
      <c r="EH43" s="55">
        <v>9366</v>
      </c>
      <c r="EI43" s="55">
        <v>9397</v>
      </c>
      <c r="EJ43" s="55">
        <v>9410</v>
      </c>
      <c r="EK43" s="55">
        <v>9441</v>
      </c>
      <c r="EL43" s="55">
        <v>9492</v>
      </c>
      <c r="EM43" s="55">
        <v>9529</v>
      </c>
      <c r="EN43" s="55">
        <v>9567</v>
      </c>
      <c r="EO43" s="56">
        <v>9578</v>
      </c>
      <c r="EP43" s="55">
        <v>9605</v>
      </c>
      <c r="EQ43" s="55">
        <v>9637</v>
      </c>
      <c r="ER43" s="55">
        <v>9651</v>
      </c>
      <c r="ES43" s="55">
        <v>9657</v>
      </c>
      <c r="ET43" s="55">
        <v>9694</v>
      </c>
      <c r="EU43" s="55">
        <v>9706</v>
      </c>
      <c r="EV43" s="55">
        <v>9724</v>
      </c>
      <c r="EW43" s="55">
        <v>9755</v>
      </c>
      <c r="EX43" s="55">
        <v>9782</v>
      </c>
      <c r="EY43" s="55">
        <v>9804</v>
      </c>
      <c r="EZ43" s="55">
        <v>9830</v>
      </c>
      <c r="FA43" s="56">
        <v>9844</v>
      </c>
      <c r="FB43" s="55">
        <v>9860</v>
      </c>
      <c r="FC43" s="55">
        <v>9880</v>
      </c>
      <c r="FD43" s="55">
        <v>9902</v>
      </c>
      <c r="FE43" s="55">
        <v>9913</v>
      </c>
      <c r="FF43" s="55">
        <v>9927</v>
      </c>
      <c r="FG43" s="55">
        <v>9939</v>
      </c>
      <c r="FH43" s="55">
        <v>9958</v>
      </c>
      <c r="FI43" s="55">
        <v>9988</v>
      </c>
      <c r="FJ43" s="39">
        <v>10027</v>
      </c>
      <c r="FK43" s="39">
        <v>10069</v>
      </c>
      <c r="FL43" s="39">
        <v>10092</v>
      </c>
      <c r="FM43" s="39">
        <v>10101</v>
      </c>
      <c r="FN43" s="77">
        <v>10115</v>
      </c>
      <c r="FO43" s="39">
        <v>10184</v>
      </c>
      <c r="FP43" s="39">
        <v>10198</v>
      </c>
      <c r="FQ43" s="39">
        <v>10271</v>
      </c>
      <c r="FR43" s="39">
        <v>10318</v>
      </c>
      <c r="FS43" s="39">
        <v>10404</v>
      </c>
      <c r="FT43" s="39">
        <v>10448</v>
      </c>
      <c r="FU43" s="38">
        <v>10514</v>
      </c>
      <c r="FV43" s="38">
        <v>10580</v>
      </c>
      <c r="FW43" s="38">
        <v>10695</v>
      </c>
      <c r="FX43" s="38">
        <v>10819</v>
      </c>
      <c r="FY43" s="196">
        <v>10852</v>
      </c>
      <c r="FZ43" s="38">
        <v>10893</v>
      </c>
      <c r="GA43" s="38">
        <v>10964</v>
      </c>
      <c r="GB43" s="38">
        <v>11044</v>
      </c>
      <c r="GC43" s="38">
        <v>11107</v>
      </c>
      <c r="GD43" s="38">
        <v>11253</v>
      </c>
      <c r="GE43" s="38">
        <v>11374</v>
      </c>
      <c r="GF43" s="38">
        <v>11439</v>
      </c>
      <c r="GG43" s="38">
        <v>11518</v>
      </c>
      <c r="GH43" s="38">
        <v>11559</v>
      </c>
      <c r="GI43" s="38">
        <v>11663</v>
      </c>
      <c r="GJ43" s="38">
        <v>11808</v>
      </c>
      <c r="GK43" s="196">
        <v>11882</v>
      </c>
      <c r="GL43" s="38">
        <v>11964</v>
      </c>
      <c r="GM43" s="38">
        <v>12048</v>
      </c>
      <c r="GN43" s="38">
        <v>12183</v>
      </c>
      <c r="GO43" s="38">
        <v>12288</v>
      </c>
      <c r="GP43" s="38">
        <v>12366</v>
      </c>
    </row>
    <row r="44" spans="1:198" s="1" customFormat="1" ht="20.149999999999999" customHeight="1" x14ac:dyDescent="0.35">
      <c r="A44" s="31" t="s">
        <v>1626</v>
      </c>
      <c r="B44" s="55">
        <v>100</v>
      </c>
      <c r="C44" s="55">
        <v>100</v>
      </c>
      <c r="D44" s="55">
        <v>100</v>
      </c>
      <c r="E44" s="55">
        <v>100</v>
      </c>
      <c r="F44" s="55">
        <v>100</v>
      </c>
      <c r="G44" s="55">
        <v>100</v>
      </c>
      <c r="H44" s="55">
        <v>100</v>
      </c>
      <c r="I44" s="55">
        <v>100</v>
      </c>
      <c r="J44" s="55">
        <v>100</v>
      </c>
      <c r="K44" s="55">
        <v>101</v>
      </c>
      <c r="L44" s="55">
        <v>101</v>
      </c>
      <c r="M44" s="56">
        <v>102</v>
      </c>
      <c r="N44" s="57">
        <v>102</v>
      </c>
      <c r="O44" s="55">
        <v>103</v>
      </c>
      <c r="P44" s="55">
        <v>104</v>
      </c>
      <c r="Q44" s="55">
        <v>105</v>
      </c>
      <c r="R44" s="55">
        <v>110</v>
      </c>
      <c r="S44" s="55">
        <v>116</v>
      </c>
      <c r="T44" s="55">
        <v>119</v>
      </c>
      <c r="U44" s="55">
        <v>122</v>
      </c>
      <c r="V44" s="55">
        <v>125</v>
      </c>
      <c r="W44" s="55">
        <v>134</v>
      </c>
      <c r="X44" s="55">
        <v>144</v>
      </c>
      <c r="Y44" s="56">
        <v>163</v>
      </c>
      <c r="Z44" s="57">
        <v>182</v>
      </c>
      <c r="AA44" s="55">
        <v>187</v>
      </c>
      <c r="AB44" s="55">
        <v>194</v>
      </c>
      <c r="AC44" s="55">
        <v>203</v>
      </c>
      <c r="AD44" s="55">
        <v>215</v>
      </c>
      <c r="AE44" s="55">
        <v>220</v>
      </c>
      <c r="AF44" s="55">
        <v>235</v>
      </c>
      <c r="AG44" s="55">
        <v>276</v>
      </c>
      <c r="AH44" s="55">
        <v>321</v>
      </c>
      <c r="AI44" s="55">
        <v>406</v>
      </c>
      <c r="AJ44" s="55">
        <v>499</v>
      </c>
      <c r="AK44" s="56">
        <v>577</v>
      </c>
      <c r="AL44" s="57">
        <v>678</v>
      </c>
      <c r="AM44" s="55">
        <v>766</v>
      </c>
      <c r="AN44" s="55">
        <v>889</v>
      </c>
      <c r="AO44" s="55">
        <v>1007</v>
      </c>
      <c r="AP44" s="55">
        <v>1142</v>
      </c>
      <c r="AQ44" s="55">
        <v>1273</v>
      </c>
      <c r="AR44" s="55">
        <v>1482</v>
      </c>
      <c r="AS44" s="55">
        <v>1771</v>
      </c>
      <c r="AT44" s="55">
        <v>2141</v>
      </c>
      <c r="AU44" s="55">
        <v>2463</v>
      </c>
      <c r="AV44" s="55">
        <v>2830</v>
      </c>
      <c r="AW44" s="56">
        <v>3099</v>
      </c>
      <c r="AX44" s="55">
        <v>3452</v>
      </c>
      <c r="AY44" s="55">
        <v>4457</v>
      </c>
      <c r="AZ44" s="55">
        <v>4699</v>
      </c>
      <c r="BA44" s="55">
        <v>4937</v>
      </c>
      <c r="BB44" s="55">
        <v>5212</v>
      </c>
      <c r="BC44" s="55">
        <v>5505</v>
      </c>
      <c r="BD44" s="55">
        <v>5757</v>
      </c>
      <c r="BE44" s="55">
        <v>6036</v>
      </c>
      <c r="BF44" s="55">
        <v>6373</v>
      </c>
      <c r="BG44" s="55">
        <v>6712</v>
      </c>
      <c r="BH44" s="55">
        <v>7007</v>
      </c>
      <c r="BI44" s="56">
        <v>7249</v>
      </c>
      <c r="BJ44" s="55">
        <v>7466</v>
      </c>
      <c r="BK44" s="55">
        <v>7725</v>
      </c>
      <c r="BL44" s="55">
        <v>7982</v>
      </c>
      <c r="BM44" s="55">
        <v>8249</v>
      </c>
      <c r="BN44" s="55">
        <v>8521</v>
      </c>
      <c r="BO44" s="55">
        <v>8796</v>
      </c>
      <c r="BP44" s="55">
        <v>9070</v>
      </c>
      <c r="BQ44" s="55">
        <v>9530</v>
      </c>
      <c r="BR44" s="55">
        <v>10501</v>
      </c>
      <c r="BS44" s="55">
        <v>10637</v>
      </c>
      <c r="BT44" s="55">
        <v>10766</v>
      </c>
      <c r="BU44" s="56">
        <v>10874</v>
      </c>
      <c r="BV44" s="55">
        <v>10997</v>
      </c>
      <c r="BW44" s="55">
        <v>11101</v>
      </c>
      <c r="BX44" s="55">
        <v>11233</v>
      </c>
      <c r="BY44" s="55">
        <v>11375</v>
      </c>
      <c r="BZ44" s="55">
        <v>11528</v>
      </c>
      <c r="CA44" s="55">
        <v>11708</v>
      </c>
      <c r="CB44" s="55">
        <v>11838</v>
      </c>
      <c r="CC44" s="55">
        <v>12052</v>
      </c>
      <c r="CD44" s="55">
        <v>12488</v>
      </c>
      <c r="CE44" s="55">
        <v>12500</v>
      </c>
      <c r="CF44" s="55">
        <v>12531</v>
      </c>
      <c r="CG44" s="56">
        <v>12561</v>
      </c>
      <c r="CH44" s="55">
        <v>12581</v>
      </c>
      <c r="CI44" s="55">
        <v>12618</v>
      </c>
      <c r="CJ44" s="55">
        <v>12736</v>
      </c>
      <c r="CK44" s="55">
        <v>12739</v>
      </c>
      <c r="CL44" s="55">
        <v>12740</v>
      </c>
      <c r="CM44" s="55">
        <v>12740</v>
      </c>
      <c r="CN44" s="55">
        <v>12741</v>
      </c>
      <c r="CO44" s="55">
        <v>12746</v>
      </c>
      <c r="CP44" s="55">
        <v>12749</v>
      </c>
      <c r="CQ44" s="55">
        <v>12749</v>
      </c>
      <c r="CR44" s="55">
        <v>12752</v>
      </c>
      <c r="CS44" s="56">
        <v>12753</v>
      </c>
      <c r="CT44" s="55">
        <v>12755</v>
      </c>
      <c r="CU44" s="55">
        <v>12766</v>
      </c>
      <c r="CV44" s="55">
        <v>12779</v>
      </c>
      <c r="CW44" s="55">
        <v>12791</v>
      </c>
      <c r="CX44" s="55">
        <v>12798</v>
      </c>
      <c r="CY44" s="55">
        <v>12806</v>
      </c>
      <c r="CZ44" s="55">
        <v>12816</v>
      </c>
      <c r="DA44" s="55">
        <v>12827</v>
      </c>
      <c r="DB44" s="55">
        <v>12833</v>
      </c>
      <c r="DC44" s="55">
        <v>12835</v>
      </c>
      <c r="DD44" s="55">
        <v>12838</v>
      </c>
      <c r="DE44" s="56">
        <v>12844</v>
      </c>
      <c r="DF44" s="55">
        <v>12849</v>
      </c>
      <c r="DG44" s="55">
        <v>12856</v>
      </c>
      <c r="DH44" s="55">
        <v>12861</v>
      </c>
      <c r="DI44" s="55">
        <v>12863</v>
      </c>
      <c r="DJ44" s="55">
        <v>12866</v>
      </c>
      <c r="DK44" s="55">
        <v>12872</v>
      </c>
      <c r="DL44" s="55">
        <v>12878</v>
      </c>
      <c r="DM44" s="55">
        <v>12882</v>
      </c>
      <c r="DN44" s="55">
        <v>12889</v>
      </c>
      <c r="DO44" s="55">
        <v>12892</v>
      </c>
      <c r="DP44" s="55">
        <v>12894</v>
      </c>
      <c r="DQ44" s="56">
        <v>12897</v>
      </c>
      <c r="DR44" s="55">
        <v>12904</v>
      </c>
      <c r="DS44" s="55">
        <v>12915</v>
      </c>
      <c r="DT44" s="55">
        <v>12921</v>
      </c>
      <c r="DU44" s="55">
        <v>12922</v>
      </c>
      <c r="DV44" s="55">
        <v>12922</v>
      </c>
      <c r="DW44" s="55">
        <v>12933</v>
      </c>
      <c r="DX44" s="55">
        <v>12945</v>
      </c>
      <c r="DY44" s="55">
        <v>12953</v>
      </c>
      <c r="DZ44" s="55">
        <v>12964</v>
      </c>
      <c r="EA44" s="55">
        <v>12967</v>
      </c>
      <c r="EB44" s="55">
        <v>12979</v>
      </c>
      <c r="EC44" s="56">
        <v>12984</v>
      </c>
      <c r="ED44" s="55">
        <v>12990</v>
      </c>
      <c r="EE44" s="55">
        <v>13000</v>
      </c>
      <c r="EF44" s="55">
        <v>13015</v>
      </c>
      <c r="EG44" s="55">
        <v>13034</v>
      </c>
      <c r="EH44" s="55">
        <v>13067</v>
      </c>
      <c r="EI44" s="55">
        <v>13099</v>
      </c>
      <c r="EJ44" s="55">
        <v>13116</v>
      </c>
      <c r="EK44" s="55">
        <v>13150</v>
      </c>
      <c r="EL44" s="55">
        <v>13201</v>
      </c>
      <c r="EM44" s="55">
        <v>13224</v>
      </c>
      <c r="EN44" s="55">
        <v>13293</v>
      </c>
      <c r="EO44" s="56">
        <v>13323</v>
      </c>
      <c r="EP44" s="55">
        <v>13404</v>
      </c>
      <c r="EQ44" s="55">
        <v>13450</v>
      </c>
      <c r="ER44" s="55">
        <v>13524</v>
      </c>
      <c r="ES44" s="55">
        <v>13599</v>
      </c>
      <c r="ET44" s="55">
        <v>13735</v>
      </c>
      <c r="EU44" s="55">
        <v>13856</v>
      </c>
      <c r="EV44" s="55">
        <v>13965</v>
      </c>
      <c r="EW44" s="55">
        <v>14086</v>
      </c>
      <c r="EX44" s="55">
        <v>14249</v>
      </c>
      <c r="EY44" s="55">
        <v>14397</v>
      </c>
      <c r="EZ44" s="55">
        <v>14605</v>
      </c>
      <c r="FA44" s="56">
        <v>14731</v>
      </c>
      <c r="FB44" s="55">
        <v>14908</v>
      </c>
      <c r="FC44" s="55">
        <v>15046</v>
      </c>
      <c r="FD44" s="55">
        <v>15174</v>
      </c>
      <c r="FE44" s="55">
        <v>15257</v>
      </c>
      <c r="FF44" s="55">
        <v>15390</v>
      </c>
      <c r="FG44" s="55">
        <v>15535</v>
      </c>
      <c r="FH44" s="55">
        <v>15667</v>
      </c>
      <c r="FI44" s="55">
        <v>15824</v>
      </c>
      <c r="FJ44" s="39">
        <v>15949</v>
      </c>
      <c r="FK44" s="39">
        <v>16081</v>
      </c>
      <c r="FL44" s="39">
        <v>16206</v>
      </c>
      <c r="FM44" s="39">
        <v>16291</v>
      </c>
      <c r="FN44" s="77">
        <v>16378</v>
      </c>
      <c r="FO44" s="39">
        <v>16477</v>
      </c>
      <c r="FP44" s="39">
        <v>16543</v>
      </c>
      <c r="FQ44" s="39">
        <v>16649</v>
      </c>
      <c r="FR44" s="39">
        <v>16760</v>
      </c>
      <c r="FS44" s="39">
        <v>16893</v>
      </c>
      <c r="FT44" s="39">
        <v>17020</v>
      </c>
      <c r="FU44" s="39">
        <v>17152</v>
      </c>
      <c r="FV44" s="39">
        <v>17261</v>
      </c>
      <c r="FW44" s="39">
        <v>17374</v>
      </c>
      <c r="FX44" s="39">
        <v>17488</v>
      </c>
      <c r="FY44" s="197">
        <v>17539</v>
      </c>
      <c r="FZ44" s="39">
        <v>17636</v>
      </c>
      <c r="GA44" s="39">
        <v>17729</v>
      </c>
      <c r="GB44" s="39">
        <v>17864</v>
      </c>
      <c r="GC44" s="39">
        <v>17986</v>
      </c>
      <c r="GD44" s="39">
        <v>18187</v>
      </c>
      <c r="GE44" s="39">
        <v>18368</v>
      </c>
      <c r="GF44" s="39">
        <v>18510</v>
      </c>
      <c r="GG44" s="39">
        <v>18669</v>
      </c>
      <c r="GH44" s="39">
        <v>18833</v>
      </c>
      <c r="GI44" s="39">
        <v>19011</v>
      </c>
      <c r="GJ44" s="39">
        <v>19179</v>
      </c>
      <c r="GK44" s="197">
        <v>19279</v>
      </c>
      <c r="GL44" s="39">
        <v>19434</v>
      </c>
      <c r="GM44" s="39">
        <v>19595</v>
      </c>
      <c r="GN44" s="39">
        <v>19803</v>
      </c>
      <c r="GO44" s="39">
        <v>20059</v>
      </c>
      <c r="GP44" s="39">
        <v>20256</v>
      </c>
    </row>
    <row r="45" spans="1:198" s="1" customFormat="1" ht="20.149999999999999" customHeight="1" x14ac:dyDescent="0.35">
      <c r="A45" s="31" t="s">
        <v>1625</v>
      </c>
      <c r="B45" s="55">
        <v>14</v>
      </c>
      <c r="C45" s="55">
        <v>14</v>
      </c>
      <c r="D45" s="55">
        <v>15</v>
      </c>
      <c r="E45" s="55">
        <v>15</v>
      </c>
      <c r="F45" s="55">
        <v>15</v>
      </c>
      <c r="G45" s="55">
        <v>16</v>
      </c>
      <c r="H45" s="55">
        <v>17</v>
      </c>
      <c r="I45" s="55">
        <v>17</v>
      </c>
      <c r="J45" s="55">
        <v>17</v>
      </c>
      <c r="K45" s="55">
        <v>17</v>
      </c>
      <c r="L45" s="55">
        <v>17</v>
      </c>
      <c r="M45" s="56">
        <v>17</v>
      </c>
      <c r="N45" s="57">
        <v>17</v>
      </c>
      <c r="O45" s="55">
        <v>17</v>
      </c>
      <c r="P45" s="55">
        <v>17</v>
      </c>
      <c r="Q45" s="55">
        <v>17</v>
      </c>
      <c r="R45" s="55">
        <v>17</v>
      </c>
      <c r="S45" s="55">
        <v>17</v>
      </c>
      <c r="T45" s="55">
        <v>17</v>
      </c>
      <c r="U45" s="55">
        <v>17</v>
      </c>
      <c r="V45" s="55">
        <v>17</v>
      </c>
      <c r="W45" s="55">
        <v>18</v>
      </c>
      <c r="X45" s="55">
        <v>18</v>
      </c>
      <c r="Y45" s="56">
        <v>19</v>
      </c>
      <c r="Z45" s="57">
        <v>19</v>
      </c>
      <c r="AA45" s="55">
        <v>21</v>
      </c>
      <c r="AB45" s="55">
        <v>23</v>
      </c>
      <c r="AC45" s="55">
        <v>24</v>
      </c>
      <c r="AD45" s="55">
        <v>24</v>
      </c>
      <c r="AE45" s="55">
        <v>24</v>
      </c>
      <c r="AF45" s="55">
        <v>24</v>
      </c>
      <c r="AG45" s="55">
        <v>28</v>
      </c>
      <c r="AH45" s="55">
        <v>31</v>
      </c>
      <c r="AI45" s="55">
        <v>38</v>
      </c>
      <c r="AJ45" s="55">
        <v>49</v>
      </c>
      <c r="AK45" s="56">
        <v>54</v>
      </c>
      <c r="AL45" s="57">
        <v>60</v>
      </c>
      <c r="AM45" s="55">
        <v>64</v>
      </c>
      <c r="AN45" s="55">
        <v>69</v>
      </c>
      <c r="AO45" s="55">
        <v>74</v>
      </c>
      <c r="AP45" s="55">
        <v>89</v>
      </c>
      <c r="AQ45" s="55">
        <v>112</v>
      </c>
      <c r="AR45" s="55">
        <v>132</v>
      </c>
      <c r="AS45" s="55">
        <v>178</v>
      </c>
      <c r="AT45" s="55">
        <v>200</v>
      </c>
      <c r="AU45" s="55">
        <v>225</v>
      </c>
      <c r="AV45" s="55">
        <v>272</v>
      </c>
      <c r="AW45" s="56">
        <v>306</v>
      </c>
      <c r="AX45" s="55">
        <v>361</v>
      </c>
      <c r="AY45" s="55">
        <v>567</v>
      </c>
      <c r="AZ45" s="55">
        <v>588</v>
      </c>
      <c r="BA45" s="55">
        <v>614</v>
      </c>
      <c r="BB45" s="55">
        <v>657</v>
      </c>
      <c r="BC45" s="55">
        <v>692</v>
      </c>
      <c r="BD45" s="55">
        <v>720</v>
      </c>
      <c r="BE45" s="55">
        <v>741</v>
      </c>
      <c r="BF45" s="55">
        <v>782</v>
      </c>
      <c r="BG45" s="55">
        <v>814</v>
      </c>
      <c r="BH45" s="55">
        <v>852</v>
      </c>
      <c r="BI45" s="56">
        <v>889</v>
      </c>
      <c r="BJ45" s="55">
        <v>952</v>
      </c>
      <c r="BK45" s="55">
        <v>1051</v>
      </c>
      <c r="BL45" s="55">
        <v>1193</v>
      </c>
      <c r="BM45" s="55">
        <v>1247</v>
      </c>
      <c r="BN45" s="55">
        <v>1296</v>
      </c>
      <c r="BO45" s="55">
        <v>1360</v>
      </c>
      <c r="BP45" s="55">
        <v>1398</v>
      </c>
      <c r="BQ45" s="55">
        <v>1495</v>
      </c>
      <c r="BR45" s="55">
        <v>1761</v>
      </c>
      <c r="BS45" s="55">
        <v>1779</v>
      </c>
      <c r="BT45" s="55">
        <v>1796</v>
      </c>
      <c r="BU45" s="56">
        <v>1809</v>
      </c>
      <c r="BV45" s="55">
        <v>1825</v>
      </c>
      <c r="BW45" s="55">
        <v>1838</v>
      </c>
      <c r="BX45" s="55">
        <v>1860</v>
      </c>
      <c r="BY45" s="55">
        <v>1879</v>
      </c>
      <c r="BZ45" s="55">
        <v>1908</v>
      </c>
      <c r="CA45" s="55">
        <v>1952</v>
      </c>
      <c r="CB45" s="55">
        <v>1995</v>
      </c>
      <c r="CC45" s="55">
        <v>2063</v>
      </c>
      <c r="CD45" s="55">
        <v>2265</v>
      </c>
      <c r="CE45" s="55">
        <v>2269</v>
      </c>
      <c r="CF45" s="55">
        <v>2274</v>
      </c>
      <c r="CG45" s="56">
        <v>2280</v>
      </c>
      <c r="CH45" s="55">
        <v>2282</v>
      </c>
      <c r="CI45" s="55">
        <v>2297</v>
      </c>
      <c r="CJ45" s="55">
        <v>2345</v>
      </c>
      <c r="CK45" s="55">
        <v>2347</v>
      </c>
      <c r="CL45" s="55">
        <v>2347</v>
      </c>
      <c r="CM45" s="55">
        <v>2349</v>
      </c>
      <c r="CN45" s="55">
        <v>2350</v>
      </c>
      <c r="CO45" s="55">
        <v>2353</v>
      </c>
      <c r="CP45" s="55">
        <v>2353</v>
      </c>
      <c r="CQ45" s="55">
        <v>2354</v>
      </c>
      <c r="CR45" s="55">
        <v>2359</v>
      </c>
      <c r="CS45" s="56">
        <v>2364</v>
      </c>
      <c r="CT45" s="55">
        <v>2364</v>
      </c>
      <c r="CU45" s="55">
        <v>2365</v>
      </c>
      <c r="CV45" s="55">
        <v>2365</v>
      </c>
      <c r="CW45" s="55">
        <v>2368</v>
      </c>
      <c r="CX45" s="55">
        <v>2369</v>
      </c>
      <c r="CY45" s="55">
        <v>2370</v>
      </c>
      <c r="CZ45" s="55">
        <v>2371</v>
      </c>
      <c r="DA45" s="55">
        <v>2374</v>
      </c>
      <c r="DB45" s="55">
        <v>2375</v>
      </c>
      <c r="DC45" s="55">
        <v>2376</v>
      </c>
      <c r="DD45" s="55">
        <v>2378</v>
      </c>
      <c r="DE45" s="56">
        <v>2380</v>
      </c>
      <c r="DF45" s="55">
        <v>2380</v>
      </c>
      <c r="DG45" s="55">
        <v>2382</v>
      </c>
      <c r="DH45" s="55">
        <v>2382</v>
      </c>
      <c r="DI45" s="55">
        <v>2382</v>
      </c>
      <c r="DJ45" s="55">
        <v>2382</v>
      </c>
      <c r="DK45" s="55">
        <v>2385</v>
      </c>
      <c r="DL45" s="55">
        <v>2385</v>
      </c>
      <c r="DM45" s="55">
        <v>2386</v>
      </c>
      <c r="DN45" s="55">
        <v>2388</v>
      </c>
      <c r="DO45" s="55">
        <v>2389</v>
      </c>
      <c r="DP45" s="55">
        <v>2390</v>
      </c>
      <c r="DQ45" s="56">
        <v>2391</v>
      </c>
      <c r="DR45" s="55">
        <v>2392</v>
      </c>
      <c r="DS45" s="55">
        <v>2392</v>
      </c>
      <c r="DT45" s="55">
        <v>2393</v>
      </c>
      <c r="DU45" s="55">
        <v>2394</v>
      </c>
      <c r="DV45" s="55">
        <v>2394</v>
      </c>
      <c r="DW45" s="55">
        <v>2396</v>
      </c>
      <c r="DX45" s="55">
        <v>2399</v>
      </c>
      <c r="DY45" s="55">
        <v>2399</v>
      </c>
      <c r="DZ45" s="55">
        <v>2401</v>
      </c>
      <c r="EA45" s="55">
        <v>2401</v>
      </c>
      <c r="EB45" s="55">
        <v>2401</v>
      </c>
      <c r="EC45" s="56">
        <v>2401</v>
      </c>
      <c r="ED45" s="55">
        <v>2402</v>
      </c>
      <c r="EE45" s="55">
        <v>2402</v>
      </c>
      <c r="EF45" s="55">
        <v>2404</v>
      </c>
      <c r="EG45" s="55">
        <v>2409</v>
      </c>
      <c r="EH45" s="55">
        <v>2412</v>
      </c>
      <c r="EI45" s="55">
        <v>2416</v>
      </c>
      <c r="EJ45" s="55">
        <v>2417</v>
      </c>
      <c r="EK45" s="55">
        <v>2418</v>
      </c>
      <c r="EL45" s="55">
        <v>2420</v>
      </c>
      <c r="EM45" s="55">
        <v>2424</v>
      </c>
      <c r="EN45" s="55">
        <v>2426</v>
      </c>
      <c r="EO45" s="56">
        <v>2429</v>
      </c>
      <c r="EP45" s="55">
        <v>2433</v>
      </c>
      <c r="EQ45" s="55">
        <v>2441</v>
      </c>
      <c r="ER45" s="55">
        <v>2450</v>
      </c>
      <c r="ES45" s="55">
        <v>2454</v>
      </c>
      <c r="ET45" s="55">
        <v>2463</v>
      </c>
      <c r="EU45" s="55">
        <v>2475</v>
      </c>
      <c r="EV45" s="55">
        <v>2484</v>
      </c>
      <c r="EW45" s="55">
        <v>2495</v>
      </c>
      <c r="EX45" s="55">
        <v>2507</v>
      </c>
      <c r="EY45" s="55">
        <v>2530</v>
      </c>
      <c r="EZ45" s="55">
        <v>2547</v>
      </c>
      <c r="FA45" s="56">
        <v>2561</v>
      </c>
      <c r="FB45" s="55">
        <v>2578</v>
      </c>
      <c r="FC45" s="55">
        <v>2601</v>
      </c>
      <c r="FD45" s="55">
        <v>2622</v>
      </c>
      <c r="FE45" s="55">
        <v>2650</v>
      </c>
      <c r="FF45" s="55">
        <v>2670</v>
      </c>
      <c r="FG45" s="55">
        <v>2684</v>
      </c>
      <c r="FH45" s="55">
        <v>2695</v>
      </c>
      <c r="FI45" s="55">
        <v>2702</v>
      </c>
      <c r="FJ45" s="39">
        <v>2719</v>
      </c>
      <c r="FK45" s="39">
        <v>2749</v>
      </c>
      <c r="FL45" s="39">
        <v>2761</v>
      </c>
      <c r="FM45" s="39">
        <v>2772</v>
      </c>
      <c r="FN45" s="77">
        <v>2781</v>
      </c>
      <c r="FO45" s="39">
        <v>2798</v>
      </c>
      <c r="FP45" s="39">
        <v>2804</v>
      </c>
      <c r="FQ45" s="39">
        <v>2831</v>
      </c>
      <c r="FR45" s="39">
        <v>2839</v>
      </c>
      <c r="FS45" s="39">
        <v>2847</v>
      </c>
      <c r="FT45" s="39">
        <v>2854</v>
      </c>
      <c r="FU45" s="39">
        <v>2862</v>
      </c>
      <c r="FV45" s="39">
        <v>2866</v>
      </c>
      <c r="FW45" s="39">
        <v>2871</v>
      </c>
      <c r="FX45" s="39">
        <v>2879</v>
      </c>
      <c r="FY45" s="197">
        <v>2884</v>
      </c>
      <c r="FZ45" s="39">
        <v>2889</v>
      </c>
      <c r="GA45" s="39">
        <v>2900</v>
      </c>
      <c r="GB45" s="39">
        <v>2906</v>
      </c>
      <c r="GC45" s="39">
        <v>2919</v>
      </c>
      <c r="GD45" s="39">
        <v>2932</v>
      </c>
      <c r="GE45" s="39">
        <v>2953</v>
      </c>
      <c r="GF45" s="39">
        <v>2965</v>
      </c>
      <c r="GG45" s="39">
        <v>2979</v>
      </c>
      <c r="GH45" s="39">
        <v>2989</v>
      </c>
      <c r="GI45" s="39">
        <v>3009</v>
      </c>
      <c r="GJ45" s="39">
        <v>3027</v>
      </c>
      <c r="GK45" s="197">
        <v>3037</v>
      </c>
      <c r="GL45" s="39">
        <v>3052</v>
      </c>
      <c r="GM45" s="39">
        <v>3067</v>
      </c>
      <c r="GN45" s="39">
        <v>3081</v>
      </c>
      <c r="GO45" s="39">
        <v>3091</v>
      </c>
      <c r="GP45" s="39">
        <v>3095</v>
      </c>
    </row>
    <row r="46" spans="1:198" s="1" customFormat="1" ht="20.149999999999999" customHeight="1" x14ac:dyDescent="0.35">
      <c r="A46" s="31" t="s">
        <v>1627</v>
      </c>
      <c r="B46" s="55">
        <v>0</v>
      </c>
      <c r="C46" s="55">
        <v>0</v>
      </c>
      <c r="D46" s="55">
        <v>0</v>
      </c>
      <c r="E46" s="55">
        <v>0</v>
      </c>
      <c r="F46" s="55">
        <v>0</v>
      </c>
      <c r="G46" s="55">
        <v>0</v>
      </c>
      <c r="H46" s="55">
        <v>0</v>
      </c>
      <c r="I46" s="55">
        <v>0</v>
      </c>
      <c r="J46" s="55">
        <v>0</v>
      </c>
      <c r="K46" s="55">
        <v>0</v>
      </c>
      <c r="L46" s="55">
        <v>0</v>
      </c>
      <c r="M46" s="56">
        <v>0</v>
      </c>
      <c r="N46" s="57">
        <v>0</v>
      </c>
      <c r="O46" s="55">
        <v>0</v>
      </c>
      <c r="P46" s="55">
        <v>0</v>
      </c>
      <c r="Q46" s="55">
        <v>0</v>
      </c>
      <c r="R46" s="55">
        <v>0</v>
      </c>
      <c r="S46" s="55">
        <v>0</v>
      </c>
      <c r="T46" s="55">
        <v>0</v>
      </c>
      <c r="U46" s="55">
        <v>0</v>
      </c>
      <c r="V46" s="55">
        <v>0</v>
      </c>
      <c r="W46" s="55">
        <v>0</v>
      </c>
      <c r="X46" s="55">
        <v>0</v>
      </c>
      <c r="Y46" s="56">
        <v>0</v>
      </c>
      <c r="Z46" s="57">
        <v>0</v>
      </c>
      <c r="AA46" s="55">
        <v>0</v>
      </c>
      <c r="AB46" s="55">
        <v>0</v>
      </c>
      <c r="AC46" s="55">
        <v>0</v>
      </c>
      <c r="AD46" s="55">
        <v>0</v>
      </c>
      <c r="AE46" s="55">
        <v>0</v>
      </c>
      <c r="AF46" s="55">
        <v>0</v>
      </c>
      <c r="AG46" s="55">
        <v>0</v>
      </c>
      <c r="AH46" s="55">
        <v>0</v>
      </c>
      <c r="AI46" s="55">
        <v>1</v>
      </c>
      <c r="AJ46" s="55">
        <v>2</v>
      </c>
      <c r="AK46" s="56">
        <v>2</v>
      </c>
      <c r="AL46" s="57">
        <v>2</v>
      </c>
      <c r="AM46" s="55">
        <v>2</v>
      </c>
      <c r="AN46" s="55">
        <v>2</v>
      </c>
      <c r="AO46" s="55">
        <v>2</v>
      </c>
      <c r="AP46" s="55">
        <v>2</v>
      </c>
      <c r="AQ46" s="55">
        <v>2</v>
      </c>
      <c r="AR46" s="55">
        <v>2</v>
      </c>
      <c r="AS46" s="55">
        <v>2</v>
      </c>
      <c r="AT46" s="55">
        <v>2</v>
      </c>
      <c r="AU46" s="55">
        <v>2</v>
      </c>
      <c r="AV46" s="55">
        <v>6</v>
      </c>
      <c r="AW46" s="56">
        <v>6</v>
      </c>
      <c r="AX46" s="55">
        <v>9</v>
      </c>
      <c r="AY46" s="55">
        <v>14</v>
      </c>
      <c r="AZ46" s="55">
        <v>17</v>
      </c>
      <c r="BA46" s="55">
        <v>17</v>
      </c>
      <c r="BB46" s="55">
        <v>24</v>
      </c>
      <c r="BC46" s="55">
        <v>29</v>
      </c>
      <c r="BD46" s="55">
        <v>37</v>
      </c>
      <c r="BE46" s="55">
        <v>39</v>
      </c>
      <c r="BF46" s="55">
        <v>40</v>
      </c>
      <c r="BG46" s="55">
        <v>44</v>
      </c>
      <c r="BH46" s="55">
        <v>45</v>
      </c>
      <c r="BI46" s="56">
        <v>49</v>
      </c>
      <c r="BJ46" s="55">
        <v>54</v>
      </c>
      <c r="BK46" s="55">
        <v>54</v>
      </c>
      <c r="BL46" s="55">
        <v>61</v>
      </c>
      <c r="BM46" s="55">
        <v>64</v>
      </c>
      <c r="BN46" s="55">
        <v>71</v>
      </c>
      <c r="BO46" s="55">
        <v>74</v>
      </c>
      <c r="BP46" s="55">
        <v>78</v>
      </c>
      <c r="BQ46" s="55">
        <v>92</v>
      </c>
      <c r="BR46" s="55">
        <v>107</v>
      </c>
      <c r="BS46" s="55">
        <v>110</v>
      </c>
      <c r="BT46" s="55">
        <v>110</v>
      </c>
      <c r="BU46" s="56">
        <v>111</v>
      </c>
      <c r="BV46" s="55">
        <v>111</v>
      </c>
      <c r="BW46" s="55">
        <v>112</v>
      </c>
      <c r="BX46" s="55">
        <v>112</v>
      </c>
      <c r="BY46" s="55">
        <v>113</v>
      </c>
      <c r="BZ46" s="55">
        <v>114</v>
      </c>
      <c r="CA46" s="55">
        <v>115</v>
      </c>
      <c r="CB46" s="55">
        <v>116</v>
      </c>
      <c r="CC46" s="55">
        <v>117</v>
      </c>
      <c r="CD46" s="55">
        <v>117</v>
      </c>
      <c r="CE46" s="55">
        <v>117</v>
      </c>
      <c r="CF46" s="55">
        <v>117</v>
      </c>
      <c r="CG46" s="56">
        <v>117</v>
      </c>
      <c r="CH46" s="55">
        <v>120</v>
      </c>
      <c r="CI46" s="55">
        <v>123</v>
      </c>
      <c r="CJ46" s="55">
        <v>132</v>
      </c>
      <c r="CK46" s="55">
        <v>132</v>
      </c>
      <c r="CL46" s="55">
        <v>133</v>
      </c>
      <c r="CM46" s="55">
        <v>133</v>
      </c>
      <c r="CN46" s="55">
        <v>133</v>
      </c>
      <c r="CO46" s="55">
        <v>133</v>
      </c>
      <c r="CP46" s="55">
        <v>133</v>
      </c>
      <c r="CQ46" s="55">
        <v>133</v>
      </c>
      <c r="CR46" s="55">
        <v>133</v>
      </c>
      <c r="CS46" s="56">
        <v>133</v>
      </c>
      <c r="CT46" s="55">
        <v>133</v>
      </c>
      <c r="CU46" s="55">
        <v>133</v>
      </c>
      <c r="CV46" s="55">
        <v>140</v>
      </c>
      <c r="CW46" s="55">
        <v>140</v>
      </c>
      <c r="CX46" s="55">
        <v>140</v>
      </c>
      <c r="CY46" s="55">
        <v>140</v>
      </c>
      <c r="CZ46" s="55">
        <v>140</v>
      </c>
      <c r="DA46" s="55">
        <v>140</v>
      </c>
      <c r="DB46" s="55">
        <v>140</v>
      </c>
      <c r="DC46" s="55">
        <v>140</v>
      </c>
      <c r="DD46" s="55">
        <v>140</v>
      </c>
      <c r="DE46" s="56">
        <v>140</v>
      </c>
      <c r="DF46" s="55">
        <v>140</v>
      </c>
      <c r="DG46" s="55">
        <v>140</v>
      </c>
      <c r="DH46" s="55">
        <v>140</v>
      </c>
      <c r="DI46" s="55">
        <v>140</v>
      </c>
      <c r="DJ46" s="55">
        <v>140</v>
      </c>
      <c r="DK46" s="55">
        <v>140</v>
      </c>
      <c r="DL46" s="55">
        <v>140</v>
      </c>
      <c r="DM46" s="55">
        <v>140</v>
      </c>
      <c r="DN46" s="55">
        <v>140</v>
      </c>
      <c r="DO46" s="55">
        <v>140</v>
      </c>
      <c r="DP46" s="55">
        <v>140</v>
      </c>
      <c r="DQ46" s="56">
        <v>140</v>
      </c>
      <c r="DR46" s="55">
        <v>140</v>
      </c>
      <c r="DS46" s="55">
        <v>140</v>
      </c>
      <c r="DT46" s="55">
        <v>140</v>
      </c>
      <c r="DU46" s="55">
        <v>140</v>
      </c>
      <c r="DV46" s="55">
        <v>140</v>
      </c>
      <c r="DW46" s="55">
        <v>140</v>
      </c>
      <c r="DX46" s="55">
        <v>140</v>
      </c>
      <c r="DY46" s="55">
        <v>142</v>
      </c>
      <c r="DZ46" s="55">
        <v>142</v>
      </c>
      <c r="EA46" s="55">
        <v>142</v>
      </c>
      <c r="EB46" s="55">
        <v>142</v>
      </c>
      <c r="EC46" s="56">
        <v>142</v>
      </c>
      <c r="ED46" s="55">
        <v>142</v>
      </c>
      <c r="EE46" s="55">
        <v>142</v>
      </c>
      <c r="EF46" s="55">
        <v>142</v>
      </c>
      <c r="EG46" s="55">
        <v>142</v>
      </c>
      <c r="EH46" s="55">
        <v>142</v>
      </c>
      <c r="EI46" s="55">
        <v>142</v>
      </c>
      <c r="EJ46" s="55">
        <v>142</v>
      </c>
      <c r="EK46" s="55">
        <v>142</v>
      </c>
      <c r="EL46" s="55">
        <v>142</v>
      </c>
      <c r="EM46" s="55">
        <v>142</v>
      </c>
      <c r="EN46" s="55">
        <v>142</v>
      </c>
      <c r="EO46" s="56">
        <v>142</v>
      </c>
      <c r="EP46" s="55">
        <v>142</v>
      </c>
      <c r="EQ46" s="55">
        <v>142</v>
      </c>
      <c r="ER46" s="55">
        <v>143</v>
      </c>
      <c r="ES46" s="55">
        <v>143</v>
      </c>
      <c r="ET46" s="55">
        <v>144</v>
      </c>
      <c r="EU46" s="55">
        <v>144</v>
      </c>
      <c r="EV46" s="55">
        <v>144</v>
      </c>
      <c r="EW46" s="55">
        <v>144</v>
      </c>
      <c r="EX46" s="55">
        <v>144</v>
      </c>
      <c r="EY46" s="55">
        <v>144</v>
      </c>
      <c r="EZ46" s="55">
        <v>144</v>
      </c>
      <c r="FA46" s="56">
        <v>144</v>
      </c>
      <c r="FB46" s="55">
        <v>144</v>
      </c>
      <c r="FC46" s="55">
        <v>144</v>
      </c>
      <c r="FD46" s="55">
        <v>144</v>
      </c>
      <c r="FE46" s="55">
        <v>144</v>
      </c>
      <c r="FF46" s="55">
        <v>144</v>
      </c>
      <c r="FG46" s="55">
        <v>144</v>
      </c>
      <c r="FH46" s="55">
        <v>144</v>
      </c>
      <c r="FI46" s="55">
        <v>144</v>
      </c>
      <c r="FJ46" s="39">
        <v>145</v>
      </c>
      <c r="FK46" s="39">
        <v>151</v>
      </c>
      <c r="FL46" s="39">
        <v>151</v>
      </c>
      <c r="FM46" s="39">
        <v>151</v>
      </c>
      <c r="FN46" s="77">
        <v>151</v>
      </c>
      <c r="FO46" s="39">
        <v>151</v>
      </c>
      <c r="FP46" s="39">
        <v>151</v>
      </c>
      <c r="FQ46" s="39">
        <v>151</v>
      </c>
      <c r="FR46" s="39">
        <v>151</v>
      </c>
      <c r="FS46" s="39">
        <v>151</v>
      </c>
      <c r="FT46" s="39">
        <v>152</v>
      </c>
      <c r="FU46" s="39">
        <v>152</v>
      </c>
      <c r="FV46" s="39">
        <v>152</v>
      </c>
      <c r="FW46" s="39">
        <v>152</v>
      </c>
      <c r="FX46" s="39">
        <v>152</v>
      </c>
      <c r="FY46" s="197">
        <v>153</v>
      </c>
      <c r="FZ46" s="39">
        <v>153</v>
      </c>
      <c r="GA46" s="39">
        <v>153</v>
      </c>
      <c r="GB46" s="39">
        <v>153</v>
      </c>
      <c r="GC46" s="39">
        <v>153</v>
      </c>
      <c r="GD46" s="39">
        <v>153</v>
      </c>
      <c r="GE46" s="39">
        <v>153</v>
      </c>
      <c r="GF46" s="39">
        <v>154</v>
      </c>
      <c r="GG46" s="39">
        <v>155</v>
      </c>
      <c r="GH46" s="39">
        <v>155</v>
      </c>
      <c r="GI46" s="39">
        <v>155</v>
      </c>
      <c r="GJ46" s="39">
        <v>155</v>
      </c>
      <c r="GK46" s="197">
        <v>155</v>
      </c>
      <c r="GL46" s="39">
        <v>155</v>
      </c>
      <c r="GM46" s="39">
        <v>156</v>
      </c>
      <c r="GN46" s="39">
        <v>156</v>
      </c>
      <c r="GO46" s="39">
        <v>156</v>
      </c>
      <c r="GP46" s="39">
        <v>156</v>
      </c>
    </row>
    <row r="47" spans="1:198" s="1" customFormat="1" ht="20.149999999999999" customHeight="1" x14ac:dyDescent="0.35">
      <c r="A47" s="31" t="s">
        <v>1624</v>
      </c>
      <c r="B47" s="55">
        <v>0</v>
      </c>
      <c r="C47" s="55">
        <v>0</v>
      </c>
      <c r="D47" s="55">
        <v>0</v>
      </c>
      <c r="E47" s="55">
        <v>0</v>
      </c>
      <c r="F47" s="55">
        <v>0</v>
      </c>
      <c r="G47" s="55">
        <v>0</v>
      </c>
      <c r="H47" s="55">
        <v>0</v>
      </c>
      <c r="I47" s="55">
        <v>0</v>
      </c>
      <c r="J47" s="55">
        <v>0</v>
      </c>
      <c r="K47" s="55">
        <v>0</v>
      </c>
      <c r="L47" s="55">
        <v>0</v>
      </c>
      <c r="M47" s="56">
        <v>0</v>
      </c>
      <c r="N47" s="57">
        <v>0</v>
      </c>
      <c r="O47" s="55">
        <v>0</v>
      </c>
      <c r="P47" s="55">
        <v>0</v>
      </c>
      <c r="Q47" s="55">
        <v>0</v>
      </c>
      <c r="R47" s="55">
        <v>0</v>
      </c>
      <c r="S47" s="55">
        <v>0</v>
      </c>
      <c r="T47" s="55">
        <v>0</v>
      </c>
      <c r="U47" s="55">
        <v>0</v>
      </c>
      <c r="V47" s="55">
        <v>0</v>
      </c>
      <c r="W47" s="55">
        <v>0</v>
      </c>
      <c r="X47" s="55">
        <v>0</v>
      </c>
      <c r="Y47" s="56">
        <v>0</v>
      </c>
      <c r="Z47" s="57">
        <v>0</v>
      </c>
      <c r="AA47" s="55">
        <v>0</v>
      </c>
      <c r="AB47" s="55">
        <v>0</v>
      </c>
      <c r="AC47" s="55">
        <v>0</v>
      </c>
      <c r="AD47" s="55">
        <v>0</v>
      </c>
      <c r="AE47" s="55">
        <v>0</v>
      </c>
      <c r="AF47" s="55">
        <v>0</v>
      </c>
      <c r="AG47" s="55">
        <v>0</v>
      </c>
      <c r="AH47" s="55">
        <v>0</v>
      </c>
      <c r="AI47" s="55">
        <v>0</v>
      </c>
      <c r="AJ47" s="55">
        <v>0</v>
      </c>
      <c r="AK47" s="56">
        <v>0</v>
      </c>
      <c r="AL47" s="57">
        <v>0</v>
      </c>
      <c r="AM47" s="55">
        <v>0</v>
      </c>
      <c r="AN47" s="55">
        <v>0</v>
      </c>
      <c r="AO47" s="55">
        <v>0</v>
      </c>
      <c r="AP47" s="55">
        <v>0</v>
      </c>
      <c r="AQ47" s="55">
        <v>0</v>
      </c>
      <c r="AR47" s="55">
        <v>0</v>
      </c>
      <c r="AS47" s="55">
        <v>0</v>
      </c>
      <c r="AT47" s="55">
        <v>0</v>
      </c>
      <c r="AU47" s="55">
        <v>0</v>
      </c>
      <c r="AV47" s="55">
        <v>0</v>
      </c>
      <c r="AW47" s="56">
        <v>0</v>
      </c>
      <c r="AX47" s="55">
        <v>0</v>
      </c>
      <c r="AY47" s="55">
        <v>0</v>
      </c>
      <c r="AZ47" s="55">
        <v>0</v>
      </c>
      <c r="BA47" s="55">
        <v>0</v>
      </c>
      <c r="BB47" s="55">
        <v>0</v>
      </c>
      <c r="BC47" s="55">
        <v>0</v>
      </c>
      <c r="BD47" s="55">
        <v>0</v>
      </c>
      <c r="BE47" s="55">
        <v>0</v>
      </c>
      <c r="BF47" s="55">
        <v>0</v>
      </c>
      <c r="BG47" s="55">
        <v>0</v>
      </c>
      <c r="BH47" s="55">
        <v>0</v>
      </c>
      <c r="BI47" s="56">
        <v>0</v>
      </c>
      <c r="BJ47" s="55">
        <v>0</v>
      </c>
      <c r="BK47" s="55">
        <v>0</v>
      </c>
      <c r="BL47" s="55">
        <v>0</v>
      </c>
      <c r="BM47" s="55">
        <v>0</v>
      </c>
      <c r="BN47" s="55">
        <v>0</v>
      </c>
      <c r="BO47" s="55">
        <v>0</v>
      </c>
      <c r="BP47" s="55">
        <v>0</v>
      </c>
      <c r="BQ47" s="55">
        <v>0</v>
      </c>
      <c r="BR47" s="55">
        <v>0</v>
      </c>
      <c r="BS47" s="55">
        <v>0</v>
      </c>
      <c r="BT47" s="55">
        <v>0</v>
      </c>
      <c r="BU47" s="56">
        <v>0</v>
      </c>
      <c r="BV47" s="55">
        <v>0</v>
      </c>
      <c r="BW47" s="55">
        <v>0</v>
      </c>
      <c r="BX47" s="55">
        <v>0</v>
      </c>
      <c r="BY47" s="55">
        <v>1</v>
      </c>
      <c r="BZ47" s="55">
        <v>1</v>
      </c>
      <c r="CA47" s="55">
        <v>1</v>
      </c>
      <c r="CB47" s="55">
        <v>1</v>
      </c>
      <c r="CC47" s="55">
        <v>1</v>
      </c>
      <c r="CD47" s="55">
        <v>1</v>
      </c>
      <c r="CE47" s="55">
        <v>1</v>
      </c>
      <c r="CF47" s="55">
        <v>1</v>
      </c>
      <c r="CG47" s="56">
        <v>1</v>
      </c>
      <c r="CH47" s="55">
        <v>1</v>
      </c>
      <c r="CI47" s="55">
        <v>4</v>
      </c>
      <c r="CJ47" s="55">
        <v>9</v>
      </c>
      <c r="CK47" s="55">
        <v>9</v>
      </c>
      <c r="CL47" s="55">
        <v>9</v>
      </c>
      <c r="CM47" s="55">
        <v>9</v>
      </c>
      <c r="CN47" s="55">
        <v>9</v>
      </c>
      <c r="CO47" s="55">
        <v>9</v>
      </c>
      <c r="CP47" s="55">
        <v>9</v>
      </c>
      <c r="CQ47" s="55">
        <v>9</v>
      </c>
      <c r="CR47" s="55">
        <v>9</v>
      </c>
      <c r="CS47" s="56">
        <v>11</v>
      </c>
      <c r="CT47" s="55">
        <v>11</v>
      </c>
      <c r="CU47" s="55">
        <v>12</v>
      </c>
      <c r="CV47" s="55">
        <v>13</v>
      </c>
      <c r="CW47" s="55">
        <v>14</v>
      </c>
      <c r="CX47" s="55">
        <v>15</v>
      </c>
      <c r="CY47" s="55">
        <v>15</v>
      </c>
      <c r="CZ47" s="55">
        <v>15</v>
      </c>
      <c r="DA47" s="55">
        <v>15</v>
      </c>
      <c r="DB47" s="55">
        <v>15</v>
      </c>
      <c r="DC47" s="55">
        <v>15</v>
      </c>
      <c r="DD47" s="55">
        <v>15</v>
      </c>
      <c r="DE47" s="56">
        <v>15</v>
      </c>
      <c r="DF47" s="55">
        <v>15</v>
      </c>
      <c r="DG47" s="55">
        <v>15</v>
      </c>
      <c r="DH47" s="55">
        <v>15</v>
      </c>
      <c r="DI47" s="55">
        <v>15</v>
      </c>
      <c r="DJ47" s="55">
        <v>15</v>
      </c>
      <c r="DK47" s="55">
        <v>15</v>
      </c>
      <c r="DL47" s="55">
        <v>15</v>
      </c>
      <c r="DM47" s="55">
        <v>15</v>
      </c>
      <c r="DN47" s="55">
        <v>15</v>
      </c>
      <c r="DO47" s="55">
        <v>15</v>
      </c>
      <c r="DP47" s="55">
        <v>15</v>
      </c>
      <c r="DQ47" s="56">
        <v>15</v>
      </c>
      <c r="DR47" s="55">
        <v>15</v>
      </c>
      <c r="DS47" s="55">
        <v>15</v>
      </c>
      <c r="DT47" s="55">
        <v>15</v>
      </c>
      <c r="DU47" s="55">
        <v>15</v>
      </c>
      <c r="DV47" s="55">
        <v>15</v>
      </c>
      <c r="DW47" s="55">
        <v>15</v>
      </c>
      <c r="DX47" s="55">
        <v>15</v>
      </c>
      <c r="DY47" s="55">
        <v>15</v>
      </c>
      <c r="DZ47" s="55">
        <v>15</v>
      </c>
      <c r="EA47" s="55">
        <v>15</v>
      </c>
      <c r="EB47" s="55">
        <v>15</v>
      </c>
      <c r="EC47" s="56">
        <v>15</v>
      </c>
      <c r="ED47" s="55">
        <v>15</v>
      </c>
      <c r="EE47" s="55">
        <v>15</v>
      </c>
      <c r="EF47" s="55">
        <v>15</v>
      </c>
      <c r="EG47" s="55">
        <v>15</v>
      </c>
      <c r="EH47" s="55">
        <v>15</v>
      </c>
      <c r="EI47" s="55">
        <v>15</v>
      </c>
      <c r="EJ47" s="55">
        <v>15</v>
      </c>
      <c r="EK47" s="55">
        <v>15</v>
      </c>
      <c r="EL47" s="55">
        <v>15</v>
      </c>
      <c r="EM47" s="55">
        <v>15</v>
      </c>
      <c r="EN47" s="55">
        <v>15</v>
      </c>
      <c r="EO47" s="56">
        <v>15</v>
      </c>
      <c r="EP47" s="55">
        <v>15</v>
      </c>
      <c r="EQ47" s="55">
        <v>15</v>
      </c>
      <c r="ER47" s="55">
        <v>15</v>
      </c>
      <c r="ES47" s="55">
        <v>15</v>
      </c>
      <c r="ET47" s="55">
        <v>15</v>
      </c>
      <c r="EU47" s="55">
        <v>15</v>
      </c>
      <c r="EV47" s="55">
        <v>15</v>
      </c>
      <c r="EW47" s="55">
        <v>15</v>
      </c>
      <c r="EX47" s="55">
        <v>15</v>
      </c>
      <c r="EY47" s="55">
        <v>15</v>
      </c>
      <c r="EZ47" s="55">
        <v>15</v>
      </c>
      <c r="FA47" s="56">
        <v>15</v>
      </c>
      <c r="FB47" s="55">
        <v>15</v>
      </c>
      <c r="FC47" s="55">
        <v>15</v>
      </c>
      <c r="FD47" s="55">
        <v>15</v>
      </c>
      <c r="FE47" s="55">
        <v>15</v>
      </c>
      <c r="FF47" s="55">
        <v>15</v>
      </c>
      <c r="FG47" s="55">
        <v>15</v>
      </c>
      <c r="FH47" s="55">
        <v>15</v>
      </c>
      <c r="FI47" s="55">
        <v>15</v>
      </c>
      <c r="FJ47" s="39">
        <v>15</v>
      </c>
      <c r="FK47" s="39">
        <v>15</v>
      </c>
      <c r="FL47" s="39">
        <v>15</v>
      </c>
      <c r="FM47" s="39">
        <v>15</v>
      </c>
      <c r="FN47" s="77">
        <v>15</v>
      </c>
      <c r="FO47" s="39">
        <v>15</v>
      </c>
      <c r="FP47" s="39">
        <v>15</v>
      </c>
      <c r="FQ47" s="39">
        <v>15</v>
      </c>
      <c r="FR47" s="39">
        <v>15</v>
      </c>
      <c r="FS47" s="39">
        <v>15</v>
      </c>
      <c r="FT47" s="39">
        <v>15</v>
      </c>
      <c r="FU47" s="39">
        <v>15</v>
      </c>
      <c r="FV47" s="39">
        <v>15</v>
      </c>
      <c r="FW47" s="39">
        <v>15</v>
      </c>
      <c r="FX47" s="39">
        <v>15</v>
      </c>
      <c r="FY47" s="197">
        <v>15</v>
      </c>
      <c r="FZ47" s="39">
        <v>15</v>
      </c>
      <c r="GA47" s="39">
        <v>15</v>
      </c>
      <c r="GB47" s="39">
        <v>15</v>
      </c>
      <c r="GC47" s="39">
        <v>15</v>
      </c>
      <c r="GD47" s="39">
        <v>15</v>
      </c>
      <c r="GE47" s="39">
        <v>15</v>
      </c>
      <c r="GF47" s="39">
        <v>15</v>
      </c>
      <c r="GG47" s="39">
        <v>15</v>
      </c>
      <c r="GH47" s="39">
        <v>15</v>
      </c>
      <c r="GI47" s="39">
        <v>15</v>
      </c>
      <c r="GJ47" s="39">
        <v>15</v>
      </c>
      <c r="GK47" s="197">
        <v>15</v>
      </c>
      <c r="GL47" s="39">
        <v>15</v>
      </c>
      <c r="GM47" s="39">
        <v>15</v>
      </c>
      <c r="GN47" s="39">
        <v>15</v>
      </c>
      <c r="GO47" s="39">
        <v>15</v>
      </c>
      <c r="GP47" s="39">
        <v>15</v>
      </c>
    </row>
    <row r="48" spans="1:198" s="1" customFormat="1" ht="20.149999999999999" customHeight="1" x14ac:dyDescent="0.4">
      <c r="A48" s="31" t="s">
        <v>1628</v>
      </c>
      <c r="B48" s="58">
        <v>0</v>
      </c>
      <c r="C48" s="58">
        <v>0</v>
      </c>
      <c r="D48" s="58">
        <v>0</v>
      </c>
      <c r="E48" s="58">
        <v>0</v>
      </c>
      <c r="F48" s="58">
        <v>0</v>
      </c>
      <c r="G48" s="58">
        <v>0</v>
      </c>
      <c r="H48" s="58">
        <v>0</v>
      </c>
      <c r="I48" s="58">
        <v>0</v>
      </c>
      <c r="J48" s="58">
        <v>0</v>
      </c>
      <c r="K48" s="58">
        <v>0</v>
      </c>
      <c r="L48" s="58">
        <v>0</v>
      </c>
      <c r="M48" s="59">
        <v>0</v>
      </c>
      <c r="N48" s="60">
        <v>0</v>
      </c>
      <c r="O48" s="58">
        <v>0</v>
      </c>
      <c r="P48" s="58">
        <v>0</v>
      </c>
      <c r="Q48" s="58">
        <v>0</v>
      </c>
      <c r="R48" s="58">
        <v>0</v>
      </c>
      <c r="S48" s="58">
        <v>0</v>
      </c>
      <c r="T48" s="58">
        <v>0</v>
      </c>
      <c r="U48" s="58">
        <v>0</v>
      </c>
      <c r="V48" s="58">
        <v>0</v>
      </c>
      <c r="W48" s="58">
        <v>0</v>
      </c>
      <c r="X48" s="58">
        <v>0</v>
      </c>
      <c r="Y48" s="59">
        <v>0</v>
      </c>
      <c r="Z48" s="60">
        <v>0</v>
      </c>
      <c r="AA48" s="58">
        <v>0</v>
      </c>
      <c r="AB48" s="58">
        <v>0</v>
      </c>
      <c r="AC48" s="58">
        <v>0</v>
      </c>
      <c r="AD48" s="58">
        <v>0</v>
      </c>
      <c r="AE48" s="58">
        <v>0</v>
      </c>
      <c r="AF48" s="58">
        <v>0</v>
      </c>
      <c r="AG48" s="58">
        <v>0</v>
      </c>
      <c r="AH48" s="58">
        <v>0</v>
      </c>
      <c r="AI48" s="58">
        <v>0</v>
      </c>
      <c r="AJ48" s="58">
        <v>0</v>
      </c>
      <c r="AK48" s="59">
        <v>0</v>
      </c>
      <c r="AL48" s="60">
        <v>0</v>
      </c>
      <c r="AM48" s="58">
        <v>0</v>
      </c>
      <c r="AN48" s="58">
        <v>0</v>
      </c>
      <c r="AO48" s="58">
        <v>0</v>
      </c>
      <c r="AP48" s="58">
        <v>0</v>
      </c>
      <c r="AQ48" s="58">
        <v>0</v>
      </c>
      <c r="AR48" s="58">
        <v>0</v>
      </c>
      <c r="AS48" s="58">
        <v>0</v>
      </c>
      <c r="AT48" s="58">
        <v>0</v>
      </c>
      <c r="AU48" s="58">
        <v>0</v>
      </c>
      <c r="AV48" s="58">
        <v>0</v>
      </c>
      <c r="AW48" s="59">
        <v>0</v>
      </c>
      <c r="AX48" s="58">
        <v>0</v>
      </c>
      <c r="AY48" s="58">
        <v>0</v>
      </c>
      <c r="AZ48" s="58">
        <v>0</v>
      </c>
      <c r="BA48" s="58">
        <v>0</v>
      </c>
      <c r="BB48" s="58">
        <v>0</v>
      </c>
      <c r="BC48" s="58">
        <v>0</v>
      </c>
      <c r="BD48" s="58">
        <v>0</v>
      </c>
      <c r="BE48" s="58">
        <v>0</v>
      </c>
      <c r="BF48" s="58">
        <v>0</v>
      </c>
      <c r="BG48" s="58">
        <v>0</v>
      </c>
      <c r="BH48" s="58">
        <v>0</v>
      </c>
      <c r="BI48" s="59">
        <v>0</v>
      </c>
      <c r="BJ48" s="58">
        <v>0</v>
      </c>
      <c r="BK48" s="58">
        <v>0</v>
      </c>
      <c r="BL48" s="58">
        <v>0</v>
      </c>
      <c r="BM48" s="58">
        <v>0</v>
      </c>
      <c r="BN48" s="58">
        <v>0</v>
      </c>
      <c r="BO48" s="58">
        <v>0</v>
      </c>
      <c r="BP48" s="58">
        <v>0</v>
      </c>
      <c r="BQ48" s="58">
        <v>0</v>
      </c>
      <c r="BR48" s="58">
        <v>0</v>
      </c>
      <c r="BS48" s="58">
        <v>0</v>
      </c>
      <c r="BT48" s="58">
        <v>0</v>
      </c>
      <c r="BU48" s="59">
        <v>0</v>
      </c>
      <c r="BV48" s="58">
        <v>0</v>
      </c>
      <c r="BW48" s="58">
        <v>0</v>
      </c>
      <c r="BX48" s="58">
        <v>0</v>
      </c>
      <c r="BY48" s="58">
        <v>0</v>
      </c>
      <c r="BZ48" s="58">
        <v>0</v>
      </c>
      <c r="CA48" s="58">
        <v>0</v>
      </c>
      <c r="CB48" s="58">
        <v>0</v>
      </c>
      <c r="CC48" s="58">
        <v>0</v>
      </c>
      <c r="CD48" s="58">
        <v>0</v>
      </c>
      <c r="CE48" s="58">
        <v>0</v>
      </c>
      <c r="CF48" s="58">
        <v>0</v>
      </c>
      <c r="CG48" s="59">
        <v>0</v>
      </c>
      <c r="CH48" s="55">
        <v>0</v>
      </c>
      <c r="CI48" s="55">
        <v>0</v>
      </c>
      <c r="CJ48" s="55">
        <v>1</v>
      </c>
      <c r="CK48" s="55">
        <v>1</v>
      </c>
      <c r="CL48" s="55">
        <v>1</v>
      </c>
      <c r="CM48" s="55">
        <v>1</v>
      </c>
      <c r="CN48" s="55">
        <v>1</v>
      </c>
      <c r="CO48" s="55">
        <v>1</v>
      </c>
      <c r="CP48" s="55">
        <v>1</v>
      </c>
      <c r="CQ48" s="55">
        <v>1</v>
      </c>
      <c r="CR48" s="55">
        <v>1</v>
      </c>
      <c r="CS48" s="56">
        <v>1</v>
      </c>
      <c r="CT48" s="55">
        <v>2</v>
      </c>
      <c r="CU48" s="55">
        <v>2</v>
      </c>
      <c r="CV48" s="55">
        <v>2</v>
      </c>
      <c r="CW48" s="55">
        <v>2</v>
      </c>
      <c r="CX48" s="55">
        <v>2</v>
      </c>
      <c r="CY48" s="55">
        <v>2</v>
      </c>
      <c r="CZ48" s="55">
        <v>2</v>
      </c>
      <c r="DA48" s="55">
        <v>2</v>
      </c>
      <c r="DB48" s="55">
        <v>2</v>
      </c>
      <c r="DC48" s="55">
        <v>2</v>
      </c>
      <c r="DD48" s="58">
        <v>2</v>
      </c>
      <c r="DE48" s="59">
        <v>2</v>
      </c>
      <c r="DF48" s="55">
        <v>2</v>
      </c>
      <c r="DG48" s="55">
        <v>2</v>
      </c>
      <c r="DH48" s="58">
        <v>2</v>
      </c>
      <c r="DI48" s="55">
        <v>2</v>
      </c>
      <c r="DJ48" s="55">
        <v>2</v>
      </c>
      <c r="DK48" s="55">
        <v>2</v>
      </c>
      <c r="DL48" s="58">
        <v>2</v>
      </c>
      <c r="DM48" s="55">
        <v>2</v>
      </c>
      <c r="DN48" s="55">
        <v>2</v>
      </c>
      <c r="DO48" s="55">
        <v>2</v>
      </c>
      <c r="DP48" s="55">
        <v>2</v>
      </c>
      <c r="DQ48" s="59">
        <v>2</v>
      </c>
      <c r="DR48" s="55">
        <v>2</v>
      </c>
      <c r="DS48" s="55">
        <v>2</v>
      </c>
      <c r="DT48" s="55">
        <v>2</v>
      </c>
      <c r="DU48" s="55">
        <v>2</v>
      </c>
      <c r="DV48" s="55">
        <v>2</v>
      </c>
      <c r="DW48" s="55">
        <v>2</v>
      </c>
      <c r="DX48" s="55">
        <v>2</v>
      </c>
      <c r="DY48" s="55">
        <v>2</v>
      </c>
      <c r="DZ48" s="55">
        <v>2</v>
      </c>
      <c r="EA48" s="55">
        <v>2</v>
      </c>
      <c r="EB48" s="55">
        <v>2</v>
      </c>
      <c r="EC48" s="56">
        <v>2</v>
      </c>
      <c r="ED48" s="55">
        <v>2</v>
      </c>
      <c r="EE48" s="55">
        <v>2</v>
      </c>
      <c r="EF48" s="55">
        <v>2</v>
      </c>
      <c r="EG48" s="55">
        <v>2</v>
      </c>
      <c r="EH48" s="55">
        <v>2</v>
      </c>
      <c r="EI48" s="55">
        <v>2</v>
      </c>
      <c r="EJ48" s="55">
        <v>2</v>
      </c>
      <c r="EK48" s="55">
        <v>2</v>
      </c>
      <c r="EL48" s="55">
        <v>2</v>
      </c>
      <c r="EM48" s="55">
        <v>2</v>
      </c>
      <c r="EN48" s="55">
        <v>2</v>
      </c>
      <c r="EO48" s="56">
        <v>2</v>
      </c>
      <c r="EP48" s="55">
        <v>2</v>
      </c>
      <c r="EQ48" s="55">
        <v>2</v>
      </c>
      <c r="ER48" s="55">
        <v>2</v>
      </c>
      <c r="ES48" s="55">
        <v>2</v>
      </c>
      <c r="ET48" s="55">
        <v>2</v>
      </c>
      <c r="EU48" s="55">
        <v>2</v>
      </c>
      <c r="EV48" s="55">
        <v>2</v>
      </c>
      <c r="EW48" s="55">
        <v>2</v>
      </c>
      <c r="EX48" s="55">
        <v>2</v>
      </c>
      <c r="EY48" s="55">
        <v>2</v>
      </c>
      <c r="EZ48" s="55">
        <v>2</v>
      </c>
      <c r="FA48" s="56">
        <v>2</v>
      </c>
      <c r="FB48" s="55">
        <v>2</v>
      </c>
      <c r="FC48" s="55">
        <v>2</v>
      </c>
      <c r="FD48" s="55">
        <v>2</v>
      </c>
      <c r="FE48" s="55">
        <v>2</v>
      </c>
      <c r="FF48" s="55">
        <v>2</v>
      </c>
      <c r="FG48" s="55">
        <v>2</v>
      </c>
      <c r="FH48" s="55">
        <v>2</v>
      </c>
      <c r="FI48" s="55">
        <v>2</v>
      </c>
      <c r="FJ48" s="39">
        <v>2</v>
      </c>
      <c r="FK48" s="39">
        <v>2</v>
      </c>
      <c r="FL48" s="39">
        <v>2</v>
      </c>
      <c r="FM48" s="39">
        <v>2</v>
      </c>
      <c r="FN48" s="77">
        <v>2</v>
      </c>
      <c r="FO48" s="39">
        <v>2</v>
      </c>
      <c r="FP48" s="39">
        <v>2</v>
      </c>
      <c r="FQ48" s="39">
        <v>2</v>
      </c>
      <c r="FR48" s="39">
        <v>2</v>
      </c>
      <c r="FS48" s="39">
        <v>2</v>
      </c>
      <c r="FT48" s="39">
        <v>2</v>
      </c>
      <c r="FU48" s="39">
        <v>2</v>
      </c>
      <c r="FV48" s="39">
        <v>2</v>
      </c>
      <c r="FW48" s="39">
        <v>2</v>
      </c>
      <c r="FX48" s="39">
        <v>2</v>
      </c>
      <c r="FY48" s="197">
        <v>2</v>
      </c>
      <c r="FZ48" s="39">
        <v>2</v>
      </c>
      <c r="GA48" s="39">
        <v>2</v>
      </c>
      <c r="GB48" s="39">
        <v>2</v>
      </c>
      <c r="GC48" s="39">
        <v>2</v>
      </c>
      <c r="GD48" s="39">
        <v>2</v>
      </c>
      <c r="GE48" s="39">
        <v>2</v>
      </c>
      <c r="GF48" s="39">
        <v>2</v>
      </c>
      <c r="GG48" s="39">
        <v>2</v>
      </c>
      <c r="GH48" s="39">
        <v>2</v>
      </c>
      <c r="GI48" s="39">
        <v>2</v>
      </c>
      <c r="GJ48" s="39">
        <v>2</v>
      </c>
      <c r="GK48" s="197">
        <v>2</v>
      </c>
      <c r="GL48" s="39">
        <v>2</v>
      </c>
      <c r="GM48" s="39">
        <v>2</v>
      </c>
      <c r="GN48" s="39">
        <v>2</v>
      </c>
      <c r="GO48" s="39">
        <v>2</v>
      </c>
      <c r="GP48" s="39">
        <v>2</v>
      </c>
    </row>
    <row r="49" spans="1:198" s="1" customFormat="1" ht="20.149999999999999" customHeight="1" thickBot="1" x14ac:dyDescent="0.4">
      <c r="A49" s="32" t="s">
        <v>267</v>
      </c>
      <c r="B49" s="61">
        <f>SUM(B43:B48)</f>
        <v>250</v>
      </c>
      <c r="C49" s="62">
        <f t="shared" ref="C49:BN49" si="16">SUM(C43:C48)</f>
        <v>250</v>
      </c>
      <c r="D49" s="62">
        <f t="shared" si="16"/>
        <v>258</v>
      </c>
      <c r="E49" s="62">
        <f t="shared" si="16"/>
        <v>271</v>
      </c>
      <c r="F49" s="62">
        <f t="shared" si="16"/>
        <v>273</v>
      </c>
      <c r="G49" s="62">
        <f t="shared" si="16"/>
        <v>289</v>
      </c>
      <c r="H49" s="62">
        <f t="shared" si="16"/>
        <v>292</v>
      </c>
      <c r="I49" s="62">
        <f t="shared" si="16"/>
        <v>294</v>
      </c>
      <c r="J49" s="62">
        <f t="shared" si="16"/>
        <v>295</v>
      </c>
      <c r="K49" s="62">
        <f t="shared" si="16"/>
        <v>300</v>
      </c>
      <c r="L49" s="62">
        <f t="shared" si="16"/>
        <v>319</v>
      </c>
      <c r="M49" s="62">
        <f t="shared" si="16"/>
        <v>325</v>
      </c>
      <c r="N49" s="61">
        <f t="shared" si="16"/>
        <v>325</v>
      </c>
      <c r="O49" s="62">
        <f t="shared" si="16"/>
        <v>327</v>
      </c>
      <c r="P49" s="62">
        <f t="shared" si="16"/>
        <v>338</v>
      </c>
      <c r="Q49" s="62">
        <f t="shared" si="16"/>
        <v>341</v>
      </c>
      <c r="R49" s="62">
        <f t="shared" si="16"/>
        <v>354</v>
      </c>
      <c r="S49" s="62">
        <f t="shared" si="16"/>
        <v>362</v>
      </c>
      <c r="T49" s="62">
        <f t="shared" si="16"/>
        <v>366</v>
      </c>
      <c r="U49" s="62">
        <f t="shared" si="16"/>
        <v>375</v>
      </c>
      <c r="V49" s="62">
        <f t="shared" si="16"/>
        <v>401</v>
      </c>
      <c r="W49" s="62">
        <f t="shared" si="16"/>
        <v>425</v>
      </c>
      <c r="X49" s="62">
        <f t="shared" si="16"/>
        <v>461</v>
      </c>
      <c r="Y49" s="62">
        <f t="shared" si="16"/>
        <v>499</v>
      </c>
      <c r="Z49" s="61">
        <f t="shared" si="16"/>
        <v>580</v>
      </c>
      <c r="AA49" s="62">
        <f t="shared" si="16"/>
        <v>602</v>
      </c>
      <c r="AB49" s="62">
        <f t="shared" si="16"/>
        <v>658</v>
      </c>
      <c r="AC49" s="62">
        <f t="shared" si="16"/>
        <v>680</v>
      </c>
      <c r="AD49" s="62">
        <f t="shared" si="16"/>
        <v>704</v>
      </c>
      <c r="AE49" s="62">
        <f t="shared" si="16"/>
        <v>716</v>
      </c>
      <c r="AF49" s="62">
        <f t="shared" si="16"/>
        <v>759</v>
      </c>
      <c r="AG49" s="62">
        <f t="shared" si="16"/>
        <v>874</v>
      </c>
      <c r="AH49" s="62">
        <f t="shared" si="16"/>
        <v>1023</v>
      </c>
      <c r="AI49" s="62">
        <f t="shared" si="16"/>
        <v>1174</v>
      </c>
      <c r="AJ49" s="62">
        <f t="shared" si="16"/>
        <v>1334</v>
      </c>
      <c r="AK49" s="127">
        <f t="shared" si="16"/>
        <v>1459</v>
      </c>
      <c r="AL49" s="62">
        <f t="shared" si="16"/>
        <v>1665</v>
      </c>
      <c r="AM49" s="62">
        <f t="shared" si="16"/>
        <v>1843</v>
      </c>
      <c r="AN49" s="62">
        <f t="shared" si="16"/>
        <v>2020</v>
      </c>
      <c r="AO49" s="62">
        <f t="shared" si="16"/>
        <v>2176</v>
      </c>
      <c r="AP49" s="62">
        <f t="shared" si="16"/>
        <v>2399</v>
      </c>
      <c r="AQ49" s="62">
        <f t="shared" si="16"/>
        <v>2583</v>
      </c>
      <c r="AR49" s="62">
        <f t="shared" si="16"/>
        <v>2877</v>
      </c>
      <c r="AS49" s="62">
        <f t="shared" si="16"/>
        <v>3343</v>
      </c>
      <c r="AT49" s="62">
        <f t="shared" si="16"/>
        <v>3844</v>
      </c>
      <c r="AU49" s="62">
        <f t="shared" si="16"/>
        <v>4294</v>
      </c>
      <c r="AV49" s="62">
        <f t="shared" si="16"/>
        <v>4796</v>
      </c>
      <c r="AW49" s="63">
        <f t="shared" si="16"/>
        <v>5244</v>
      </c>
      <c r="AX49" s="62">
        <f t="shared" si="16"/>
        <v>5715</v>
      </c>
      <c r="AY49" s="62">
        <f t="shared" si="16"/>
        <v>7017</v>
      </c>
      <c r="AZ49" s="62">
        <f t="shared" si="16"/>
        <v>7399</v>
      </c>
      <c r="BA49" s="62">
        <f t="shared" si="16"/>
        <v>7787</v>
      </c>
      <c r="BB49" s="62">
        <f t="shared" si="16"/>
        <v>8285</v>
      </c>
      <c r="BC49" s="62">
        <f t="shared" si="16"/>
        <v>8811</v>
      </c>
      <c r="BD49" s="62">
        <f t="shared" si="16"/>
        <v>9298</v>
      </c>
      <c r="BE49" s="62">
        <f t="shared" si="16"/>
        <v>9818</v>
      </c>
      <c r="BF49" s="62">
        <f t="shared" si="16"/>
        <v>10391</v>
      </c>
      <c r="BG49" s="62">
        <f t="shared" si="16"/>
        <v>10941</v>
      </c>
      <c r="BH49" s="62">
        <f t="shared" si="16"/>
        <v>11502</v>
      </c>
      <c r="BI49" s="63">
        <f t="shared" si="16"/>
        <v>11925</v>
      </c>
      <c r="BJ49" s="62">
        <f t="shared" si="16"/>
        <v>12332</v>
      </c>
      <c r="BK49" s="62">
        <f t="shared" si="16"/>
        <v>12817</v>
      </c>
      <c r="BL49" s="62">
        <f t="shared" si="16"/>
        <v>13345</v>
      </c>
      <c r="BM49" s="62">
        <f t="shared" si="16"/>
        <v>13785</v>
      </c>
      <c r="BN49" s="62">
        <f t="shared" si="16"/>
        <v>14267</v>
      </c>
      <c r="BO49" s="62">
        <f t="shared" ref="BO49:DZ49" si="17">SUM(BO43:BO48)</f>
        <v>14772</v>
      </c>
      <c r="BP49" s="62">
        <f t="shared" si="17"/>
        <v>15266</v>
      </c>
      <c r="BQ49" s="62">
        <f t="shared" si="17"/>
        <v>16079</v>
      </c>
      <c r="BR49" s="62">
        <f t="shared" si="17"/>
        <v>17700</v>
      </c>
      <c r="BS49" s="62">
        <f t="shared" si="17"/>
        <v>18031</v>
      </c>
      <c r="BT49" s="62">
        <f t="shared" si="17"/>
        <v>18399</v>
      </c>
      <c r="BU49" s="63">
        <f t="shared" si="17"/>
        <v>18752</v>
      </c>
      <c r="BV49" s="62">
        <f t="shared" si="17"/>
        <v>19148</v>
      </c>
      <c r="BW49" s="62">
        <f t="shared" si="17"/>
        <v>19529</v>
      </c>
      <c r="BX49" s="62">
        <f t="shared" si="17"/>
        <v>19966</v>
      </c>
      <c r="BY49" s="62">
        <f t="shared" si="17"/>
        <v>20334</v>
      </c>
      <c r="BZ49" s="62">
        <f t="shared" si="17"/>
        <v>20586</v>
      </c>
      <c r="CA49" s="62">
        <f t="shared" si="17"/>
        <v>20896</v>
      </c>
      <c r="CB49" s="62">
        <f t="shared" si="17"/>
        <v>21177</v>
      </c>
      <c r="CC49" s="62">
        <f t="shared" si="17"/>
        <v>21565</v>
      </c>
      <c r="CD49" s="62">
        <f t="shared" si="17"/>
        <v>22718</v>
      </c>
      <c r="CE49" s="62">
        <f t="shared" si="17"/>
        <v>22761</v>
      </c>
      <c r="CF49" s="62">
        <f t="shared" si="17"/>
        <v>22831</v>
      </c>
      <c r="CG49" s="63">
        <f t="shared" si="17"/>
        <v>22881</v>
      </c>
      <c r="CH49" s="62">
        <f t="shared" si="17"/>
        <v>22937</v>
      </c>
      <c r="CI49" s="62">
        <f t="shared" si="17"/>
        <v>23115</v>
      </c>
      <c r="CJ49" s="62">
        <f t="shared" si="17"/>
        <v>23536</v>
      </c>
      <c r="CK49" s="62">
        <f t="shared" si="17"/>
        <v>23551</v>
      </c>
      <c r="CL49" s="62">
        <f t="shared" si="17"/>
        <v>23575</v>
      </c>
      <c r="CM49" s="62">
        <f t="shared" si="17"/>
        <v>23636</v>
      </c>
      <c r="CN49" s="62">
        <f t="shared" si="17"/>
        <v>23647</v>
      </c>
      <c r="CO49" s="62">
        <f t="shared" si="17"/>
        <v>23673</v>
      </c>
      <c r="CP49" s="62">
        <f t="shared" si="17"/>
        <v>23703</v>
      </c>
      <c r="CQ49" s="62">
        <f t="shared" si="17"/>
        <v>23736</v>
      </c>
      <c r="CR49" s="62">
        <f t="shared" si="17"/>
        <v>23792</v>
      </c>
      <c r="CS49" s="63">
        <f t="shared" si="17"/>
        <v>23809</v>
      </c>
      <c r="CT49" s="62">
        <f t="shared" si="17"/>
        <v>23827</v>
      </c>
      <c r="CU49" s="62">
        <f t="shared" si="17"/>
        <v>23869</v>
      </c>
      <c r="CV49" s="62">
        <f t="shared" si="17"/>
        <v>23922</v>
      </c>
      <c r="CW49" s="62">
        <f t="shared" si="17"/>
        <v>23956</v>
      </c>
      <c r="CX49" s="62">
        <f t="shared" si="17"/>
        <v>23973</v>
      </c>
      <c r="CY49" s="62">
        <f t="shared" si="17"/>
        <v>23997</v>
      </c>
      <c r="CZ49" s="62">
        <f t="shared" si="17"/>
        <v>24015</v>
      </c>
      <c r="DA49" s="62">
        <f t="shared" si="17"/>
        <v>24058</v>
      </c>
      <c r="DB49" s="62">
        <f t="shared" si="17"/>
        <v>24067</v>
      </c>
      <c r="DC49" s="62">
        <f t="shared" si="17"/>
        <v>24149</v>
      </c>
      <c r="DD49" s="62">
        <f t="shared" si="17"/>
        <v>24197</v>
      </c>
      <c r="DE49" s="63">
        <f t="shared" si="17"/>
        <v>24208</v>
      </c>
      <c r="DF49" s="62">
        <f t="shared" si="17"/>
        <v>24275</v>
      </c>
      <c r="DG49" s="62">
        <f t="shared" si="17"/>
        <v>24328</v>
      </c>
      <c r="DH49" s="62">
        <f t="shared" si="17"/>
        <v>24341</v>
      </c>
      <c r="DI49" s="62">
        <f t="shared" si="17"/>
        <v>24367</v>
      </c>
      <c r="DJ49" s="62">
        <f t="shared" si="17"/>
        <v>24389</v>
      </c>
      <c r="DK49" s="62">
        <f t="shared" si="17"/>
        <v>24435</v>
      </c>
      <c r="DL49" s="62">
        <f t="shared" si="17"/>
        <v>24467</v>
      </c>
      <c r="DM49" s="62">
        <f t="shared" si="17"/>
        <v>24495</v>
      </c>
      <c r="DN49" s="62">
        <f t="shared" si="17"/>
        <v>24537</v>
      </c>
      <c r="DO49" s="62">
        <f t="shared" si="17"/>
        <v>24553</v>
      </c>
      <c r="DP49" s="62">
        <f t="shared" si="17"/>
        <v>24574</v>
      </c>
      <c r="DQ49" s="63">
        <f t="shared" si="17"/>
        <v>24580</v>
      </c>
      <c r="DR49" s="62">
        <f t="shared" si="17"/>
        <v>24596</v>
      </c>
      <c r="DS49" s="62">
        <f t="shared" si="17"/>
        <v>24615</v>
      </c>
      <c r="DT49" s="62">
        <f t="shared" si="17"/>
        <v>24639</v>
      </c>
      <c r="DU49" s="62">
        <f t="shared" si="17"/>
        <v>24641</v>
      </c>
      <c r="DV49" s="62">
        <f t="shared" si="17"/>
        <v>24642</v>
      </c>
      <c r="DW49" s="62">
        <f t="shared" si="17"/>
        <v>24680</v>
      </c>
      <c r="DX49" s="62">
        <f t="shared" si="17"/>
        <v>24696</v>
      </c>
      <c r="DY49" s="62">
        <f t="shared" si="17"/>
        <v>24748</v>
      </c>
      <c r="DZ49" s="62">
        <f t="shared" si="17"/>
        <v>24779</v>
      </c>
      <c r="EA49" s="62">
        <f t="shared" ref="EA49:GL49" si="18">SUM(EA43:EA48)</f>
        <v>24805</v>
      </c>
      <c r="EB49" s="62">
        <f t="shared" si="18"/>
        <v>24823</v>
      </c>
      <c r="EC49" s="63">
        <f t="shared" si="18"/>
        <v>24828</v>
      </c>
      <c r="ED49" s="62">
        <f t="shared" si="18"/>
        <v>24872</v>
      </c>
      <c r="EE49" s="62">
        <f t="shared" si="18"/>
        <v>24886</v>
      </c>
      <c r="EF49" s="62">
        <f t="shared" si="18"/>
        <v>24920</v>
      </c>
      <c r="EG49" s="62">
        <f t="shared" si="18"/>
        <v>24951</v>
      </c>
      <c r="EH49" s="62">
        <f t="shared" si="18"/>
        <v>25004</v>
      </c>
      <c r="EI49" s="62">
        <f t="shared" si="18"/>
        <v>25071</v>
      </c>
      <c r="EJ49" s="62">
        <f t="shared" si="18"/>
        <v>25102</v>
      </c>
      <c r="EK49" s="62">
        <f t="shared" si="18"/>
        <v>25168</v>
      </c>
      <c r="EL49" s="62">
        <f t="shared" si="18"/>
        <v>25272</v>
      </c>
      <c r="EM49" s="62">
        <f t="shared" si="18"/>
        <v>25336</v>
      </c>
      <c r="EN49" s="62">
        <f t="shared" si="18"/>
        <v>25445</v>
      </c>
      <c r="EO49" s="63">
        <f t="shared" si="18"/>
        <v>25489</v>
      </c>
      <c r="EP49" s="62">
        <f t="shared" si="18"/>
        <v>25601</v>
      </c>
      <c r="EQ49" s="62">
        <f t="shared" si="18"/>
        <v>25687</v>
      </c>
      <c r="ER49" s="62">
        <f t="shared" si="18"/>
        <v>25785</v>
      </c>
      <c r="ES49" s="62">
        <f t="shared" si="18"/>
        <v>25870</v>
      </c>
      <c r="ET49" s="62">
        <f t="shared" si="18"/>
        <v>26053</v>
      </c>
      <c r="EU49" s="62">
        <f t="shared" si="18"/>
        <v>26198</v>
      </c>
      <c r="EV49" s="62">
        <f t="shared" si="18"/>
        <v>26334</v>
      </c>
      <c r="EW49" s="62">
        <f t="shared" si="18"/>
        <v>26497</v>
      </c>
      <c r="EX49" s="62">
        <f t="shared" si="18"/>
        <v>26699</v>
      </c>
      <c r="EY49" s="62">
        <f t="shared" si="18"/>
        <v>26892</v>
      </c>
      <c r="EZ49" s="62">
        <f t="shared" si="18"/>
        <v>27143</v>
      </c>
      <c r="FA49" s="63">
        <f t="shared" si="18"/>
        <v>27297</v>
      </c>
      <c r="FB49" s="62">
        <f t="shared" si="18"/>
        <v>27507</v>
      </c>
      <c r="FC49" s="62">
        <f t="shared" si="18"/>
        <v>27688</v>
      </c>
      <c r="FD49" s="62">
        <f t="shared" si="18"/>
        <v>27859</v>
      </c>
      <c r="FE49" s="62">
        <f t="shared" si="18"/>
        <v>27981</v>
      </c>
      <c r="FF49" s="62">
        <f t="shared" si="18"/>
        <v>28148</v>
      </c>
      <c r="FG49" s="62">
        <f t="shared" si="18"/>
        <v>28319</v>
      </c>
      <c r="FH49" s="62">
        <f t="shared" si="18"/>
        <v>28481</v>
      </c>
      <c r="FI49" s="62">
        <f t="shared" si="18"/>
        <v>28675</v>
      </c>
      <c r="FJ49" s="62">
        <f t="shared" si="18"/>
        <v>28857</v>
      </c>
      <c r="FK49" s="158">
        <f t="shared" si="18"/>
        <v>29067</v>
      </c>
      <c r="FL49" s="158">
        <f t="shared" si="18"/>
        <v>29227</v>
      </c>
      <c r="FM49" s="158">
        <f t="shared" si="18"/>
        <v>29332</v>
      </c>
      <c r="FN49" s="122">
        <f t="shared" si="18"/>
        <v>29442</v>
      </c>
      <c r="FO49" s="158">
        <f t="shared" si="18"/>
        <v>29627</v>
      </c>
      <c r="FP49" s="158">
        <f t="shared" si="18"/>
        <v>29713</v>
      </c>
      <c r="FQ49" s="158">
        <f t="shared" si="18"/>
        <v>29919</v>
      </c>
      <c r="FR49" s="158">
        <f t="shared" si="18"/>
        <v>30085</v>
      </c>
      <c r="FS49" s="158">
        <f t="shared" si="18"/>
        <v>30312</v>
      </c>
      <c r="FT49" s="158">
        <f t="shared" si="18"/>
        <v>30491</v>
      </c>
      <c r="FU49" s="158">
        <f t="shared" si="18"/>
        <v>30697</v>
      </c>
      <c r="FV49" s="158">
        <f t="shared" si="18"/>
        <v>30876</v>
      </c>
      <c r="FW49" s="158">
        <f t="shared" si="18"/>
        <v>31109</v>
      </c>
      <c r="FX49" s="158">
        <f t="shared" si="18"/>
        <v>31355</v>
      </c>
      <c r="FY49" s="198">
        <f t="shared" si="18"/>
        <v>31445</v>
      </c>
      <c r="FZ49" s="158">
        <f t="shared" si="18"/>
        <v>31588</v>
      </c>
      <c r="GA49" s="158">
        <f t="shared" si="18"/>
        <v>31763</v>
      </c>
      <c r="GB49" s="158">
        <f t="shared" si="18"/>
        <v>31984</v>
      </c>
      <c r="GC49" s="158">
        <f t="shared" si="18"/>
        <v>32182</v>
      </c>
      <c r="GD49" s="158">
        <f t="shared" si="18"/>
        <v>32542</v>
      </c>
      <c r="GE49" s="158">
        <f t="shared" si="18"/>
        <v>32865</v>
      </c>
      <c r="GF49" s="158">
        <f t="shared" si="18"/>
        <v>33085</v>
      </c>
      <c r="GG49" s="158">
        <f t="shared" si="18"/>
        <v>33338</v>
      </c>
      <c r="GH49" s="158">
        <f t="shared" si="18"/>
        <v>33553</v>
      </c>
      <c r="GI49" s="158">
        <f t="shared" si="18"/>
        <v>33855</v>
      </c>
      <c r="GJ49" s="158">
        <f t="shared" si="18"/>
        <v>34186</v>
      </c>
      <c r="GK49" s="198">
        <f t="shared" si="18"/>
        <v>34370</v>
      </c>
      <c r="GL49" s="158">
        <f t="shared" si="18"/>
        <v>34622</v>
      </c>
      <c r="GM49" s="158">
        <f t="shared" ref="GM49:GP49" si="19">SUM(GM43:GM48)</f>
        <v>34883</v>
      </c>
      <c r="GN49" s="158">
        <f t="shared" si="19"/>
        <v>35240</v>
      </c>
      <c r="GO49" s="158">
        <f t="shared" si="19"/>
        <v>35611</v>
      </c>
      <c r="GP49" s="158">
        <f t="shared" si="19"/>
        <v>35890</v>
      </c>
    </row>
    <row r="50" spans="1:198" s="25" customFormat="1" ht="20.149999999999999" customHeight="1" thickTop="1" x14ac:dyDescent="0.35">
      <c r="A50" s="26" t="s">
        <v>269</v>
      </c>
      <c r="B50" s="55"/>
      <c r="C50" s="55"/>
      <c r="D50" s="55"/>
      <c r="E50" s="55"/>
      <c r="F50" s="55"/>
      <c r="G50" s="55"/>
      <c r="H50" s="55"/>
      <c r="I50" s="55"/>
      <c r="J50" s="55"/>
      <c r="K50" s="55"/>
      <c r="L50" s="55"/>
      <c r="M50" s="56"/>
      <c r="N50" s="57"/>
      <c r="O50" s="55"/>
      <c r="P50" s="55"/>
      <c r="Q50" s="55"/>
      <c r="R50" s="55"/>
      <c r="S50" s="55"/>
      <c r="T50" s="55"/>
      <c r="U50" s="55"/>
      <c r="V50" s="55"/>
      <c r="W50" s="55"/>
      <c r="X50" s="55"/>
      <c r="Y50" s="56"/>
      <c r="Z50" s="57"/>
      <c r="AA50" s="55"/>
      <c r="AB50" s="55"/>
      <c r="AC50" s="55"/>
      <c r="AD50" s="55"/>
      <c r="AE50" s="55"/>
      <c r="AF50" s="55"/>
      <c r="AG50" s="55"/>
      <c r="AH50" s="55"/>
      <c r="AI50" s="55"/>
      <c r="AJ50" s="55"/>
      <c r="AK50" s="56"/>
      <c r="AL50" s="57"/>
      <c r="AM50" s="55"/>
      <c r="AN50" s="55"/>
      <c r="AO50" s="55"/>
      <c r="AP50" s="55"/>
      <c r="AQ50" s="55"/>
      <c r="AR50" s="55"/>
      <c r="AS50" s="55"/>
      <c r="AT50" s="55"/>
      <c r="AU50" s="55"/>
      <c r="AV50" s="55"/>
      <c r="AW50" s="56"/>
      <c r="AX50" s="55"/>
      <c r="AY50" s="55"/>
      <c r="AZ50" s="55"/>
      <c r="BA50" s="55"/>
      <c r="BB50" s="55"/>
      <c r="BC50" s="55"/>
      <c r="BD50" s="55"/>
      <c r="BE50" s="55"/>
      <c r="BF50" s="55"/>
      <c r="BG50" s="55"/>
      <c r="BH50" s="55"/>
      <c r="BI50" s="56"/>
      <c r="BJ50" s="55"/>
      <c r="BK50" s="55"/>
      <c r="BL50" s="55"/>
      <c r="BM50" s="55"/>
      <c r="BN50" s="55"/>
      <c r="BO50" s="55"/>
      <c r="BP50" s="55"/>
      <c r="BQ50" s="55"/>
      <c r="BR50" s="55"/>
      <c r="BS50" s="55"/>
      <c r="BT50" s="55"/>
      <c r="BU50" s="56"/>
      <c r="BV50" s="55"/>
      <c r="BW50" s="55"/>
      <c r="BX50" s="55"/>
      <c r="BY50" s="55"/>
      <c r="BZ50" s="55"/>
      <c r="CA50" s="55"/>
      <c r="CB50" s="55"/>
      <c r="CC50" s="55"/>
      <c r="CD50" s="55"/>
      <c r="CE50" s="55"/>
      <c r="CF50" s="55"/>
      <c r="CG50" s="56"/>
      <c r="CH50" s="55"/>
      <c r="CI50" s="55"/>
      <c r="CJ50" s="55"/>
      <c r="CK50" s="55"/>
      <c r="CL50" s="55"/>
      <c r="CM50" s="55"/>
      <c r="CN50" s="55"/>
      <c r="CO50" s="55"/>
      <c r="CP50" s="55"/>
      <c r="CQ50" s="55"/>
      <c r="CR50" s="55"/>
      <c r="CS50" s="56"/>
      <c r="CT50" s="55"/>
      <c r="CU50" s="55"/>
      <c r="CV50" s="55"/>
      <c r="CW50" s="55"/>
      <c r="CX50" s="55"/>
      <c r="CY50" s="55"/>
      <c r="CZ50" s="55"/>
      <c r="DA50" s="55"/>
      <c r="DB50" s="55"/>
      <c r="DC50" s="55"/>
      <c r="DD50" s="55"/>
      <c r="DE50" s="56"/>
      <c r="DF50" s="55"/>
      <c r="DG50" s="55"/>
      <c r="DH50" s="55"/>
      <c r="DI50" s="55"/>
      <c r="DJ50" s="55"/>
      <c r="DK50" s="55"/>
      <c r="DL50" s="55"/>
      <c r="DM50" s="55"/>
      <c r="DN50" s="55"/>
      <c r="DO50" s="55"/>
      <c r="DP50" s="55"/>
      <c r="DQ50" s="56"/>
      <c r="DR50" s="55"/>
      <c r="DS50" s="55"/>
      <c r="DT50" s="55"/>
      <c r="DU50" s="55"/>
      <c r="DV50" s="55"/>
      <c r="DW50" s="55"/>
      <c r="DX50" s="55"/>
      <c r="DY50" s="55"/>
      <c r="DZ50" s="55"/>
      <c r="EA50" s="55"/>
      <c r="EB50" s="55"/>
      <c r="EC50" s="56"/>
      <c r="ED50" s="55"/>
      <c r="EE50" s="55"/>
      <c r="EF50" s="55"/>
      <c r="EG50" s="55"/>
      <c r="EH50" s="55"/>
      <c r="EI50" s="55"/>
      <c r="EJ50" s="55"/>
      <c r="EK50" s="55"/>
      <c r="EL50" s="55"/>
      <c r="EM50" s="55"/>
      <c r="EN50" s="55"/>
      <c r="EO50" s="56"/>
      <c r="EP50" s="55"/>
      <c r="EQ50" s="55"/>
      <c r="ER50" s="55"/>
      <c r="ES50" s="55"/>
      <c r="ET50" s="55"/>
      <c r="EU50" s="55"/>
      <c r="EV50" s="55"/>
      <c r="EW50" s="55"/>
      <c r="EX50" s="55"/>
      <c r="EY50" s="123"/>
      <c r="EZ50" s="123"/>
      <c r="FA50" s="56"/>
      <c r="FB50" s="123"/>
      <c r="FC50" s="123"/>
      <c r="FD50" s="123"/>
      <c r="FE50" s="123"/>
      <c r="FF50" s="123"/>
      <c r="FG50" s="123"/>
      <c r="FH50" s="123"/>
      <c r="FI50" s="123"/>
      <c r="FJ50" s="38"/>
      <c r="FK50" s="38"/>
      <c r="FL50" s="38"/>
      <c r="FM50" s="38"/>
      <c r="FN50" s="167"/>
      <c r="FO50" s="38"/>
      <c r="FP50" s="38"/>
      <c r="FQ50" s="38"/>
      <c r="FR50" s="38"/>
      <c r="FS50" s="38"/>
      <c r="FT50" s="38"/>
      <c r="FU50" s="39"/>
      <c r="FV50" s="39"/>
      <c r="FW50" s="39"/>
      <c r="FX50" s="39"/>
      <c r="FY50" s="197"/>
      <c r="FZ50" s="39"/>
      <c r="GA50" s="39"/>
      <c r="GB50" s="39"/>
      <c r="GC50" s="39"/>
      <c r="GD50" s="39"/>
      <c r="GE50" s="39"/>
      <c r="GF50" s="39"/>
      <c r="GG50" s="39"/>
      <c r="GH50" s="39"/>
      <c r="GI50" s="39"/>
      <c r="GJ50" s="39"/>
      <c r="GK50" s="197"/>
      <c r="GL50" s="39"/>
      <c r="GM50" s="39"/>
      <c r="GN50" s="39"/>
      <c r="GO50" s="39"/>
      <c r="GP50" s="39"/>
    </row>
    <row r="51" spans="1:198" s="30" customFormat="1" ht="20.149999999999999" customHeight="1" x14ac:dyDescent="0.35">
      <c r="A51" s="31" t="s">
        <v>1623</v>
      </c>
      <c r="B51" s="55">
        <v>4338</v>
      </c>
      <c r="C51" s="55">
        <v>4893</v>
      </c>
      <c r="D51" s="55">
        <v>5866</v>
      </c>
      <c r="E51" s="55">
        <v>6885</v>
      </c>
      <c r="F51" s="55">
        <v>8340</v>
      </c>
      <c r="G51" s="55">
        <v>10197</v>
      </c>
      <c r="H51" s="55">
        <v>12442</v>
      </c>
      <c r="I51" s="55">
        <v>14654</v>
      </c>
      <c r="J51" s="55">
        <v>17415</v>
      </c>
      <c r="K51" s="55">
        <v>20763</v>
      </c>
      <c r="L51" s="55">
        <v>24625</v>
      </c>
      <c r="M51" s="56">
        <v>27597</v>
      </c>
      <c r="N51" s="57">
        <v>31598</v>
      </c>
      <c r="O51" s="55">
        <v>36102</v>
      </c>
      <c r="P51" s="55">
        <v>42948</v>
      </c>
      <c r="Q51" s="55">
        <v>49006</v>
      </c>
      <c r="R51" s="55">
        <v>55952</v>
      </c>
      <c r="S51" s="55">
        <v>64988</v>
      </c>
      <c r="T51" s="55">
        <v>75356</v>
      </c>
      <c r="U51" s="55">
        <v>88383</v>
      </c>
      <c r="V51" s="55">
        <v>104144</v>
      </c>
      <c r="W51" s="55">
        <v>122362</v>
      </c>
      <c r="X51" s="55">
        <v>172517</v>
      </c>
      <c r="Y51" s="56">
        <v>212571</v>
      </c>
      <c r="Z51" s="57">
        <v>220555</v>
      </c>
      <c r="AA51" s="55">
        <v>257558</v>
      </c>
      <c r="AB51" s="55">
        <v>281777</v>
      </c>
      <c r="AC51" s="55">
        <v>286756</v>
      </c>
      <c r="AD51" s="55">
        <v>295532</v>
      </c>
      <c r="AE51" s="55">
        <v>306112</v>
      </c>
      <c r="AF51" s="55">
        <v>325503</v>
      </c>
      <c r="AG51" s="55">
        <v>329026</v>
      </c>
      <c r="AH51" s="55">
        <v>333420</v>
      </c>
      <c r="AI51" s="55">
        <v>341351</v>
      </c>
      <c r="AJ51" s="55">
        <v>346153</v>
      </c>
      <c r="AK51" s="56">
        <v>351004</v>
      </c>
      <c r="AL51" s="57">
        <v>356174</v>
      </c>
      <c r="AM51" s="55">
        <v>361517</v>
      </c>
      <c r="AN51" s="55">
        <v>367395</v>
      </c>
      <c r="AO51" s="55">
        <v>373212</v>
      </c>
      <c r="AP51" s="55">
        <v>379012</v>
      </c>
      <c r="AQ51" s="55">
        <v>386841</v>
      </c>
      <c r="AR51" s="55">
        <v>391726</v>
      </c>
      <c r="AS51" s="55">
        <v>397277</v>
      </c>
      <c r="AT51" s="55">
        <v>402999</v>
      </c>
      <c r="AU51" s="55">
        <v>409136</v>
      </c>
      <c r="AV51" s="55">
        <v>415937</v>
      </c>
      <c r="AW51" s="56">
        <v>421609</v>
      </c>
      <c r="AX51" s="55">
        <v>427148</v>
      </c>
      <c r="AY51" s="55">
        <v>433229</v>
      </c>
      <c r="AZ51" s="55">
        <v>442505</v>
      </c>
      <c r="BA51" s="55">
        <v>448137</v>
      </c>
      <c r="BB51" s="55">
        <v>454139</v>
      </c>
      <c r="BC51" s="55">
        <v>460684</v>
      </c>
      <c r="BD51" s="55">
        <v>468240</v>
      </c>
      <c r="BE51" s="55">
        <v>475548</v>
      </c>
      <c r="BF51" s="55">
        <v>484366</v>
      </c>
      <c r="BG51" s="55">
        <v>493474</v>
      </c>
      <c r="BH51" s="55">
        <v>501887</v>
      </c>
      <c r="BI51" s="56">
        <v>510127</v>
      </c>
      <c r="BJ51" s="55">
        <v>516543</v>
      </c>
      <c r="BK51" s="55">
        <v>524132</v>
      </c>
      <c r="BL51" s="55">
        <v>535402</v>
      </c>
      <c r="BM51" s="55">
        <v>543244</v>
      </c>
      <c r="BN51" s="55">
        <v>551368</v>
      </c>
      <c r="BO51" s="55">
        <v>562747</v>
      </c>
      <c r="BP51" s="55">
        <v>571223</v>
      </c>
      <c r="BQ51" s="55">
        <v>579601</v>
      </c>
      <c r="BR51" s="55">
        <v>593043</v>
      </c>
      <c r="BS51" s="55">
        <v>605498</v>
      </c>
      <c r="BT51" s="55">
        <v>621742</v>
      </c>
      <c r="BU51" s="56">
        <v>639358</v>
      </c>
      <c r="BV51" s="55">
        <v>650629</v>
      </c>
      <c r="BW51" s="55">
        <v>653631</v>
      </c>
      <c r="BX51" s="55">
        <v>657165</v>
      </c>
      <c r="BY51" s="55">
        <v>660014</v>
      </c>
      <c r="BZ51" s="55">
        <v>662811</v>
      </c>
      <c r="CA51" s="55">
        <v>666058</v>
      </c>
      <c r="CB51" s="55">
        <v>668673</v>
      </c>
      <c r="CC51" s="55">
        <v>671057</v>
      </c>
      <c r="CD51" s="55">
        <v>674386</v>
      </c>
      <c r="CE51" s="55">
        <v>676643</v>
      </c>
      <c r="CF51" s="55">
        <v>679456</v>
      </c>
      <c r="CG51" s="55">
        <v>681379</v>
      </c>
      <c r="CH51" s="77">
        <v>683430</v>
      </c>
      <c r="CI51" s="55">
        <v>685713</v>
      </c>
      <c r="CJ51" s="55">
        <v>688709</v>
      </c>
      <c r="CK51" s="55">
        <v>690595</v>
      </c>
      <c r="CL51" s="55">
        <v>693166</v>
      </c>
      <c r="CM51" s="55">
        <v>695638</v>
      </c>
      <c r="CN51" s="55">
        <v>697784</v>
      </c>
      <c r="CO51" s="55">
        <v>700310</v>
      </c>
      <c r="CP51" s="55">
        <v>702837</v>
      </c>
      <c r="CQ51" s="55">
        <v>705284</v>
      </c>
      <c r="CR51" s="55">
        <v>708276</v>
      </c>
      <c r="CS51" s="55">
        <v>710099</v>
      </c>
      <c r="CT51" s="77">
        <v>712315</v>
      </c>
      <c r="CU51" s="55">
        <v>714428</v>
      </c>
      <c r="CV51" s="55">
        <v>716914</v>
      </c>
      <c r="CW51" s="55">
        <v>719205</v>
      </c>
      <c r="CX51" s="55">
        <v>721754</v>
      </c>
      <c r="CY51" s="55">
        <v>724275</v>
      </c>
      <c r="CZ51" s="55">
        <v>726705</v>
      </c>
      <c r="DA51" s="55">
        <v>729541</v>
      </c>
      <c r="DB51" s="55">
        <v>732323</v>
      </c>
      <c r="DC51" s="55">
        <v>735740</v>
      </c>
      <c r="DD51" s="55">
        <v>739291</v>
      </c>
      <c r="DE51" s="55">
        <v>742054</v>
      </c>
      <c r="DF51" s="77">
        <v>745834</v>
      </c>
      <c r="DG51" s="55">
        <v>749961</v>
      </c>
      <c r="DH51" s="55">
        <v>759565</v>
      </c>
      <c r="DI51" s="55">
        <v>761447</v>
      </c>
      <c r="DJ51" s="55">
        <v>763785</v>
      </c>
      <c r="DK51" s="55">
        <v>766262</v>
      </c>
      <c r="DL51" s="55">
        <v>768636</v>
      </c>
      <c r="DM51" s="55">
        <v>771137</v>
      </c>
      <c r="DN51" s="55">
        <v>773762</v>
      </c>
      <c r="DO51" s="55">
        <v>776423</v>
      </c>
      <c r="DP51" s="55">
        <v>779267</v>
      </c>
      <c r="DQ51" s="55">
        <v>781129</v>
      </c>
      <c r="DR51" s="77">
        <v>783479</v>
      </c>
      <c r="DS51" s="55">
        <v>785703</v>
      </c>
      <c r="DT51" s="55">
        <v>787988</v>
      </c>
      <c r="DU51" s="55">
        <v>788317</v>
      </c>
      <c r="DV51" s="55">
        <v>788869</v>
      </c>
      <c r="DW51" s="55">
        <v>790274</v>
      </c>
      <c r="DX51" s="55">
        <v>792468</v>
      </c>
      <c r="DY51" s="55">
        <v>794746</v>
      </c>
      <c r="DZ51" s="55">
        <v>797594</v>
      </c>
      <c r="EA51" s="55">
        <v>800305</v>
      </c>
      <c r="EB51" s="55">
        <v>803292</v>
      </c>
      <c r="EC51" s="55">
        <v>805432</v>
      </c>
      <c r="ED51" s="77">
        <v>808055</v>
      </c>
      <c r="EE51" s="55">
        <v>810472</v>
      </c>
      <c r="EF51" s="55">
        <v>813746</v>
      </c>
      <c r="EG51" s="55">
        <v>817148</v>
      </c>
      <c r="EH51" s="55">
        <v>820608</v>
      </c>
      <c r="EI51" s="55">
        <v>824092</v>
      </c>
      <c r="EJ51" s="55">
        <v>827257</v>
      </c>
      <c r="EK51" s="55">
        <v>830716</v>
      </c>
      <c r="EL51" s="55">
        <v>834551</v>
      </c>
      <c r="EM51" s="55">
        <v>838109</v>
      </c>
      <c r="EN51" s="55">
        <v>842611</v>
      </c>
      <c r="EO51" s="55">
        <v>845906</v>
      </c>
      <c r="EP51" s="77">
        <v>849644</v>
      </c>
      <c r="EQ51" s="55">
        <v>854434</v>
      </c>
      <c r="ER51" s="55">
        <v>860714</v>
      </c>
      <c r="ES51" s="55">
        <v>866582</v>
      </c>
      <c r="ET51" s="55">
        <v>872869</v>
      </c>
      <c r="EU51" s="55">
        <v>879456</v>
      </c>
      <c r="EV51" s="55">
        <v>885347</v>
      </c>
      <c r="EW51" s="55">
        <v>891831</v>
      </c>
      <c r="EX51" s="55">
        <v>899438</v>
      </c>
      <c r="EY51" s="55">
        <v>906226</v>
      </c>
      <c r="EZ51" s="55">
        <v>913774</v>
      </c>
      <c r="FA51" s="83">
        <v>919395</v>
      </c>
      <c r="FB51" s="55">
        <v>926559</v>
      </c>
      <c r="FC51" s="55">
        <v>934340</v>
      </c>
      <c r="FD51" s="55">
        <v>943212</v>
      </c>
      <c r="FE51" s="55">
        <v>950126</v>
      </c>
      <c r="FF51" s="55">
        <v>957788</v>
      </c>
      <c r="FG51" s="55">
        <v>965903</v>
      </c>
      <c r="FH51" s="55">
        <v>972925</v>
      </c>
      <c r="FI51" s="55">
        <v>979871</v>
      </c>
      <c r="FJ51" s="39">
        <v>986889</v>
      </c>
      <c r="FK51" s="39">
        <v>993840</v>
      </c>
      <c r="FL51" s="39">
        <v>1001368</v>
      </c>
      <c r="FM51" s="39">
        <v>1006025</v>
      </c>
      <c r="FN51" s="77">
        <v>1012358</v>
      </c>
      <c r="FO51" s="39">
        <v>1019208</v>
      </c>
      <c r="FP51" s="39">
        <v>1026961</v>
      </c>
      <c r="FQ51" s="39">
        <v>1034568</v>
      </c>
      <c r="FR51" s="39">
        <v>1042810</v>
      </c>
      <c r="FS51" s="39">
        <v>1051369</v>
      </c>
      <c r="FT51" s="39">
        <v>1059974</v>
      </c>
      <c r="FU51" s="38">
        <v>1068616</v>
      </c>
      <c r="FV51" s="38">
        <v>1078482</v>
      </c>
      <c r="FW51" s="38">
        <v>1090393</v>
      </c>
      <c r="FX51" s="38">
        <v>1103789</v>
      </c>
      <c r="FY51" s="196">
        <v>1112377</v>
      </c>
      <c r="FZ51" s="38">
        <v>1122913</v>
      </c>
      <c r="GA51" s="38">
        <v>1135303</v>
      </c>
      <c r="GB51" s="38">
        <v>1150546</v>
      </c>
      <c r="GC51" s="38">
        <v>1162239</v>
      </c>
      <c r="GD51" s="38">
        <v>1175934</v>
      </c>
      <c r="GE51" s="38">
        <v>1190121</v>
      </c>
      <c r="GF51" s="38">
        <v>1202790</v>
      </c>
      <c r="GG51" s="38">
        <v>1214126</v>
      </c>
      <c r="GH51" s="38">
        <v>1227702</v>
      </c>
      <c r="GI51" s="38">
        <v>1243239</v>
      </c>
      <c r="GJ51" s="38">
        <v>1257848</v>
      </c>
      <c r="GK51" s="196">
        <v>1269268</v>
      </c>
      <c r="GL51" s="38">
        <v>1281206</v>
      </c>
      <c r="GM51" s="38">
        <v>1295737</v>
      </c>
      <c r="GN51" s="38">
        <v>1314107</v>
      </c>
      <c r="GO51" s="38">
        <v>1327321</v>
      </c>
      <c r="GP51" s="38">
        <v>1337777</v>
      </c>
    </row>
    <row r="52" spans="1:198" s="1" customFormat="1" ht="20.149999999999999" customHeight="1" x14ac:dyDescent="0.35">
      <c r="A52" s="31" t="s">
        <v>1626</v>
      </c>
      <c r="B52" s="55">
        <v>584</v>
      </c>
      <c r="C52" s="55">
        <v>614</v>
      </c>
      <c r="D52" s="55">
        <v>659</v>
      </c>
      <c r="E52" s="55">
        <v>689</v>
      </c>
      <c r="F52" s="55">
        <v>743</v>
      </c>
      <c r="G52" s="55">
        <v>804</v>
      </c>
      <c r="H52" s="55">
        <v>873</v>
      </c>
      <c r="I52" s="55">
        <v>940</v>
      </c>
      <c r="J52" s="55">
        <v>1019</v>
      </c>
      <c r="K52" s="55">
        <v>1118</v>
      </c>
      <c r="L52" s="55">
        <v>1215</v>
      </c>
      <c r="M52" s="56">
        <v>1282</v>
      </c>
      <c r="N52" s="57">
        <v>1415</v>
      </c>
      <c r="O52" s="55">
        <v>1558</v>
      </c>
      <c r="P52" s="55">
        <v>1780</v>
      </c>
      <c r="Q52" s="55">
        <v>2084</v>
      </c>
      <c r="R52" s="55">
        <v>2449</v>
      </c>
      <c r="S52" s="55">
        <v>2895</v>
      </c>
      <c r="T52" s="55">
        <v>3527</v>
      </c>
      <c r="U52" s="55">
        <v>4637</v>
      </c>
      <c r="V52" s="55">
        <v>6244</v>
      </c>
      <c r="W52" s="55">
        <v>8350</v>
      </c>
      <c r="X52" s="55">
        <v>14649</v>
      </c>
      <c r="Y52" s="56">
        <v>19516</v>
      </c>
      <c r="Z52" s="57">
        <v>20008</v>
      </c>
      <c r="AA52" s="55">
        <v>25870</v>
      </c>
      <c r="AB52" s="55">
        <v>27859</v>
      </c>
      <c r="AC52" s="55">
        <v>28332</v>
      </c>
      <c r="AD52" s="55">
        <v>29896</v>
      </c>
      <c r="AE52" s="55">
        <v>32251</v>
      </c>
      <c r="AF52" s="55">
        <v>38134</v>
      </c>
      <c r="AG52" s="55">
        <v>38557</v>
      </c>
      <c r="AH52" s="55">
        <v>39445</v>
      </c>
      <c r="AI52" s="55">
        <v>42061</v>
      </c>
      <c r="AJ52" s="55">
        <v>43094</v>
      </c>
      <c r="AK52" s="56">
        <v>44297</v>
      </c>
      <c r="AL52" s="57">
        <v>45630</v>
      </c>
      <c r="AM52" s="55">
        <v>47217</v>
      </c>
      <c r="AN52" s="55">
        <v>49256</v>
      </c>
      <c r="AO52" s="55">
        <v>51605</v>
      </c>
      <c r="AP52" s="55">
        <v>54228</v>
      </c>
      <c r="AQ52" s="55">
        <v>58429</v>
      </c>
      <c r="AR52" s="55">
        <v>60357</v>
      </c>
      <c r="AS52" s="55">
        <v>62776</v>
      </c>
      <c r="AT52" s="55">
        <v>65587</v>
      </c>
      <c r="AU52" s="55">
        <v>68593</v>
      </c>
      <c r="AV52" s="55">
        <v>72182</v>
      </c>
      <c r="AW52" s="56">
        <v>75166</v>
      </c>
      <c r="AX52" s="55">
        <v>78027</v>
      </c>
      <c r="AY52" s="55">
        <v>81783</v>
      </c>
      <c r="AZ52" s="55">
        <v>87633</v>
      </c>
      <c r="BA52" s="55">
        <v>90402</v>
      </c>
      <c r="BB52" s="55">
        <v>93619</v>
      </c>
      <c r="BC52" s="55">
        <v>97265</v>
      </c>
      <c r="BD52" s="55">
        <v>101072</v>
      </c>
      <c r="BE52" s="55">
        <v>104706</v>
      </c>
      <c r="BF52" s="55">
        <v>108867</v>
      </c>
      <c r="BG52" s="55">
        <v>113289</v>
      </c>
      <c r="BH52" s="55">
        <v>117681</v>
      </c>
      <c r="BI52" s="56">
        <v>122415</v>
      </c>
      <c r="BJ52" s="55">
        <v>124678</v>
      </c>
      <c r="BK52" s="55">
        <v>127622</v>
      </c>
      <c r="BL52" s="55">
        <v>132724</v>
      </c>
      <c r="BM52" s="55">
        <v>135881</v>
      </c>
      <c r="BN52" s="55">
        <v>139432</v>
      </c>
      <c r="BO52" s="55">
        <v>144577</v>
      </c>
      <c r="BP52" s="55">
        <v>147777</v>
      </c>
      <c r="BQ52" s="55">
        <v>151242</v>
      </c>
      <c r="BR52" s="55">
        <v>157494</v>
      </c>
      <c r="BS52" s="55">
        <v>161515</v>
      </c>
      <c r="BT52" s="55">
        <v>166439</v>
      </c>
      <c r="BU52" s="56">
        <v>172536</v>
      </c>
      <c r="BV52" s="55">
        <v>175572</v>
      </c>
      <c r="BW52" s="55">
        <v>176109</v>
      </c>
      <c r="BX52" s="55">
        <v>176962</v>
      </c>
      <c r="BY52" s="55">
        <v>177695</v>
      </c>
      <c r="BZ52" s="55">
        <v>178440</v>
      </c>
      <c r="CA52" s="55">
        <v>179353</v>
      </c>
      <c r="CB52" s="55">
        <v>180053</v>
      </c>
      <c r="CC52" s="55">
        <v>180819</v>
      </c>
      <c r="CD52" s="55">
        <v>181914</v>
      </c>
      <c r="CE52" s="55">
        <v>182379</v>
      </c>
      <c r="CF52" s="55">
        <v>182912</v>
      </c>
      <c r="CG52" s="55">
        <v>183408</v>
      </c>
      <c r="CH52" s="77">
        <v>183795</v>
      </c>
      <c r="CI52" s="55">
        <v>184218</v>
      </c>
      <c r="CJ52" s="55">
        <v>184884</v>
      </c>
      <c r="CK52" s="55">
        <v>185281</v>
      </c>
      <c r="CL52" s="55">
        <v>185808</v>
      </c>
      <c r="CM52" s="55">
        <v>186417</v>
      </c>
      <c r="CN52" s="55">
        <v>186963</v>
      </c>
      <c r="CO52" s="55">
        <v>187473</v>
      </c>
      <c r="CP52" s="55">
        <v>188115</v>
      </c>
      <c r="CQ52" s="55">
        <v>188675</v>
      </c>
      <c r="CR52" s="55">
        <v>189273</v>
      </c>
      <c r="CS52" s="55">
        <v>189759</v>
      </c>
      <c r="CT52" s="77">
        <v>190189</v>
      </c>
      <c r="CU52" s="55">
        <v>190673</v>
      </c>
      <c r="CV52" s="55">
        <v>191329</v>
      </c>
      <c r="CW52" s="55">
        <v>191918</v>
      </c>
      <c r="CX52" s="55">
        <v>192585</v>
      </c>
      <c r="CY52" s="55">
        <v>193355</v>
      </c>
      <c r="CZ52" s="55">
        <v>194019</v>
      </c>
      <c r="DA52" s="55">
        <v>194719</v>
      </c>
      <c r="DB52" s="55">
        <v>195605</v>
      </c>
      <c r="DC52" s="55">
        <v>196424</v>
      </c>
      <c r="DD52" s="55">
        <v>197524</v>
      </c>
      <c r="DE52" s="55">
        <v>198544</v>
      </c>
      <c r="DF52" s="77">
        <v>199567</v>
      </c>
      <c r="DG52" s="55">
        <v>201111</v>
      </c>
      <c r="DH52" s="55">
        <v>204931</v>
      </c>
      <c r="DI52" s="55">
        <v>205082</v>
      </c>
      <c r="DJ52" s="55">
        <v>205336</v>
      </c>
      <c r="DK52" s="55">
        <v>205662</v>
      </c>
      <c r="DL52" s="55">
        <v>206121</v>
      </c>
      <c r="DM52" s="55">
        <v>206584</v>
      </c>
      <c r="DN52" s="55">
        <v>207232</v>
      </c>
      <c r="DO52" s="55">
        <v>208002</v>
      </c>
      <c r="DP52" s="55">
        <v>208662</v>
      </c>
      <c r="DQ52" s="55">
        <v>209185</v>
      </c>
      <c r="DR52" s="77">
        <v>209843</v>
      </c>
      <c r="DS52" s="55">
        <v>210523</v>
      </c>
      <c r="DT52" s="55">
        <v>211274</v>
      </c>
      <c r="DU52" s="55">
        <v>211557</v>
      </c>
      <c r="DV52" s="55">
        <v>212034</v>
      </c>
      <c r="DW52" s="55">
        <v>212921</v>
      </c>
      <c r="DX52" s="55">
        <v>213875</v>
      </c>
      <c r="DY52" s="55">
        <v>214744</v>
      </c>
      <c r="DZ52" s="55">
        <v>215852</v>
      </c>
      <c r="EA52" s="55">
        <v>216967</v>
      </c>
      <c r="EB52" s="55">
        <v>218140</v>
      </c>
      <c r="EC52" s="55">
        <v>219006</v>
      </c>
      <c r="ED52" s="77">
        <v>219920</v>
      </c>
      <c r="EE52" s="55">
        <v>220921</v>
      </c>
      <c r="EF52" s="55">
        <v>222400</v>
      </c>
      <c r="EG52" s="55">
        <v>223809</v>
      </c>
      <c r="EH52" s="55">
        <v>225235</v>
      </c>
      <c r="EI52" s="55">
        <v>226832</v>
      </c>
      <c r="EJ52" s="55">
        <v>228342</v>
      </c>
      <c r="EK52" s="55">
        <v>229736</v>
      </c>
      <c r="EL52" s="55">
        <v>231620</v>
      </c>
      <c r="EM52" s="55">
        <v>233420</v>
      </c>
      <c r="EN52" s="55">
        <v>235741</v>
      </c>
      <c r="EO52" s="55">
        <v>237450</v>
      </c>
      <c r="EP52" s="77">
        <v>239632</v>
      </c>
      <c r="EQ52" s="55">
        <v>242163</v>
      </c>
      <c r="ER52" s="55">
        <v>245650</v>
      </c>
      <c r="ES52" s="55">
        <v>249384</v>
      </c>
      <c r="ET52" s="55">
        <v>253979</v>
      </c>
      <c r="EU52" s="55">
        <v>258600</v>
      </c>
      <c r="EV52" s="55">
        <v>263656</v>
      </c>
      <c r="EW52" s="55">
        <v>269304</v>
      </c>
      <c r="EX52" s="55">
        <v>275961</v>
      </c>
      <c r="EY52" s="55">
        <v>283134</v>
      </c>
      <c r="EZ52" s="55">
        <v>291550</v>
      </c>
      <c r="FA52" s="83">
        <v>297989</v>
      </c>
      <c r="FB52" s="55">
        <v>306951</v>
      </c>
      <c r="FC52" s="55">
        <v>316299</v>
      </c>
      <c r="FD52" s="55">
        <v>326882</v>
      </c>
      <c r="FE52" s="55">
        <v>335410</v>
      </c>
      <c r="FF52" s="55">
        <v>345109</v>
      </c>
      <c r="FG52" s="55">
        <v>354724</v>
      </c>
      <c r="FH52" s="55">
        <v>362848</v>
      </c>
      <c r="FI52" s="55">
        <v>371285</v>
      </c>
      <c r="FJ52" s="39">
        <v>379259</v>
      </c>
      <c r="FK52" s="39">
        <v>387225</v>
      </c>
      <c r="FL52" s="39">
        <v>395065</v>
      </c>
      <c r="FM52" s="39">
        <v>400191</v>
      </c>
      <c r="FN52" s="77">
        <v>406437</v>
      </c>
      <c r="FO52" s="39">
        <v>413004</v>
      </c>
      <c r="FP52" s="39">
        <v>419629</v>
      </c>
      <c r="FQ52" s="39">
        <v>426788</v>
      </c>
      <c r="FR52" s="39">
        <v>433908</v>
      </c>
      <c r="FS52" s="39">
        <v>440368</v>
      </c>
      <c r="FT52" s="39">
        <v>447347</v>
      </c>
      <c r="FU52" s="39">
        <v>453497</v>
      </c>
      <c r="FV52" s="39">
        <v>460012</v>
      </c>
      <c r="FW52" s="39">
        <v>467332</v>
      </c>
      <c r="FX52" s="39">
        <v>474235</v>
      </c>
      <c r="FY52" s="197">
        <v>479175</v>
      </c>
      <c r="FZ52" s="39">
        <v>485420</v>
      </c>
      <c r="GA52" s="39">
        <v>492508</v>
      </c>
      <c r="GB52" s="39">
        <v>500892</v>
      </c>
      <c r="GC52" s="39">
        <v>508623</v>
      </c>
      <c r="GD52" s="39">
        <v>517097</v>
      </c>
      <c r="GE52" s="39">
        <v>525567</v>
      </c>
      <c r="GF52" s="39">
        <v>534662</v>
      </c>
      <c r="GG52" s="39">
        <v>542747</v>
      </c>
      <c r="GH52" s="39">
        <v>551924</v>
      </c>
      <c r="GI52" s="39">
        <v>561493</v>
      </c>
      <c r="GJ52" s="39">
        <v>569883</v>
      </c>
      <c r="GK52" s="197">
        <v>575989</v>
      </c>
      <c r="GL52" s="39">
        <v>582716</v>
      </c>
      <c r="GM52" s="39">
        <v>590039</v>
      </c>
      <c r="GN52" s="39">
        <v>598571</v>
      </c>
      <c r="GO52" s="39">
        <v>607233</v>
      </c>
      <c r="GP52" s="39">
        <v>614119</v>
      </c>
    </row>
    <row r="53" spans="1:198" s="1" customFormat="1" ht="20.149999999999999" customHeight="1" x14ac:dyDescent="0.35">
      <c r="A53" s="31" t="s">
        <v>1625</v>
      </c>
      <c r="B53" s="55">
        <v>153</v>
      </c>
      <c r="C53" s="55">
        <v>159</v>
      </c>
      <c r="D53" s="55">
        <v>176</v>
      </c>
      <c r="E53" s="55">
        <v>187</v>
      </c>
      <c r="F53" s="55">
        <v>205</v>
      </c>
      <c r="G53" s="55">
        <v>218</v>
      </c>
      <c r="H53" s="55">
        <v>228</v>
      </c>
      <c r="I53" s="55">
        <v>242</v>
      </c>
      <c r="J53" s="55">
        <v>269</v>
      </c>
      <c r="K53" s="55">
        <v>290</v>
      </c>
      <c r="L53" s="55">
        <v>315</v>
      </c>
      <c r="M53" s="56">
        <v>328</v>
      </c>
      <c r="N53" s="57">
        <v>355</v>
      </c>
      <c r="O53" s="55">
        <v>393</v>
      </c>
      <c r="P53" s="55">
        <v>432</v>
      </c>
      <c r="Q53" s="55">
        <v>480</v>
      </c>
      <c r="R53" s="55">
        <v>534</v>
      </c>
      <c r="S53" s="55">
        <v>589</v>
      </c>
      <c r="T53" s="55">
        <v>705</v>
      </c>
      <c r="U53" s="55">
        <v>816</v>
      </c>
      <c r="V53" s="55">
        <v>962</v>
      </c>
      <c r="W53" s="55">
        <v>1110</v>
      </c>
      <c r="X53" s="55">
        <v>1887</v>
      </c>
      <c r="Y53" s="56">
        <v>3364</v>
      </c>
      <c r="Z53" s="57">
        <v>3409</v>
      </c>
      <c r="AA53" s="55">
        <v>4586</v>
      </c>
      <c r="AB53" s="55">
        <v>5432</v>
      </c>
      <c r="AC53" s="55">
        <v>5502</v>
      </c>
      <c r="AD53" s="55">
        <v>5664</v>
      </c>
      <c r="AE53" s="55">
        <v>5978</v>
      </c>
      <c r="AF53" s="55">
        <v>7275</v>
      </c>
      <c r="AG53" s="55">
        <v>7340</v>
      </c>
      <c r="AH53" s="55">
        <v>7432</v>
      </c>
      <c r="AI53" s="55">
        <v>7740</v>
      </c>
      <c r="AJ53" s="55">
        <v>7855</v>
      </c>
      <c r="AK53" s="56">
        <v>7981</v>
      </c>
      <c r="AL53" s="57">
        <v>8126</v>
      </c>
      <c r="AM53" s="55">
        <v>8370</v>
      </c>
      <c r="AN53" s="55">
        <v>8706</v>
      </c>
      <c r="AO53" s="55">
        <v>9040</v>
      </c>
      <c r="AP53" s="55">
        <v>9357</v>
      </c>
      <c r="AQ53" s="55">
        <v>10116</v>
      </c>
      <c r="AR53" s="55">
        <v>10306</v>
      </c>
      <c r="AS53" s="55">
        <v>10604</v>
      </c>
      <c r="AT53" s="55">
        <v>10895</v>
      </c>
      <c r="AU53" s="55">
        <v>11160</v>
      </c>
      <c r="AV53" s="55">
        <v>11466</v>
      </c>
      <c r="AW53" s="56">
        <v>11760</v>
      </c>
      <c r="AX53" s="55">
        <v>12057</v>
      </c>
      <c r="AY53" s="55">
        <v>12500</v>
      </c>
      <c r="AZ53" s="55">
        <v>13379</v>
      </c>
      <c r="BA53" s="55">
        <v>13573</v>
      </c>
      <c r="BB53" s="55">
        <v>13847</v>
      </c>
      <c r="BC53" s="55">
        <v>14185</v>
      </c>
      <c r="BD53" s="55">
        <v>14505</v>
      </c>
      <c r="BE53" s="55">
        <v>14824</v>
      </c>
      <c r="BF53" s="55">
        <v>15204</v>
      </c>
      <c r="BG53" s="55">
        <v>15556</v>
      </c>
      <c r="BH53" s="55">
        <v>15927</v>
      </c>
      <c r="BI53" s="56">
        <v>16615</v>
      </c>
      <c r="BJ53" s="55">
        <v>16822</v>
      </c>
      <c r="BK53" s="55">
        <v>17193</v>
      </c>
      <c r="BL53" s="55">
        <v>17827</v>
      </c>
      <c r="BM53" s="55">
        <v>18153</v>
      </c>
      <c r="BN53" s="55">
        <v>18477</v>
      </c>
      <c r="BO53" s="55">
        <v>19005</v>
      </c>
      <c r="BP53" s="55">
        <v>19405</v>
      </c>
      <c r="BQ53" s="55">
        <v>19898</v>
      </c>
      <c r="BR53" s="55">
        <v>21017</v>
      </c>
      <c r="BS53" s="55">
        <v>21495</v>
      </c>
      <c r="BT53" s="55">
        <v>22238</v>
      </c>
      <c r="BU53" s="56">
        <v>24255</v>
      </c>
      <c r="BV53" s="55">
        <v>25213</v>
      </c>
      <c r="BW53" s="55">
        <v>25310</v>
      </c>
      <c r="BX53" s="55">
        <v>25520</v>
      </c>
      <c r="BY53" s="55">
        <v>25656</v>
      </c>
      <c r="BZ53" s="55">
        <v>25802</v>
      </c>
      <c r="CA53" s="55">
        <v>26011</v>
      </c>
      <c r="CB53" s="55">
        <v>26209</v>
      </c>
      <c r="CC53" s="55">
        <v>26478</v>
      </c>
      <c r="CD53" s="55">
        <v>26978</v>
      </c>
      <c r="CE53" s="55">
        <v>27110</v>
      </c>
      <c r="CF53" s="55">
        <v>27260</v>
      </c>
      <c r="CG53" s="55">
        <v>27447</v>
      </c>
      <c r="CH53" s="77">
        <v>27533</v>
      </c>
      <c r="CI53" s="55">
        <v>27648</v>
      </c>
      <c r="CJ53" s="55">
        <v>27899</v>
      </c>
      <c r="CK53" s="55">
        <v>28026</v>
      </c>
      <c r="CL53" s="55">
        <v>28177</v>
      </c>
      <c r="CM53" s="55">
        <v>28364</v>
      </c>
      <c r="CN53" s="55">
        <v>28521</v>
      </c>
      <c r="CO53" s="55">
        <v>28689</v>
      </c>
      <c r="CP53" s="55">
        <v>28888</v>
      </c>
      <c r="CQ53" s="55">
        <v>29053</v>
      </c>
      <c r="CR53" s="55">
        <v>29254</v>
      </c>
      <c r="CS53" s="55">
        <v>29415</v>
      </c>
      <c r="CT53" s="77">
        <v>29580</v>
      </c>
      <c r="CU53" s="55">
        <v>29739</v>
      </c>
      <c r="CV53" s="55">
        <v>29961</v>
      </c>
      <c r="CW53" s="55">
        <v>30104</v>
      </c>
      <c r="CX53" s="55">
        <v>30257</v>
      </c>
      <c r="CY53" s="55">
        <v>30453</v>
      </c>
      <c r="CZ53" s="55">
        <v>30637</v>
      </c>
      <c r="DA53" s="55">
        <v>30847</v>
      </c>
      <c r="DB53" s="55">
        <v>31030</v>
      </c>
      <c r="DC53" s="55">
        <v>31247</v>
      </c>
      <c r="DD53" s="55">
        <v>31462</v>
      </c>
      <c r="DE53" s="55">
        <v>31693</v>
      </c>
      <c r="DF53" s="77">
        <v>31962</v>
      </c>
      <c r="DG53" s="55">
        <v>32367</v>
      </c>
      <c r="DH53" s="55">
        <v>33962</v>
      </c>
      <c r="DI53" s="55">
        <v>34033</v>
      </c>
      <c r="DJ53" s="55">
        <v>34102</v>
      </c>
      <c r="DK53" s="55">
        <v>34201</v>
      </c>
      <c r="DL53" s="55">
        <v>34309</v>
      </c>
      <c r="DM53" s="55">
        <v>34447</v>
      </c>
      <c r="DN53" s="55">
        <v>34585</v>
      </c>
      <c r="DO53" s="55">
        <v>34725</v>
      </c>
      <c r="DP53" s="55">
        <v>34880</v>
      </c>
      <c r="DQ53" s="55">
        <v>34992</v>
      </c>
      <c r="DR53" s="77">
        <v>35151</v>
      </c>
      <c r="DS53" s="55">
        <v>35311</v>
      </c>
      <c r="DT53" s="55">
        <v>35527</v>
      </c>
      <c r="DU53" s="55">
        <v>35579</v>
      </c>
      <c r="DV53" s="55">
        <v>35630</v>
      </c>
      <c r="DW53" s="55">
        <v>35755</v>
      </c>
      <c r="DX53" s="55">
        <v>35903</v>
      </c>
      <c r="DY53" s="55">
        <v>36017</v>
      </c>
      <c r="DZ53" s="55">
        <v>36190</v>
      </c>
      <c r="EA53" s="55">
        <v>36364</v>
      </c>
      <c r="EB53" s="55">
        <v>36553</v>
      </c>
      <c r="EC53" s="55">
        <v>36692</v>
      </c>
      <c r="ED53" s="77">
        <v>36833</v>
      </c>
      <c r="EE53" s="55">
        <v>36995</v>
      </c>
      <c r="EF53" s="55">
        <v>37226</v>
      </c>
      <c r="EG53" s="55">
        <v>37412</v>
      </c>
      <c r="EH53" s="55">
        <v>37593</v>
      </c>
      <c r="EI53" s="55">
        <v>37764</v>
      </c>
      <c r="EJ53" s="55">
        <v>37989</v>
      </c>
      <c r="EK53" s="55">
        <v>38238</v>
      </c>
      <c r="EL53" s="55">
        <v>38478</v>
      </c>
      <c r="EM53" s="55">
        <v>38729</v>
      </c>
      <c r="EN53" s="55">
        <v>39034</v>
      </c>
      <c r="EO53" s="55">
        <v>39203</v>
      </c>
      <c r="EP53" s="77">
        <v>39430</v>
      </c>
      <c r="EQ53" s="55">
        <v>39680</v>
      </c>
      <c r="ER53" s="55">
        <v>40060</v>
      </c>
      <c r="ES53" s="55">
        <v>40343</v>
      </c>
      <c r="ET53" s="55">
        <v>40724</v>
      </c>
      <c r="EU53" s="55">
        <v>41085</v>
      </c>
      <c r="EV53" s="55">
        <v>41459</v>
      </c>
      <c r="EW53" s="55">
        <v>41860</v>
      </c>
      <c r="EX53" s="55">
        <v>42281</v>
      </c>
      <c r="EY53" s="55">
        <v>42742</v>
      </c>
      <c r="EZ53" s="55">
        <v>43287</v>
      </c>
      <c r="FA53" s="83">
        <v>43706</v>
      </c>
      <c r="FB53" s="55">
        <v>44258</v>
      </c>
      <c r="FC53" s="55">
        <v>44984</v>
      </c>
      <c r="FD53" s="55">
        <v>45809</v>
      </c>
      <c r="FE53" s="55">
        <v>46554</v>
      </c>
      <c r="FF53" s="55">
        <v>47476</v>
      </c>
      <c r="FG53" s="55">
        <v>48471</v>
      </c>
      <c r="FH53" s="55">
        <v>49330</v>
      </c>
      <c r="FI53" s="55">
        <v>50172</v>
      </c>
      <c r="FJ53" s="39">
        <v>51110</v>
      </c>
      <c r="FK53" s="39">
        <v>51948</v>
      </c>
      <c r="FL53" s="39">
        <v>52784</v>
      </c>
      <c r="FM53" s="39">
        <v>53314</v>
      </c>
      <c r="FN53" s="77">
        <v>54079</v>
      </c>
      <c r="FO53" s="39">
        <v>54772</v>
      </c>
      <c r="FP53" s="39">
        <v>55551</v>
      </c>
      <c r="FQ53" s="39">
        <v>56381</v>
      </c>
      <c r="FR53" s="39">
        <v>57334</v>
      </c>
      <c r="FS53" s="39">
        <v>58226</v>
      </c>
      <c r="FT53" s="39">
        <v>59197</v>
      </c>
      <c r="FU53" s="39">
        <v>60120</v>
      </c>
      <c r="FV53" s="39">
        <v>61011</v>
      </c>
      <c r="FW53" s="39">
        <v>61960</v>
      </c>
      <c r="FX53" s="39">
        <v>62935</v>
      </c>
      <c r="FY53" s="197">
        <v>63621</v>
      </c>
      <c r="FZ53" s="39">
        <v>64568</v>
      </c>
      <c r="GA53" s="39">
        <v>65669</v>
      </c>
      <c r="GB53" s="39">
        <v>66895</v>
      </c>
      <c r="GC53" s="39">
        <v>68103</v>
      </c>
      <c r="GD53" s="39">
        <v>69450</v>
      </c>
      <c r="GE53" s="39">
        <v>70759</v>
      </c>
      <c r="GF53" s="39">
        <v>72158</v>
      </c>
      <c r="GG53" s="39">
        <v>73426</v>
      </c>
      <c r="GH53" s="39">
        <v>74873</v>
      </c>
      <c r="GI53" s="39">
        <v>76298</v>
      </c>
      <c r="GJ53" s="39">
        <v>77554</v>
      </c>
      <c r="GK53" s="197">
        <v>78661</v>
      </c>
      <c r="GL53" s="39">
        <v>79902</v>
      </c>
      <c r="GM53" s="39">
        <v>81288</v>
      </c>
      <c r="GN53" s="39">
        <v>83017</v>
      </c>
      <c r="GO53" s="39">
        <v>84698</v>
      </c>
      <c r="GP53" s="39">
        <v>85961</v>
      </c>
    </row>
    <row r="54" spans="1:198" s="1" customFormat="1" ht="20.149999999999999" customHeight="1" x14ac:dyDescent="0.35">
      <c r="A54" s="31" t="s">
        <v>1627</v>
      </c>
      <c r="B54" s="55">
        <v>17</v>
      </c>
      <c r="C54" s="55">
        <v>17</v>
      </c>
      <c r="D54" s="55">
        <v>17</v>
      </c>
      <c r="E54" s="55">
        <v>17</v>
      </c>
      <c r="F54" s="55">
        <v>19</v>
      </c>
      <c r="G54" s="55">
        <v>21</v>
      </c>
      <c r="H54" s="55">
        <v>23</v>
      </c>
      <c r="I54" s="55">
        <v>23</v>
      </c>
      <c r="J54" s="55">
        <v>23</v>
      </c>
      <c r="K54" s="55">
        <v>27</v>
      </c>
      <c r="L54" s="55">
        <v>28</v>
      </c>
      <c r="M54" s="56">
        <v>30</v>
      </c>
      <c r="N54" s="57">
        <v>30</v>
      </c>
      <c r="O54" s="55">
        <v>33</v>
      </c>
      <c r="P54" s="55">
        <v>36</v>
      </c>
      <c r="Q54" s="55">
        <v>45</v>
      </c>
      <c r="R54" s="55">
        <v>57</v>
      </c>
      <c r="S54" s="55">
        <v>93</v>
      </c>
      <c r="T54" s="55">
        <v>304</v>
      </c>
      <c r="U54" s="55">
        <v>309</v>
      </c>
      <c r="V54" s="55">
        <v>325</v>
      </c>
      <c r="W54" s="55">
        <v>353</v>
      </c>
      <c r="X54" s="55">
        <v>371</v>
      </c>
      <c r="Y54" s="56">
        <v>430</v>
      </c>
      <c r="Z54" s="57">
        <v>432</v>
      </c>
      <c r="AA54" s="55">
        <v>496</v>
      </c>
      <c r="AB54" s="55">
        <v>544</v>
      </c>
      <c r="AC54" s="55">
        <v>550</v>
      </c>
      <c r="AD54" s="55">
        <v>564</v>
      </c>
      <c r="AE54" s="55">
        <v>600</v>
      </c>
      <c r="AF54" s="55">
        <v>811</v>
      </c>
      <c r="AG54" s="55">
        <v>832</v>
      </c>
      <c r="AH54" s="55">
        <v>849</v>
      </c>
      <c r="AI54" s="55">
        <v>896</v>
      </c>
      <c r="AJ54" s="55">
        <v>914</v>
      </c>
      <c r="AK54" s="56">
        <v>935</v>
      </c>
      <c r="AL54" s="57">
        <v>957</v>
      </c>
      <c r="AM54" s="55">
        <v>986</v>
      </c>
      <c r="AN54" s="55">
        <v>1052</v>
      </c>
      <c r="AO54" s="55">
        <v>1170</v>
      </c>
      <c r="AP54" s="55">
        <v>1228</v>
      </c>
      <c r="AQ54" s="55">
        <v>1346</v>
      </c>
      <c r="AR54" s="55">
        <v>1407</v>
      </c>
      <c r="AS54" s="55">
        <v>1482</v>
      </c>
      <c r="AT54" s="55">
        <v>1543</v>
      </c>
      <c r="AU54" s="55">
        <v>1591</v>
      </c>
      <c r="AV54" s="55">
        <v>1664</v>
      </c>
      <c r="AW54" s="56">
        <v>1771</v>
      </c>
      <c r="AX54" s="55">
        <v>1819</v>
      </c>
      <c r="AY54" s="55">
        <v>1887</v>
      </c>
      <c r="AZ54" s="55">
        <v>2084</v>
      </c>
      <c r="BA54" s="55">
        <v>2119</v>
      </c>
      <c r="BB54" s="55">
        <v>2178</v>
      </c>
      <c r="BC54" s="55">
        <v>2323</v>
      </c>
      <c r="BD54" s="55">
        <v>2409</v>
      </c>
      <c r="BE54" s="55">
        <v>2483</v>
      </c>
      <c r="BF54" s="55">
        <v>2606</v>
      </c>
      <c r="BG54" s="55">
        <v>2725</v>
      </c>
      <c r="BH54" s="55">
        <v>2833</v>
      </c>
      <c r="BI54" s="56">
        <v>2994</v>
      </c>
      <c r="BJ54" s="55">
        <v>3067</v>
      </c>
      <c r="BK54" s="55">
        <v>3129</v>
      </c>
      <c r="BL54" s="55">
        <v>3387</v>
      </c>
      <c r="BM54" s="55">
        <v>3466</v>
      </c>
      <c r="BN54" s="55">
        <v>3555</v>
      </c>
      <c r="BO54" s="55">
        <v>3781</v>
      </c>
      <c r="BP54" s="55">
        <v>3892</v>
      </c>
      <c r="BQ54" s="55">
        <v>4018</v>
      </c>
      <c r="BR54" s="55">
        <v>4233</v>
      </c>
      <c r="BS54" s="55">
        <v>4396</v>
      </c>
      <c r="BT54" s="55">
        <v>4632</v>
      </c>
      <c r="BU54" s="56">
        <v>5289</v>
      </c>
      <c r="BV54" s="55">
        <v>5493</v>
      </c>
      <c r="BW54" s="55">
        <v>5552</v>
      </c>
      <c r="BX54" s="55">
        <v>5789</v>
      </c>
      <c r="BY54" s="55">
        <v>5816</v>
      </c>
      <c r="BZ54" s="55">
        <v>5851</v>
      </c>
      <c r="CA54" s="55">
        <v>5912</v>
      </c>
      <c r="CB54" s="55">
        <v>5930</v>
      </c>
      <c r="CC54" s="55">
        <v>5957</v>
      </c>
      <c r="CD54" s="55">
        <v>5998</v>
      </c>
      <c r="CE54" s="55">
        <v>6026</v>
      </c>
      <c r="CF54" s="55">
        <v>6049</v>
      </c>
      <c r="CG54" s="55">
        <v>6088</v>
      </c>
      <c r="CH54" s="77">
        <v>6097</v>
      </c>
      <c r="CI54" s="55">
        <v>6123</v>
      </c>
      <c r="CJ54" s="55">
        <v>6237</v>
      </c>
      <c r="CK54" s="55">
        <v>6257</v>
      </c>
      <c r="CL54" s="55">
        <v>6271</v>
      </c>
      <c r="CM54" s="55">
        <v>6294</v>
      </c>
      <c r="CN54" s="55">
        <v>6312</v>
      </c>
      <c r="CO54" s="55">
        <v>6336</v>
      </c>
      <c r="CP54" s="55">
        <v>6360</v>
      </c>
      <c r="CQ54" s="55">
        <v>6375</v>
      </c>
      <c r="CR54" s="55">
        <v>6393</v>
      </c>
      <c r="CS54" s="55">
        <v>6401</v>
      </c>
      <c r="CT54" s="77">
        <v>6411</v>
      </c>
      <c r="CU54" s="55">
        <v>6419</v>
      </c>
      <c r="CV54" s="55">
        <v>6441</v>
      </c>
      <c r="CW54" s="55">
        <v>6455</v>
      </c>
      <c r="CX54" s="55">
        <v>6468</v>
      </c>
      <c r="CY54" s="55">
        <v>6479</v>
      </c>
      <c r="CZ54" s="55">
        <v>6490</v>
      </c>
      <c r="DA54" s="55">
        <v>6510</v>
      </c>
      <c r="DB54" s="55">
        <v>6527</v>
      </c>
      <c r="DC54" s="55">
        <v>6539</v>
      </c>
      <c r="DD54" s="55">
        <v>6565</v>
      </c>
      <c r="DE54" s="55">
        <v>6595</v>
      </c>
      <c r="DF54" s="77">
        <v>6606</v>
      </c>
      <c r="DG54" s="55">
        <v>6620</v>
      </c>
      <c r="DH54" s="55">
        <v>6656</v>
      </c>
      <c r="DI54" s="55">
        <v>6672</v>
      </c>
      <c r="DJ54" s="55">
        <v>6678</v>
      </c>
      <c r="DK54" s="55">
        <v>6687</v>
      </c>
      <c r="DL54" s="55">
        <v>6697</v>
      </c>
      <c r="DM54" s="55">
        <v>6712</v>
      </c>
      <c r="DN54" s="55">
        <v>6727</v>
      </c>
      <c r="DO54" s="55">
        <v>6737</v>
      </c>
      <c r="DP54" s="55">
        <v>6742</v>
      </c>
      <c r="DQ54" s="55">
        <v>6748</v>
      </c>
      <c r="DR54" s="77">
        <v>6758</v>
      </c>
      <c r="DS54" s="55">
        <v>6763</v>
      </c>
      <c r="DT54" s="55">
        <v>6780</v>
      </c>
      <c r="DU54" s="55">
        <v>6788</v>
      </c>
      <c r="DV54" s="55">
        <v>6791</v>
      </c>
      <c r="DW54" s="55">
        <v>6794</v>
      </c>
      <c r="DX54" s="55">
        <v>6801</v>
      </c>
      <c r="DY54" s="55">
        <v>6815</v>
      </c>
      <c r="DZ54" s="55">
        <v>6825</v>
      </c>
      <c r="EA54" s="55">
        <v>6829</v>
      </c>
      <c r="EB54" s="55">
        <v>6833</v>
      </c>
      <c r="EC54" s="55">
        <v>6842</v>
      </c>
      <c r="ED54" s="77">
        <v>6848</v>
      </c>
      <c r="EE54" s="55">
        <v>6853</v>
      </c>
      <c r="EF54" s="55">
        <v>6861</v>
      </c>
      <c r="EG54" s="55">
        <v>6867</v>
      </c>
      <c r="EH54" s="55">
        <v>6873</v>
      </c>
      <c r="EI54" s="55">
        <v>6882</v>
      </c>
      <c r="EJ54" s="55">
        <v>6893</v>
      </c>
      <c r="EK54" s="55">
        <v>6900</v>
      </c>
      <c r="EL54" s="55">
        <v>6917</v>
      </c>
      <c r="EM54" s="55">
        <v>6931</v>
      </c>
      <c r="EN54" s="55">
        <v>6947</v>
      </c>
      <c r="EO54" s="55">
        <v>6961</v>
      </c>
      <c r="EP54" s="77">
        <v>6979</v>
      </c>
      <c r="EQ54" s="55">
        <v>6993</v>
      </c>
      <c r="ER54" s="55">
        <v>7013</v>
      </c>
      <c r="ES54" s="55">
        <v>7030</v>
      </c>
      <c r="ET54" s="55">
        <v>7051</v>
      </c>
      <c r="EU54" s="55">
        <v>7073</v>
      </c>
      <c r="EV54" s="55">
        <v>7087</v>
      </c>
      <c r="EW54" s="55">
        <v>7100</v>
      </c>
      <c r="EX54" s="55">
        <v>7118</v>
      </c>
      <c r="EY54" s="55">
        <v>7147</v>
      </c>
      <c r="EZ54" s="55">
        <v>7172</v>
      </c>
      <c r="FA54" s="83">
        <v>7192</v>
      </c>
      <c r="FB54" s="55">
        <v>7220</v>
      </c>
      <c r="FC54" s="55">
        <v>7249</v>
      </c>
      <c r="FD54" s="55">
        <v>7307</v>
      </c>
      <c r="FE54" s="55">
        <v>7346</v>
      </c>
      <c r="FF54" s="55">
        <v>7398</v>
      </c>
      <c r="FG54" s="55">
        <v>7458</v>
      </c>
      <c r="FH54" s="55">
        <v>7503</v>
      </c>
      <c r="FI54" s="55">
        <v>7554</v>
      </c>
      <c r="FJ54" s="39">
        <v>7602</v>
      </c>
      <c r="FK54" s="39">
        <v>7651</v>
      </c>
      <c r="FL54" s="39">
        <v>7692</v>
      </c>
      <c r="FM54" s="39">
        <v>7716</v>
      </c>
      <c r="FN54" s="77">
        <v>7750</v>
      </c>
      <c r="FO54" s="39">
        <v>7787</v>
      </c>
      <c r="FP54" s="39">
        <v>7827</v>
      </c>
      <c r="FQ54" s="39">
        <v>7869</v>
      </c>
      <c r="FR54" s="39">
        <v>7913</v>
      </c>
      <c r="FS54" s="39">
        <v>7945</v>
      </c>
      <c r="FT54" s="39">
        <v>7992</v>
      </c>
      <c r="FU54" s="39">
        <v>8029</v>
      </c>
      <c r="FV54" s="39">
        <v>8052</v>
      </c>
      <c r="FW54" s="39">
        <v>8082</v>
      </c>
      <c r="FX54" s="39">
        <v>8121</v>
      </c>
      <c r="FY54" s="197">
        <v>8142</v>
      </c>
      <c r="FZ54" s="39">
        <v>8166</v>
      </c>
      <c r="GA54" s="39">
        <v>8201</v>
      </c>
      <c r="GB54" s="39">
        <v>8229</v>
      </c>
      <c r="GC54" s="39">
        <v>8258</v>
      </c>
      <c r="GD54" s="39">
        <v>8310</v>
      </c>
      <c r="GE54" s="39">
        <v>8349</v>
      </c>
      <c r="GF54" s="39">
        <v>8403</v>
      </c>
      <c r="GG54" s="39">
        <v>8444</v>
      </c>
      <c r="GH54" s="39">
        <v>8490</v>
      </c>
      <c r="GI54" s="39">
        <v>8543</v>
      </c>
      <c r="GJ54" s="39">
        <v>8578</v>
      </c>
      <c r="GK54" s="197">
        <v>8611</v>
      </c>
      <c r="GL54" s="39">
        <v>8633</v>
      </c>
      <c r="GM54" s="39">
        <v>8666</v>
      </c>
      <c r="GN54" s="39">
        <v>8704</v>
      </c>
      <c r="GO54" s="39">
        <v>8733</v>
      </c>
      <c r="GP54" s="39">
        <v>8748</v>
      </c>
    </row>
    <row r="55" spans="1:198" s="1" customFormat="1" ht="20.149999999999999" customHeight="1" x14ac:dyDescent="0.35">
      <c r="A55" s="31" t="s">
        <v>1624</v>
      </c>
      <c r="B55" s="55">
        <v>0</v>
      </c>
      <c r="C55" s="55">
        <v>0</v>
      </c>
      <c r="D55" s="55">
        <v>0</v>
      </c>
      <c r="E55" s="55">
        <v>0</v>
      </c>
      <c r="F55" s="55">
        <v>0</v>
      </c>
      <c r="G55" s="55">
        <v>0</v>
      </c>
      <c r="H55" s="55">
        <v>0</v>
      </c>
      <c r="I55" s="55">
        <v>0</v>
      </c>
      <c r="J55" s="55">
        <v>0</v>
      </c>
      <c r="K55" s="55">
        <v>0</v>
      </c>
      <c r="L55" s="55">
        <v>0</v>
      </c>
      <c r="M55" s="56">
        <v>0</v>
      </c>
      <c r="N55" s="57">
        <v>0</v>
      </c>
      <c r="O55" s="55">
        <v>0</v>
      </c>
      <c r="P55" s="55">
        <v>0</v>
      </c>
      <c r="Q55" s="55">
        <v>0</v>
      </c>
      <c r="R55" s="55">
        <v>0</v>
      </c>
      <c r="S55" s="55">
        <v>0</v>
      </c>
      <c r="T55" s="55">
        <v>0</v>
      </c>
      <c r="U55" s="55">
        <v>0</v>
      </c>
      <c r="V55" s="55">
        <v>0</v>
      </c>
      <c r="W55" s="55">
        <v>0</v>
      </c>
      <c r="X55" s="55">
        <v>0</v>
      </c>
      <c r="Y55" s="56">
        <v>0</v>
      </c>
      <c r="Z55" s="57">
        <v>1</v>
      </c>
      <c r="AA55" s="55">
        <v>1</v>
      </c>
      <c r="AB55" s="55">
        <v>1</v>
      </c>
      <c r="AC55" s="55">
        <v>1</v>
      </c>
      <c r="AD55" s="55">
        <v>1</v>
      </c>
      <c r="AE55" s="55">
        <v>1</v>
      </c>
      <c r="AF55" s="55">
        <v>1</v>
      </c>
      <c r="AG55" s="55">
        <v>1</v>
      </c>
      <c r="AH55" s="55">
        <v>1</v>
      </c>
      <c r="AI55" s="55">
        <v>1</v>
      </c>
      <c r="AJ55" s="55">
        <v>1</v>
      </c>
      <c r="AK55" s="56">
        <v>1</v>
      </c>
      <c r="AL55" s="57">
        <v>1</v>
      </c>
      <c r="AM55" s="55">
        <v>7</v>
      </c>
      <c r="AN55" s="55">
        <v>41</v>
      </c>
      <c r="AO55" s="55">
        <v>41</v>
      </c>
      <c r="AP55" s="55">
        <v>44</v>
      </c>
      <c r="AQ55" s="55">
        <v>51</v>
      </c>
      <c r="AR55" s="55">
        <v>51</v>
      </c>
      <c r="AS55" s="55">
        <v>54</v>
      </c>
      <c r="AT55" s="55">
        <v>54</v>
      </c>
      <c r="AU55" s="55">
        <v>54</v>
      </c>
      <c r="AV55" s="55">
        <v>58</v>
      </c>
      <c r="AW55" s="56">
        <v>60</v>
      </c>
      <c r="AX55" s="55">
        <v>68</v>
      </c>
      <c r="AY55" s="55">
        <v>72</v>
      </c>
      <c r="AZ55" s="55">
        <v>144</v>
      </c>
      <c r="BA55" s="55">
        <v>145</v>
      </c>
      <c r="BB55" s="55">
        <v>149</v>
      </c>
      <c r="BC55" s="55">
        <v>154</v>
      </c>
      <c r="BD55" s="55">
        <v>161</v>
      </c>
      <c r="BE55" s="55">
        <v>162</v>
      </c>
      <c r="BF55" s="55">
        <v>170</v>
      </c>
      <c r="BG55" s="55">
        <v>175</v>
      </c>
      <c r="BH55" s="55">
        <v>181</v>
      </c>
      <c r="BI55" s="56">
        <v>190</v>
      </c>
      <c r="BJ55" s="55">
        <v>196</v>
      </c>
      <c r="BK55" s="55">
        <v>206</v>
      </c>
      <c r="BL55" s="55">
        <v>337</v>
      </c>
      <c r="BM55" s="55">
        <v>337</v>
      </c>
      <c r="BN55" s="55">
        <v>337</v>
      </c>
      <c r="BO55" s="55">
        <v>338</v>
      </c>
      <c r="BP55" s="55">
        <v>339</v>
      </c>
      <c r="BQ55" s="55">
        <v>343</v>
      </c>
      <c r="BR55" s="55">
        <v>343</v>
      </c>
      <c r="BS55" s="55">
        <v>346</v>
      </c>
      <c r="BT55" s="55">
        <v>350</v>
      </c>
      <c r="BU55" s="56">
        <v>358</v>
      </c>
      <c r="BV55" s="55">
        <v>362</v>
      </c>
      <c r="BW55" s="55">
        <v>364</v>
      </c>
      <c r="BX55" s="55">
        <v>389</v>
      </c>
      <c r="BY55" s="55">
        <v>391</v>
      </c>
      <c r="BZ55" s="55">
        <v>391</v>
      </c>
      <c r="CA55" s="55">
        <v>398</v>
      </c>
      <c r="CB55" s="55">
        <v>399</v>
      </c>
      <c r="CC55" s="55">
        <v>401</v>
      </c>
      <c r="CD55" s="55">
        <v>401</v>
      </c>
      <c r="CE55" s="55">
        <v>402</v>
      </c>
      <c r="CF55" s="55">
        <v>402</v>
      </c>
      <c r="CG55" s="55">
        <v>407</v>
      </c>
      <c r="CH55" s="77">
        <v>410</v>
      </c>
      <c r="CI55" s="55">
        <v>414</v>
      </c>
      <c r="CJ55" s="55">
        <v>435</v>
      </c>
      <c r="CK55" s="55">
        <v>435</v>
      </c>
      <c r="CL55" s="55">
        <v>435</v>
      </c>
      <c r="CM55" s="55">
        <v>435</v>
      </c>
      <c r="CN55" s="55">
        <v>436</v>
      </c>
      <c r="CO55" s="55">
        <v>436</v>
      </c>
      <c r="CP55" s="55">
        <v>436</v>
      </c>
      <c r="CQ55" s="55">
        <v>437</v>
      </c>
      <c r="CR55" s="55">
        <v>437</v>
      </c>
      <c r="CS55" s="55">
        <v>439</v>
      </c>
      <c r="CT55" s="77">
        <v>439</v>
      </c>
      <c r="CU55" s="55">
        <v>440</v>
      </c>
      <c r="CV55" s="55">
        <v>441</v>
      </c>
      <c r="CW55" s="55">
        <v>442</v>
      </c>
      <c r="CX55" s="55">
        <v>443</v>
      </c>
      <c r="CY55" s="55">
        <v>443</v>
      </c>
      <c r="CZ55" s="55">
        <v>443</v>
      </c>
      <c r="DA55" s="55">
        <v>443</v>
      </c>
      <c r="DB55" s="55">
        <v>443</v>
      </c>
      <c r="DC55" s="55">
        <v>444</v>
      </c>
      <c r="DD55" s="55">
        <v>444</v>
      </c>
      <c r="DE55" s="55">
        <v>445</v>
      </c>
      <c r="DF55" s="77">
        <v>445</v>
      </c>
      <c r="DG55" s="55">
        <v>445</v>
      </c>
      <c r="DH55" s="55">
        <v>445</v>
      </c>
      <c r="DI55" s="55">
        <v>445</v>
      </c>
      <c r="DJ55" s="55">
        <v>445</v>
      </c>
      <c r="DK55" s="55">
        <v>445</v>
      </c>
      <c r="DL55" s="55">
        <v>446</v>
      </c>
      <c r="DM55" s="55">
        <v>446</v>
      </c>
      <c r="DN55" s="55">
        <v>446</v>
      </c>
      <c r="DO55" s="55">
        <v>446</v>
      </c>
      <c r="DP55" s="55">
        <v>446</v>
      </c>
      <c r="DQ55" s="55">
        <v>446</v>
      </c>
      <c r="DR55" s="77">
        <v>448</v>
      </c>
      <c r="DS55" s="55">
        <v>449</v>
      </c>
      <c r="DT55" s="55">
        <v>449</v>
      </c>
      <c r="DU55" s="55">
        <v>449</v>
      </c>
      <c r="DV55" s="55">
        <v>450</v>
      </c>
      <c r="DW55" s="55">
        <v>450</v>
      </c>
      <c r="DX55" s="55">
        <v>450</v>
      </c>
      <c r="DY55" s="55">
        <v>451</v>
      </c>
      <c r="DZ55" s="55">
        <v>451</v>
      </c>
      <c r="EA55" s="55">
        <v>451</v>
      </c>
      <c r="EB55" s="55">
        <v>451</v>
      </c>
      <c r="EC55" s="55">
        <v>452</v>
      </c>
      <c r="ED55" s="77">
        <v>453</v>
      </c>
      <c r="EE55" s="55">
        <v>453</v>
      </c>
      <c r="EF55" s="55">
        <v>454</v>
      </c>
      <c r="EG55" s="55">
        <v>454</v>
      </c>
      <c r="EH55" s="55">
        <v>455</v>
      </c>
      <c r="EI55" s="55">
        <v>457</v>
      </c>
      <c r="EJ55" s="55">
        <v>457</v>
      </c>
      <c r="EK55" s="55">
        <v>457</v>
      </c>
      <c r="EL55" s="55">
        <v>457</v>
      </c>
      <c r="EM55" s="55">
        <v>457</v>
      </c>
      <c r="EN55" s="55">
        <v>457</v>
      </c>
      <c r="EO55" s="55">
        <v>457</v>
      </c>
      <c r="EP55" s="77">
        <v>460</v>
      </c>
      <c r="EQ55" s="55">
        <v>460</v>
      </c>
      <c r="ER55" s="55">
        <v>460</v>
      </c>
      <c r="ES55" s="55">
        <v>460</v>
      </c>
      <c r="ET55" s="55">
        <v>461</v>
      </c>
      <c r="EU55" s="55">
        <v>461</v>
      </c>
      <c r="EV55" s="55">
        <v>462</v>
      </c>
      <c r="EW55" s="55">
        <v>462</v>
      </c>
      <c r="EX55" s="55">
        <v>463</v>
      </c>
      <c r="EY55" s="55">
        <v>465</v>
      </c>
      <c r="EZ55" s="55">
        <v>465</v>
      </c>
      <c r="FA55" s="83">
        <v>467</v>
      </c>
      <c r="FB55" s="55">
        <v>476</v>
      </c>
      <c r="FC55" s="55">
        <v>479</v>
      </c>
      <c r="FD55" s="55">
        <v>481</v>
      </c>
      <c r="FE55" s="55">
        <v>482</v>
      </c>
      <c r="FF55" s="55">
        <v>483</v>
      </c>
      <c r="FG55" s="55">
        <v>484</v>
      </c>
      <c r="FH55" s="55">
        <v>484</v>
      </c>
      <c r="FI55" s="55">
        <v>484</v>
      </c>
      <c r="FJ55" s="39">
        <v>485</v>
      </c>
      <c r="FK55" s="39">
        <v>488</v>
      </c>
      <c r="FL55" s="39">
        <v>490</v>
      </c>
      <c r="FM55" s="39">
        <v>490</v>
      </c>
      <c r="FN55" s="77">
        <v>492</v>
      </c>
      <c r="FO55" s="39">
        <v>492</v>
      </c>
      <c r="FP55" s="39">
        <v>495</v>
      </c>
      <c r="FQ55" s="39">
        <v>495</v>
      </c>
      <c r="FR55" s="39">
        <v>495</v>
      </c>
      <c r="FS55" s="39">
        <v>497</v>
      </c>
      <c r="FT55" s="39">
        <v>497</v>
      </c>
      <c r="FU55" s="39">
        <v>497</v>
      </c>
      <c r="FV55" s="39">
        <v>497</v>
      </c>
      <c r="FW55" s="39">
        <v>498</v>
      </c>
      <c r="FX55" s="39">
        <v>498</v>
      </c>
      <c r="FY55" s="197">
        <v>500</v>
      </c>
      <c r="FZ55" s="39">
        <v>503</v>
      </c>
      <c r="GA55" s="39">
        <v>504</v>
      </c>
      <c r="GB55" s="39">
        <v>504</v>
      </c>
      <c r="GC55" s="39">
        <v>504</v>
      </c>
      <c r="GD55" s="39">
        <v>506</v>
      </c>
      <c r="GE55" s="39">
        <v>507</v>
      </c>
      <c r="GF55" s="39">
        <v>507</v>
      </c>
      <c r="GG55" s="39">
        <v>508</v>
      </c>
      <c r="GH55" s="39">
        <v>508</v>
      </c>
      <c r="GI55" s="39">
        <v>509</v>
      </c>
      <c r="GJ55" s="39">
        <v>509</v>
      </c>
      <c r="GK55" s="197">
        <v>509</v>
      </c>
      <c r="GL55" s="39">
        <v>509</v>
      </c>
      <c r="GM55" s="39">
        <v>509</v>
      </c>
      <c r="GN55" s="39">
        <v>509</v>
      </c>
      <c r="GO55" s="39">
        <v>509</v>
      </c>
      <c r="GP55" s="39">
        <v>509</v>
      </c>
    </row>
    <row r="56" spans="1:198" s="1" customFormat="1" ht="20.149999999999999" customHeight="1" x14ac:dyDescent="0.4">
      <c r="A56" s="31" t="s">
        <v>1628</v>
      </c>
      <c r="B56" s="58">
        <v>0</v>
      </c>
      <c r="C56" s="58">
        <v>0</v>
      </c>
      <c r="D56" s="58">
        <v>0</v>
      </c>
      <c r="E56" s="58">
        <v>0</v>
      </c>
      <c r="F56" s="58">
        <v>0</v>
      </c>
      <c r="G56" s="58">
        <v>0</v>
      </c>
      <c r="H56" s="58">
        <v>0</v>
      </c>
      <c r="I56" s="58">
        <v>0</v>
      </c>
      <c r="J56" s="58">
        <v>0</v>
      </c>
      <c r="K56" s="58">
        <v>0</v>
      </c>
      <c r="L56" s="58">
        <v>0</v>
      </c>
      <c r="M56" s="59">
        <v>0</v>
      </c>
      <c r="N56" s="60">
        <v>0</v>
      </c>
      <c r="O56" s="58">
        <v>0</v>
      </c>
      <c r="P56" s="58">
        <v>0</v>
      </c>
      <c r="Q56" s="58">
        <v>0</v>
      </c>
      <c r="R56" s="58">
        <v>0</v>
      </c>
      <c r="S56" s="58">
        <v>0</v>
      </c>
      <c r="T56" s="58">
        <v>0</v>
      </c>
      <c r="U56" s="58">
        <v>0</v>
      </c>
      <c r="V56" s="58">
        <v>0</v>
      </c>
      <c r="W56" s="58">
        <v>0</v>
      </c>
      <c r="X56" s="58">
        <v>0</v>
      </c>
      <c r="Y56" s="59">
        <v>0</v>
      </c>
      <c r="Z56" s="60">
        <v>0</v>
      </c>
      <c r="AA56" s="58">
        <v>0</v>
      </c>
      <c r="AB56" s="58">
        <v>0</v>
      </c>
      <c r="AC56" s="58">
        <v>0</v>
      </c>
      <c r="AD56" s="58">
        <v>0</v>
      </c>
      <c r="AE56" s="58">
        <v>0</v>
      </c>
      <c r="AF56" s="58">
        <v>0</v>
      </c>
      <c r="AG56" s="58">
        <v>0</v>
      </c>
      <c r="AH56" s="58">
        <v>0</v>
      </c>
      <c r="AI56" s="58">
        <v>0</v>
      </c>
      <c r="AJ56" s="58">
        <v>0</v>
      </c>
      <c r="AK56" s="59">
        <v>0</v>
      </c>
      <c r="AL56" s="60">
        <v>0</v>
      </c>
      <c r="AM56" s="58">
        <v>0</v>
      </c>
      <c r="AN56" s="58">
        <v>1</v>
      </c>
      <c r="AO56" s="58">
        <v>1</v>
      </c>
      <c r="AP56" s="58">
        <v>1</v>
      </c>
      <c r="AQ56" s="58">
        <v>1</v>
      </c>
      <c r="AR56" s="58">
        <v>1</v>
      </c>
      <c r="AS56" s="58">
        <v>1</v>
      </c>
      <c r="AT56" s="58">
        <v>1</v>
      </c>
      <c r="AU56" s="58">
        <v>1</v>
      </c>
      <c r="AV56" s="58">
        <v>1</v>
      </c>
      <c r="AW56" s="59">
        <v>1</v>
      </c>
      <c r="AX56" s="58">
        <v>1</v>
      </c>
      <c r="AY56" s="58">
        <v>2</v>
      </c>
      <c r="AZ56" s="58">
        <v>3</v>
      </c>
      <c r="BA56" s="58">
        <v>4</v>
      </c>
      <c r="BB56" s="58">
        <v>4</v>
      </c>
      <c r="BC56" s="58">
        <v>4</v>
      </c>
      <c r="BD56" s="58">
        <v>5</v>
      </c>
      <c r="BE56" s="58">
        <v>5</v>
      </c>
      <c r="BF56" s="58">
        <v>7</v>
      </c>
      <c r="BG56" s="58">
        <v>9</v>
      </c>
      <c r="BH56" s="58">
        <v>9</v>
      </c>
      <c r="BI56" s="59">
        <v>11</v>
      </c>
      <c r="BJ56" s="58">
        <v>11</v>
      </c>
      <c r="BK56" s="58">
        <v>11</v>
      </c>
      <c r="BL56" s="58">
        <v>28</v>
      </c>
      <c r="BM56" s="58">
        <v>28</v>
      </c>
      <c r="BN56" s="58">
        <v>28</v>
      </c>
      <c r="BO56" s="58">
        <v>28</v>
      </c>
      <c r="BP56" s="58">
        <v>28</v>
      </c>
      <c r="BQ56" s="58">
        <v>28</v>
      </c>
      <c r="BR56" s="58">
        <v>28</v>
      </c>
      <c r="BS56" s="58">
        <v>28</v>
      </c>
      <c r="BT56" s="58">
        <v>28</v>
      </c>
      <c r="BU56" s="59">
        <v>28</v>
      </c>
      <c r="BV56" s="55">
        <v>28</v>
      </c>
      <c r="BW56" s="55">
        <v>28</v>
      </c>
      <c r="BX56" s="55">
        <v>37</v>
      </c>
      <c r="BY56" s="55">
        <v>37</v>
      </c>
      <c r="BZ56" s="55">
        <v>37</v>
      </c>
      <c r="CA56" s="55">
        <v>37</v>
      </c>
      <c r="CB56" s="55">
        <v>37</v>
      </c>
      <c r="CC56" s="55">
        <v>37</v>
      </c>
      <c r="CD56" s="55">
        <v>37</v>
      </c>
      <c r="CE56" s="55">
        <v>37</v>
      </c>
      <c r="CF56" s="55">
        <v>37</v>
      </c>
      <c r="CG56" s="55">
        <v>37</v>
      </c>
      <c r="CH56" s="77">
        <v>37</v>
      </c>
      <c r="CI56" s="55">
        <v>37</v>
      </c>
      <c r="CJ56" s="55">
        <v>38</v>
      </c>
      <c r="CK56" s="55">
        <v>38</v>
      </c>
      <c r="CL56" s="55">
        <v>38</v>
      </c>
      <c r="CM56" s="55">
        <v>38</v>
      </c>
      <c r="CN56" s="55">
        <v>38</v>
      </c>
      <c r="CO56" s="55">
        <v>38</v>
      </c>
      <c r="CP56" s="55">
        <v>38</v>
      </c>
      <c r="CQ56" s="55">
        <v>38</v>
      </c>
      <c r="CR56" s="55">
        <v>38</v>
      </c>
      <c r="CS56" s="55">
        <v>38</v>
      </c>
      <c r="CT56" s="77">
        <v>39</v>
      </c>
      <c r="CU56" s="55">
        <v>39</v>
      </c>
      <c r="CV56" s="55">
        <v>39</v>
      </c>
      <c r="CW56" s="55">
        <v>39</v>
      </c>
      <c r="CX56" s="55">
        <v>39</v>
      </c>
      <c r="CY56" s="55">
        <v>39</v>
      </c>
      <c r="CZ56" s="55">
        <v>39</v>
      </c>
      <c r="DA56" s="55">
        <v>39</v>
      </c>
      <c r="DB56" s="55">
        <v>39</v>
      </c>
      <c r="DC56" s="55">
        <v>39</v>
      </c>
      <c r="DD56" s="55">
        <v>39</v>
      </c>
      <c r="DE56" s="55">
        <v>39</v>
      </c>
      <c r="DF56" s="77">
        <v>39</v>
      </c>
      <c r="DG56" s="55">
        <v>39</v>
      </c>
      <c r="DH56" s="55">
        <v>39</v>
      </c>
      <c r="DI56" s="55">
        <v>39</v>
      </c>
      <c r="DJ56" s="55">
        <v>39</v>
      </c>
      <c r="DK56" s="55">
        <v>39</v>
      </c>
      <c r="DL56" s="55">
        <v>39</v>
      </c>
      <c r="DM56" s="55">
        <v>39</v>
      </c>
      <c r="DN56" s="55">
        <v>39</v>
      </c>
      <c r="DO56" s="55">
        <v>39</v>
      </c>
      <c r="DP56" s="55">
        <v>39</v>
      </c>
      <c r="DQ56" s="55">
        <v>40</v>
      </c>
      <c r="DR56" s="77">
        <v>41</v>
      </c>
      <c r="DS56" s="55">
        <v>41</v>
      </c>
      <c r="DT56" s="55">
        <v>41</v>
      </c>
      <c r="DU56" s="55">
        <v>41</v>
      </c>
      <c r="DV56" s="55">
        <v>41</v>
      </c>
      <c r="DW56" s="55">
        <v>41</v>
      </c>
      <c r="DX56" s="55">
        <v>41</v>
      </c>
      <c r="DY56" s="55">
        <v>41</v>
      </c>
      <c r="DZ56" s="55">
        <v>41</v>
      </c>
      <c r="EA56" s="55">
        <v>41</v>
      </c>
      <c r="EB56" s="55">
        <v>41</v>
      </c>
      <c r="EC56" s="55">
        <v>42</v>
      </c>
      <c r="ED56" s="77">
        <v>42</v>
      </c>
      <c r="EE56" s="55">
        <v>42</v>
      </c>
      <c r="EF56" s="55">
        <v>44</v>
      </c>
      <c r="EG56" s="55">
        <v>45</v>
      </c>
      <c r="EH56" s="55">
        <v>45</v>
      </c>
      <c r="EI56" s="55">
        <v>45</v>
      </c>
      <c r="EJ56" s="55">
        <v>45</v>
      </c>
      <c r="EK56" s="55">
        <v>45</v>
      </c>
      <c r="EL56" s="55">
        <v>45</v>
      </c>
      <c r="EM56" s="55">
        <v>45</v>
      </c>
      <c r="EN56" s="55">
        <v>45</v>
      </c>
      <c r="EO56" s="55">
        <v>45</v>
      </c>
      <c r="EP56" s="77">
        <v>45</v>
      </c>
      <c r="EQ56" s="55">
        <v>45</v>
      </c>
      <c r="ER56" s="55">
        <v>45</v>
      </c>
      <c r="ES56" s="55">
        <v>45</v>
      </c>
      <c r="ET56" s="55">
        <v>45</v>
      </c>
      <c r="EU56" s="55">
        <v>45</v>
      </c>
      <c r="EV56" s="55">
        <v>45</v>
      </c>
      <c r="EW56" s="55">
        <v>45</v>
      </c>
      <c r="EX56" s="55">
        <v>45</v>
      </c>
      <c r="EY56" s="55">
        <v>45</v>
      </c>
      <c r="EZ56" s="55">
        <v>45</v>
      </c>
      <c r="FA56" s="83">
        <v>46</v>
      </c>
      <c r="FB56" s="160">
        <v>52</v>
      </c>
      <c r="FC56" s="160">
        <v>57</v>
      </c>
      <c r="FD56" s="160">
        <v>66</v>
      </c>
      <c r="FE56" s="160">
        <v>66</v>
      </c>
      <c r="FF56" s="160">
        <v>67</v>
      </c>
      <c r="FG56" s="160">
        <v>68</v>
      </c>
      <c r="FH56" s="160">
        <v>68</v>
      </c>
      <c r="FI56" s="160">
        <v>68</v>
      </c>
      <c r="FJ56" s="160">
        <v>70</v>
      </c>
      <c r="FK56" s="160">
        <v>70</v>
      </c>
      <c r="FL56" s="160">
        <v>70</v>
      </c>
      <c r="FM56" s="39">
        <v>70</v>
      </c>
      <c r="FN56" s="77">
        <v>71</v>
      </c>
      <c r="FO56" s="39">
        <v>72</v>
      </c>
      <c r="FP56" s="39">
        <v>75</v>
      </c>
      <c r="FQ56" s="39">
        <v>76</v>
      </c>
      <c r="FR56" s="39">
        <v>77</v>
      </c>
      <c r="FS56" s="39">
        <v>78</v>
      </c>
      <c r="FT56" s="39">
        <v>80</v>
      </c>
      <c r="FU56" s="39">
        <v>81</v>
      </c>
      <c r="FV56" s="39">
        <v>81</v>
      </c>
      <c r="FW56" s="39">
        <v>87</v>
      </c>
      <c r="FX56" s="39">
        <v>88</v>
      </c>
      <c r="FY56" s="197">
        <v>89</v>
      </c>
      <c r="FZ56" s="39">
        <v>91</v>
      </c>
      <c r="GA56" s="39">
        <v>91</v>
      </c>
      <c r="GB56" s="39">
        <v>96</v>
      </c>
      <c r="GC56" s="39">
        <v>98</v>
      </c>
      <c r="GD56" s="39">
        <v>98</v>
      </c>
      <c r="GE56" s="39">
        <v>99</v>
      </c>
      <c r="GF56" s="39">
        <v>102</v>
      </c>
      <c r="GG56" s="39">
        <v>104</v>
      </c>
      <c r="GH56" s="39">
        <v>105</v>
      </c>
      <c r="GI56" s="39">
        <v>108</v>
      </c>
      <c r="GJ56" s="39">
        <v>109</v>
      </c>
      <c r="GK56" s="197">
        <v>110</v>
      </c>
      <c r="GL56" s="39">
        <v>110</v>
      </c>
      <c r="GM56" s="39">
        <v>110</v>
      </c>
      <c r="GN56" s="39">
        <v>111</v>
      </c>
      <c r="GO56" s="39">
        <v>111</v>
      </c>
      <c r="GP56" s="39">
        <v>111</v>
      </c>
    </row>
    <row r="57" spans="1:198" s="1" customFormat="1" ht="20.149999999999999" customHeight="1" thickBot="1" x14ac:dyDescent="0.4">
      <c r="A57" s="32" t="s">
        <v>267</v>
      </c>
      <c r="B57" s="64">
        <f>SUM(B51:B56)</f>
        <v>5092</v>
      </c>
      <c r="C57" s="65">
        <f t="shared" ref="C57:BN57" si="20">SUM(C51:C56)</f>
        <v>5683</v>
      </c>
      <c r="D57" s="65">
        <f t="shared" si="20"/>
        <v>6718</v>
      </c>
      <c r="E57" s="65">
        <f t="shared" si="20"/>
        <v>7778</v>
      </c>
      <c r="F57" s="65">
        <f t="shared" si="20"/>
        <v>9307</v>
      </c>
      <c r="G57" s="65">
        <f t="shared" si="20"/>
        <v>11240</v>
      </c>
      <c r="H57" s="65">
        <f t="shared" si="20"/>
        <v>13566</v>
      </c>
      <c r="I57" s="65">
        <f t="shared" si="20"/>
        <v>15859</v>
      </c>
      <c r="J57" s="65">
        <f t="shared" si="20"/>
        <v>18726</v>
      </c>
      <c r="K57" s="65">
        <f t="shared" si="20"/>
        <v>22198</v>
      </c>
      <c r="L57" s="65">
        <f t="shared" si="20"/>
        <v>26183</v>
      </c>
      <c r="M57" s="65">
        <f t="shared" si="20"/>
        <v>29237</v>
      </c>
      <c r="N57" s="64">
        <f t="shared" si="20"/>
        <v>33398</v>
      </c>
      <c r="O57" s="65">
        <f t="shared" si="20"/>
        <v>38086</v>
      </c>
      <c r="P57" s="65">
        <f t="shared" si="20"/>
        <v>45196</v>
      </c>
      <c r="Q57" s="65">
        <f t="shared" si="20"/>
        <v>51615</v>
      </c>
      <c r="R57" s="65">
        <f t="shared" si="20"/>
        <v>58992</v>
      </c>
      <c r="S57" s="65">
        <f t="shared" si="20"/>
        <v>68565</v>
      </c>
      <c r="T57" s="65">
        <f t="shared" si="20"/>
        <v>79892</v>
      </c>
      <c r="U57" s="65">
        <f t="shared" si="20"/>
        <v>94145</v>
      </c>
      <c r="V57" s="65">
        <f t="shared" si="20"/>
        <v>111675</v>
      </c>
      <c r="W57" s="65">
        <f t="shared" si="20"/>
        <v>132175</v>
      </c>
      <c r="X57" s="65">
        <f t="shared" si="20"/>
        <v>189424</v>
      </c>
      <c r="Y57" s="65">
        <f t="shared" si="20"/>
        <v>235881</v>
      </c>
      <c r="Z57" s="64">
        <f t="shared" si="20"/>
        <v>244405</v>
      </c>
      <c r="AA57" s="65">
        <f t="shared" si="20"/>
        <v>288511</v>
      </c>
      <c r="AB57" s="65">
        <f t="shared" si="20"/>
        <v>315613</v>
      </c>
      <c r="AC57" s="65">
        <f t="shared" si="20"/>
        <v>321141</v>
      </c>
      <c r="AD57" s="65">
        <f t="shared" si="20"/>
        <v>331657</v>
      </c>
      <c r="AE57" s="65">
        <f t="shared" si="20"/>
        <v>344942</v>
      </c>
      <c r="AF57" s="65">
        <f t="shared" si="20"/>
        <v>371724</v>
      </c>
      <c r="AG57" s="65">
        <f t="shared" si="20"/>
        <v>375756</v>
      </c>
      <c r="AH57" s="65">
        <f t="shared" si="20"/>
        <v>381147</v>
      </c>
      <c r="AI57" s="65">
        <f t="shared" si="20"/>
        <v>392049</v>
      </c>
      <c r="AJ57" s="65">
        <f t="shared" si="20"/>
        <v>398017</v>
      </c>
      <c r="AK57" s="65">
        <f t="shared" si="20"/>
        <v>404218</v>
      </c>
      <c r="AL57" s="64">
        <f t="shared" si="20"/>
        <v>410888</v>
      </c>
      <c r="AM57" s="65">
        <f t="shared" si="20"/>
        <v>418097</v>
      </c>
      <c r="AN57" s="65">
        <f t="shared" si="20"/>
        <v>426451</v>
      </c>
      <c r="AO57" s="65">
        <f t="shared" si="20"/>
        <v>435069</v>
      </c>
      <c r="AP57" s="65">
        <f t="shared" si="20"/>
        <v>443870</v>
      </c>
      <c r="AQ57" s="65">
        <f t="shared" si="20"/>
        <v>456784</v>
      </c>
      <c r="AR57" s="65">
        <f t="shared" si="20"/>
        <v>463848</v>
      </c>
      <c r="AS57" s="65">
        <f t="shared" si="20"/>
        <v>472194</v>
      </c>
      <c r="AT57" s="65">
        <f t="shared" si="20"/>
        <v>481079</v>
      </c>
      <c r="AU57" s="65">
        <f t="shared" si="20"/>
        <v>490535</v>
      </c>
      <c r="AV57" s="65">
        <f t="shared" si="20"/>
        <v>501308</v>
      </c>
      <c r="AW57" s="66">
        <f t="shared" si="20"/>
        <v>510367</v>
      </c>
      <c r="AX57" s="65">
        <f t="shared" si="20"/>
        <v>519120</v>
      </c>
      <c r="AY57" s="65">
        <f t="shared" si="20"/>
        <v>529473</v>
      </c>
      <c r="AZ57" s="65">
        <f t="shared" si="20"/>
        <v>545748</v>
      </c>
      <c r="BA57" s="65">
        <f t="shared" si="20"/>
        <v>554380</v>
      </c>
      <c r="BB57" s="65">
        <f t="shared" si="20"/>
        <v>563936</v>
      </c>
      <c r="BC57" s="65">
        <f t="shared" si="20"/>
        <v>574615</v>
      </c>
      <c r="BD57" s="65">
        <f t="shared" si="20"/>
        <v>586392</v>
      </c>
      <c r="BE57" s="65">
        <f t="shared" si="20"/>
        <v>597728</v>
      </c>
      <c r="BF57" s="65">
        <f t="shared" si="20"/>
        <v>611220</v>
      </c>
      <c r="BG57" s="65">
        <f t="shared" si="20"/>
        <v>625228</v>
      </c>
      <c r="BH57" s="65">
        <f t="shared" si="20"/>
        <v>638518</v>
      </c>
      <c r="BI57" s="66">
        <f t="shared" si="20"/>
        <v>652352</v>
      </c>
      <c r="BJ57" s="65">
        <f t="shared" si="20"/>
        <v>661317</v>
      </c>
      <c r="BK57" s="65">
        <f t="shared" si="20"/>
        <v>672293</v>
      </c>
      <c r="BL57" s="65">
        <f t="shared" si="20"/>
        <v>689705</v>
      </c>
      <c r="BM57" s="65">
        <f t="shared" si="20"/>
        <v>701109</v>
      </c>
      <c r="BN57" s="65">
        <f t="shared" si="20"/>
        <v>713197</v>
      </c>
      <c r="BO57" s="65">
        <f t="shared" ref="BO57:DZ57" si="21">SUM(BO51:BO56)</f>
        <v>730476</v>
      </c>
      <c r="BP57" s="65">
        <f t="shared" si="21"/>
        <v>742664</v>
      </c>
      <c r="BQ57" s="65">
        <f t="shared" si="21"/>
        <v>755130</v>
      </c>
      <c r="BR57" s="65">
        <f t="shared" si="21"/>
        <v>776158</v>
      </c>
      <c r="BS57" s="65">
        <f t="shared" si="21"/>
        <v>793278</v>
      </c>
      <c r="BT57" s="65">
        <f t="shared" si="21"/>
        <v>815429</v>
      </c>
      <c r="BU57" s="66">
        <f t="shared" si="21"/>
        <v>841824</v>
      </c>
      <c r="BV57" s="65">
        <f t="shared" si="21"/>
        <v>857297</v>
      </c>
      <c r="BW57" s="65">
        <f t="shared" si="21"/>
        <v>860994</v>
      </c>
      <c r="BX57" s="65">
        <f t="shared" si="21"/>
        <v>865862</v>
      </c>
      <c r="BY57" s="65">
        <f t="shared" si="21"/>
        <v>869609</v>
      </c>
      <c r="BZ57" s="65">
        <f t="shared" si="21"/>
        <v>873332</v>
      </c>
      <c r="CA57" s="65">
        <f t="shared" si="21"/>
        <v>877769</v>
      </c>
      <c r="CB57" s="65">
        <f t="shared" si="21"/>
        <v>881301</v>
      </c>
      <c r="CC57" s="65">
        <f t="shared" si="21"/>
        <v>884749</v>
      </c>
      <c r="CD57" s="65">
        <f t="shared" si="21"/>
        <v>889714</v>
      </c>
      <c r="CE57" s="65">
        <f t="shared" si="21"/>
        <v>892597</v>
      </c>
      <c r="CF57" s="65">
        <f t="shared" si="21"/>
        <v>896116</v>
      </c>
      <c r="CG57" s="65">
        <f t="shared" si="21"/>
        <v>898766</v>
      </c>
      <c r="CH57" s="78">
        <f t="shared" si="21"/>
        <v>901302</v>
      </c>
      <c r="CI57" s="65">
        <f t="shared" si="21"/>
        <v>904153</v>
      </c>
      <c r="CJ57" s="65">
        <f t="shared" si="21"/>
        <v>908202</v>
      </c>
      <c r="CK57" s="65">
        <f t="shared" si="21"/>
        <v>910632</v>
      </c>
      <c r="CL57" s="65">
        <f t="shared" si="21"/>
        <v>913895</v>
      </c>
      <c r="CM57" s="65">
        <f t="shared" si="21"/>
        <v>917186</v>
      </c>
      <c r="CN57" s="65">
        <f t="shared" si="21"/>
        <v>920054</v>
      </c>
      <c r="CO57" s="65">
        <f t="shared" si="21"/>
        <v>923282</v>
      </c>
      <c r="CP57" s="65">
        <f t="shared" si="21"/>
        <v>926674</v>
      </c>
      <c r="CQ57" s="65">
        <f t="shared" si="21"/>
        <v>929862</v>
      </c>
      <c r="CR57" s="65">
        <f t="shared" si="21"/>
        <v>933671</v>
      </c>
      <c r="CS57" s="65">
        <f t="shared" si="21"/>
        <v>936151</v>
      </c>
      <c r="CT57" s="78">
        <f t="shared" si="21"/>
        <v>938973</v>
      </c>
      <c r="CU57" s="65">
        <f t="shared" si="21"/>
        <v>941738</v>
      </c>
      <c r="CV57" s="65">
        <f t="shared" si="21"/>
        <v>945125</v>
      </c>
      <c r="CW57" s="65">
        <f t="shared" si="21"/>
        <v>948163</v>
      </c>
      <c r="CX57" s="65">
        <f t="shared" si="21"/>
        <v>951546</v>
      </c>
      <c r="CY57" s="65">
        <f t="shared" si="21"/>
        <v>955044</v>
      </c>
      <c r="CZ57" s="65">
        <f t="shared" si="21"/>
        <v>958333</v>
      </c>
      <c r="DA57" s="65">
        <f t="shared" si="21"/>
        <v>962099</v>
      </c>
      <c r="DB57" s="65">
        <f t="shared" si="21"/>
        <v>965967</v>
      </c>
      <c r="DC57" s="65">
        <f t="shared" si="21"/>
        <v>970433</v>
      </c>
      <c r="DD57" s="65">
        <f t="shared" si="21"/>
        <v>975325</v>
      </c>
      <c r="DE57" s="65">
        <f t="shared" si="21"/>
        <v>979370</v>
      </c>
      <c r="DF57" s="78">
        <f t="shared" si="21"/>
        <v>984453</v>
      </c>
      <c r="DG57" s="65">
        <f t="shared" si="21"/>
        <v>990543</v>
      </c>
      <c r="DH57" s="65">
        <f t="shared" si="21"/>
        <v>1005598</v>
      </c>
      <c r="DI57" s="65">
        <f t="shared" si="21"/>
        <v>1007718</v>
      </c>
      <c r="DJ57" s="65">
        <f t="shared" si="21"/>
        <v>1010385</v>
      </c>
      <c r="DK57" s="65">
        <f t="shared" si="21"/>
        <v>1013296</v>
      </c>
      <c r="DL57" s="65">
        <f t="shared" si="21"/>
        <v>1016248</v>
      </c>
      <c r="DM57" s="65">
        <f t="shared" si="21"/>
        <v>1019365</v>
      </c>
      <c r="DN57" s="65">
        <f t="shared" si="21"/>
        <v>1022791</v>
      </c>
      <c r="DO57" s="65">
        <f t="shared" si="21"/>
        <v>1026372</v>
      </c>
      <c r="DP57" s="65">
        <f t="shared" si="21"/>
        <v>1030036</v>
      </c>
      <c r="DQ57" s="65">
        <f t="shared" si="21"/>
        <v>1032540</v>
      </c>
      <c r="DR57" s="78">
        <f t="shared" si="21"/>
        <v>1035720</v>
      </c>
      <c r="DS57" s="65">
        <f t="shared" si="21"/>
        <v>1038790</v>
      </c>
      <c r="DT57" s="65">
        <f t="shared" si="21"/>
        <v>1042059</v>
      </c>
      <c r="DU57" s="65">
        <f t="shared" si="21"/>
        <v>1042731</v>
      </c>
      <c r="DV57" s="65">
        <f t="shared" si="21"/>
        <v>1043815</v>
      </c>
      <c r="DW57" s="65">
        <f t="shared" si="21"/>
        <v>1046235</v>
      </c>
      <c r="DX57" s="65">
        <f t="shared" si="21"/>
        <v>1049538</v>
      </c>
      <c r="DY57" s="65">
        <f t="shared" si="21"/>
        <v>1052814</v>
      </c>
      <c r="DZ57" s="65">
        <f t="shared" si="21"/>
        <v>1056953</v>
      </c>
      <c r="EA57" s="65">
        <f t="shared" ref="EA57:GL57" si="22">SUM(EA51:EA56)</f>
        <v>1060957</v>
      </c>
      <c r="EB57" s="65">
        <f t="shared" si="22"/>
        <v>1065310</v>
      </c>
      <c r="EC57" s="65">
        <f t="shared" si="22"/>
        <v>1068466</v>
      </c>
      <c r="ED57" s="78">
        <f t="shared" si="22"/>
        <v>1072151</v>
      </c>
      <c r="EE57" s="65">
        <f t="shared" si="22"/>
        <v>1075736</v>
      </c>
      <c r="EF57" s="65">
        <f t="shared" si="22"/>
        <v>1080731</v>
      </c>
      <c r="EG57" s="65">
        <f t="shared" si="22"/>
        <v>1085735</v>
      </c>
      <c r="EH57" s="65">
        <f t="shared" si="22"/>
        <v>1090809</v>
      </c>
      <c r="EI57" s="65">
        <f t="shared" si="22"/>
        <v>1096072</v>
      </c>
      <c r="EJ57" s="65">
        <f t="shared" si="22"/>
        <v>1100983</v>
      </c>
      <c r="EK57" s="65">
        <f t="shared" si="22"/>
        <v>1106092</v>
      </c>
      <c r="EL57" s="65">
        <f t="shared" si="22"/>
        <v>1112068</v>
      </c>
      <c r="EM57" s="65">
        <f t="shared" si="22"/>
        <v>1117691</v>
      </c>
      <c r="EN57" s="65">
        <f t="shared" si="22"/>
        <v>1124835</v>
      </c>
      <c r="EO57" s="65">
        <f t="shared" si="22"/>
        <v>1130022</v>
      </c>
      <c r="EP57" s="78">
        <f t="shared" si="22"/>
        <v>1136190</v>
      </c>
      <c r="EQ57" s="65">
        <f t="shared" si="22"/>
        <v>1143775</v>
      </c>
      <c r="ER57" s="65">
        <f t="shared" si="22"/>
        <v>1153942</v>
      </c>
      <c r="ES57" s="65">
        <f t="shared" si="22"/>
        <v>1163844</v>
      </c>
      <c r="ET57" s="65">
        <f t="shared" si="22"/>
        <v>1175129</v>
      </c>
      <c r="EU57" s="65">
        <f t="shared" si="22"/>
        <v>1186720</v>
      </c>
      <c r="EV57" s="65">
        <f t="shared" si="22"/>
        <v>1198056</v>
      </c>
      <c r="EW57" s="65">
        <f t="shared" si="22"/>
        <v>1210602</v>
      </c>
      <c r="EX57" s="65">
        <f t="shared" si="22"/>
        <v>1225306</v>
      </c>
      <c r="EY57" s="65">
        <f t="shared" si="22"/>
        <v>1239759</v>
      </c>
      <c r="EZ57" s="65">
        <f t="shared" si="22"/>
        <v>1256293</v>
      </c>
      <c r="FA57" s="84">
        <f t="shared" si="22"/>
        <v>1268795</v>
      </c>
      <c r="FB57" s="65">
        <f t="shared" si="22"/>
        <v>1285516</v>
      </c>
      <c r="FC57" s="65">
        <f t="shared" si="22"/>
        <v>1303408</v>
      </c>
      <c r="FD57" s="65">
        <f t="shared" si="22"/>
        <v>1323757</v>
      </c>
      <c r="FE57" s="65">
        <f t="shared" si="22"/>
        <v>1339984</v>
      </c>
      <c r="FF57" s="65">
        <f t="shared" si="22"/>
        <v>1358321</v>
      </c>
      <c r="FG57" s="65">
        <f t="shared" si="22"/>
        <v>1377108</v>
      </c>
      <c r="FH57" s="65">
        <f t="shared" si="22"/>
        <v>1393158</v>
      </c>
      <c r="FI57" s="65">
        <f t="shared" si="22"/>
        <v>1409434</v>
      </c>
      <c r="FJ57" s="65">
        <f t="shared" si="22"/>
        <v>1425415</v>
      </c>
      <c r="FK57" s="159">
        <f t="shared" si="22"/>
        <v>1441222</v>
      </c>
      <c r="FL57" s="159">
        <f t="shared" si="22"/>
        <v>1457469</v>
      </c>
      <c r="FM57" s="159">
        <f t="shared" si="22"/>
        <v>1467806</v>
      </c>
      <c r="FN57" s="78">
        <f t="shared" si="22"/>
        <v>1481187</v>
      </c>
      <c r="FO57" s="159">
        <f t="shared" si="22"/>
        <v>1495335</v>
      </c>
      <c r="FP57" s="159">
        <f t="shared" si="22"/>
        <v>1510538</v>
      </c>
      <c r="FQ57" s="159">
        <f t="shared" si="22"/>
        <v>1526177</v>
      </c>
      <c r="FR57" s="159">
        <f t="shared" si="22"/>
        <v>1542537</v>
      </c>
      <c r="FS57" s="159">
        <f t="shared" si="22"/>
        <v>1558483</v>
      </c>
      <c r="FT57" s="159">
        <f t="shared" si="22"/>
        <v>1575087</v>
      </c>
      <c r="FU57" s="159">
        <f t="shared" si="22"/>
        <v>1590840</v>
      </c>
      <c r="FV57" s="159">
        <f t="shared" si="22"/>
        <v>1608135</v>
      </c>
      <c r="FW57" s="159">
        <f t="shared" si="22"/>
        <v>1628352</v>
      </c>
      <c r="FX57" s="159">
        <f t="shared" si="22"/>
        <v>1649666</v>
      </c>
      <c r="FY57" s="199">
        <f t="shared" si="22"/>
        <v>1663904</v>
      </c>
      <c r="FZ57" s="159">
        <f t="shared" si="22"/>
        <v>1681661</v>
      </c>
      <c r="GA57" s="159">
        <f t="shared" si="22"/>
        <v>1702276</v>
      </c>
      <c r="GB57" s="159">
        <f t="shared" si="22"/>
        <v>1727162</v>
      </c>
      <c r="GC57" s="159">
        <f t="shared" si="22"/>
        <v>1747825</v>
      </c>
      <c r="GD57" s="159">
        <f t="shared" si="22"/>
        <v>1771395</v>
      </c>
      <c r="GE57" s="159">
        <f t="shared" si="22"/>
        <v>1795402</v>
      </c>
      <c r="GF57" s="159">
        <f t="shared" si="22"/>
        <v>1818622</v>
      </c>
      <c r="GG57" s="159">
        <f t="shared" si="22"/>
        <v>1839355</v>
      </c>
      <c r="GH57" s="159">
        <f t="shared" si="22"/>
        <v>1863602</v>
      </c>
      <c r="GI57" s="159">
        <f t="shared" si="22"/>
        <v>1890190</v>
      </c>
      <c r="GJ57" s="159">
        <f t="shared" si="22"/>
        <v>1914481</v>
      </c>
      <c r="GK57" s="199">
        <f t="shared" si="22"/>
        <v>1933148</v>
      </c>
      <c r="GL57" s="159">
        <f t="shared" si="22"/>
        <v>1953076</v>
      </c>
      <c r="GM57" s="159">
        <f t="shared" ref="GM57:GP57" si="23">SUM(GM51:GM56)</f>
        <v>1976349</v>
      </c>
      <c r="GN57" s="159">
        <f t="shared" si="23"/>
        <v>2005019</v>
      </c>
      <c r="GO57" s="159">
        <f t="shared" si="23"/>
        <v>2028605</v>
      </c>
      <c r="GP57" s="159">
        <f t="shared" si="23"/>
        <v>2047225</v>
      </c>
    </row>
    <row r="58" spans="1:198" s="25" customFormat="1" ht="20.149999999999999" customHeight="1" thickTop="1" x14ac:dyDescent="0.35">
      <c r="A58" s="90" t="s">
        <v>271</v>
      </c>
      <c r="B58" s="128">
        <v>4454</v>
      </c>
      <c r="C58" s="128">
        <v>5031</v>
      </c>
      <c r="D58" s="128">
        <v>6038</v>
      </c>
      <c r="E58" s="128">
        <v>7074</v>
      </c>
      <c r="F58" s="128">
        <v>8576</v>
      </c>
      <c r="G58" s="128">
        <v>10453</v>
      </c>
      <c r="H58" s="128">
        <v>12728</v>
      </c>
      <c r="I58" s="128">
        <v>14976</v>
      </c>
      <c r="J58" s="128">
        <v>17796</v>
      </c>
      <c r="K58" s="128">
        <v>21220</v>
      </c>
      <c r="L58" s="128">
        <v>25130</v>
      </c>
      <c r="M58" s="130">
        <v>28127</v>
      </c>
      <c r="N58" s="128">
        <v>32191</v>
      </c>
      <c r="O58" s="128">
        <v>36790</v>
      </c>
      <c r="P58" s="128">
        <v>43745</v>
      </c>
      <c r="Q58" s="128">
        <v>49989</v>
      </c>
      <c r="R58" s="128">
        <v>57190</v>
      </c>
      <c r="S58" s="128">
        <v>66508</v>
      </c>
      <c r="T58" s="128">
        <v>77415</v>
      </c>
      <c r="U58" s="128">
        <v>91361</v>
      </c>
      <c r="V58" s="128">
        <v>108550</v>
      </c>
      <c r="W58" s="128">
        <v>128648</v>
      </c>
      <c r="X58" s="128">
        <v>184293</v>
      </c>
      <c r="Y58" s="130">
        <v>228592</v>
      </c>
      <c r="Z58" s="128">
        <v>237030</v>
      </c>
      <c r="AA58" s="128">
        <v>279429</v>
      </c>
      <c r="AB58" s="128">
        <v>305522</v>
      </c>
      <c r="AC58" s="128">
        <v>310908</v>
      </c>
      <c r="AD58" s="128">
        <v>321163</v>
      </c>
      <c r="AE58" s="128">
        <v>334031</v>
      </c>
      <c r="AF58" s="128">
        <v>359447</v>
      </c>
      <c r="AG58" s="128">
        <v>363387</v>
      </c>
      <c r="AH58" s="128">
        <v>368662</v>
      </c>
      <c r="AI58" s="128">
        <v>379202</v>
      </c>
      <c r="AJ58" s="128">
        <v>385071</v>
      </c>
      <c r="AK58" s="130">
        <v>391150</v>
      </c>
      <c r="AL58" s="128">
        <v>397665</v>
      </c>
      <c r="AM58" s="128">
        <v>404652</v>
      </c>
      <c r="AN58" s="128">
        <v>412640</v>
      </c>
      <c r="AO58" s="128">
        <v>420895</v>
      </c>
      <c r="AP58" s="128">
        <v>429350</v>
      </c>
      <c r="AQ58" s="128">
        <v>441566</v>
      </c>
      <c r="AR58" s="128">
        <v>448394</v>
      </c>
      <c r="AS58" s="128">
        <v>456464</v>
      </c>
      <c r="AT58" s="128">
        <v>465074</v>
      </c>
      <c r="AU58" s="128">
        <v>474285</v>
      </c>
      <c r="AV58" s="128">
        <v>484793</v>
      </c>
      <c r="AW58" s="130">
        <v>493566</v>
      </c>
      <c r="AX58" s="128">
        <v>502081</v>
      </c>
      <c r="AY58" s="128">
        <v>512175</v>
      </c>
      <c r="AZ58" s="128">
        <v>527583</v>
      </c>
      <c r="BA58" s="128">
        <v>536049</v>
      </c>
      <c r="BB58" s="128">
        <v>545355</v>
      </c>
      <c r="BC58" s="128">
        <v>555632</v>
      </c>
      <c r="BD58" s="128">
        <v>567097</v>
      </c>
      <c r="BE58" s="128">
        <v>578104</v>
      </c>
      <c r="BF58" s="128">
        <v>591123</v>
      </c>
      <c r="BG58" s="128">
        <v>604710</v>
      </c>
      <c r="BH58" s="128">
        <v>617625</v>
      </c>
      <c r="BI58" s="130">
        <v>630898</v>
      </c>
      <c r="BJ58" s="128">
        <v>639640</v>
      </c>
      <c r="BK58" s="128">
        <v>650358</v>
      </c>
      <c r="BL58" s="128">
        <v>666805</v>
      </c>
      <c r="BM58" s="128">
        <v>677872</v>
      </c>
      <c r="BN58" s="128">
        <v>689623</v>
      </c>
      <c r="BO58" s="128">
        <v>706289</v>
      </c>
      <c r="BP58" s="128">
        <v>718044</v>
      </c>
      <c r="BQ58" s="128">
        <v>730040</v>
      </c>
      <c r="BR58" s="128">
        <v>750065</v>
      </c>
      <c r="BS58" s="128">
        <v>766553</v>
      </c>
      <c r="BT58" s="128">
        <v>786746</v>
      </c>
      <c r="BU58" s="130">
        <v>810030</v>
      </c>
      <c r="BV58" s="128">
        <v>823392</v>
      </c>
      <c r="BW58" s="128">
        <v>826272</v>
      </c>
      <c r="BX58" s="128">
        <v>829926</v>
      </c>
      <c r="BY58" s="128">
        <v>832874</v>
      </c>
      <c r="BZ58" s="128">
        <v>835877</v>
      </c>
      <c r="CA58" s="128">
        <v>839402</v>
      </c>
      <c r="CB58" s="128">
        <v>842196</v>
      </c>
      <c r="CC58" s="128">
        <v>844898</v>
      </c>
      <c r="CD58" s="128">
        <v>848605</v>
      </c>
      <c r="CE58" s="128">
        <v>850832</v>
      </c>
      <c r="CF58" s="128">
        <v>853474</v>
      </c>
      <c r="CG58" s="130">
        <v>855516</v>
      </c>
      <c r="CH58" s="128">
        <v>857335</v>
      </c>
      <c r="CI58" s="128">
        <v>859440</v>
      </c>
      <c r="CJ58" s="128">
        <v>862361</v>
      </c>
      <c r="CK58" s="128">
        <v>864171</v>
      </c>
      <c r="CL58" s="128">
        <v>866450</v>
      </c>
      <c r="CM58" s="128">
        <v>868754</v>
      </c>
      <c r="CN58" s="128">
        <v>870887</v>
      </c>
      <c r="CO58" s="128">
        <v>873315</v>
      </c>
      <c r="CP58" s="128">
        <v>875781</v>
      </c>
      <c r="CQ58" s="128">
        <v>878028</v>
      </c>
      <c r="CR58" s="128">
        <v>880675</v>
      </c>
      <c r="CS58" s="130">
        <v>882486</v>
      </c>
      <c r="CT58" s="128">
        <v>884490</v>
      </c>
      <c r="CU58" s="128">
        <v>886385</v>
      </c>
      <c r="CV58" s="128">
        <v>888759</v>
      </c>
      <c r="CW58" s="128">
        <v>890922</v>
      </c>
      <c r="CX58" s="128">
        <v>893352</v>
      </c>
      <c r="CY58" s="128">
        <v>895803</v>
      </c>
      <c r="CZ58" s="128">
        <v>898079</v>
      </c>
      <c r="DA58" s="128">
        <v>900727</v>
      </c>
      <c r="DB58" s="128">
        <v>903588</v>
      </c>
      <c r="DC58" s="128">
        <v>906788</v>
      </c>
      <c r="DD58" s="128">
        <v>910333</v>
      </c>
      <c r="DE58" s="130">
        <v>913399</v>
      </c>
      <c r="DF58" s="128">
        <v>917468</v>
      </c>
      <c r="DG58" s="128">
        <v>922221</v>
      </c>
      <c r="DH58" s="128">
        <v>933434</v>
      </c>
      <c r="DI58" s="128">
        <v>934208</v>
      </c>
      <c r="DJ58" s="128">
        <v>935237</v>
      </c>
      <c r="DK58" s="128">
        <v>936321</v>
      </c>
      <c r="DL58" s="128">
        <v>937686</v>
      </c>
      <c r="DM58" s="128">
        <v>939131</v>
      </c>
      <c r="DN58" s="128">
        <v>940759</v>
      </c>
      <c r="DO58" s="128">
        <v>942541</v>
      </c>
      <c r="DP58" s="128">
        <v>944222</v>
      </c>
      <c r="DQ58" s="130">
        <v>945412</v>
      </c>
      <c r="DR58" s="128">
        <v>947102</v>
      </c>
      <c r="DS58" s="128">
        <v>948771</v>
      </c>
      <c r="DT58" s="128">
        <v>950491</v>
      </c>
      <c r="DU58" s="128">
        <v>950991</v>
      </c>
      <c r="DV58" s="128">
        <v>951811</v>
      </c>
      <c r="DW58" s="128">
        <v>953336</v>
      </c>
      <c r="DX58" s="128">
        <v>955236</v>
      </c>
      <c r="DY58" s="128">
        <v>957040</v>
      </c>
      <c r="DZ58" s="128">
        <v>959283</v>
      </c>
      <c r="EA58" s="128">
        <v>961530</v>
      </c>
      <c r="EB58" s="128">
        <v>964179</v>
      </c>
      <c r="EC58" s="130">
        <v>966624</v>
      </c>
      <c r="ED58" s="128">
        <v>969785</v>
      </c>
      <c r="EE58" s="128">
        <v>972586</v>
      </c>
      <c r="EF58" s="128">
        <v>976663</v>
      </c>
      <c r="EG58" s="128">
        <v>980777</v>
      </c>
      <c r="EH58" s="128">
        <v>984967</v>
      </c>
      <c r="EI58" s="128">
        <v>988946</v>
      </c>
      <c r="EJ58" s="128">
        <v>992476</v>
      </c>
      <c r="EK58" s="128">
        <v>996190</v>
      </c>
      <c r="EL58" s="128">
        <v>1000478</v>
      </c>
      <c r="EM58" s="128">
        <v>1004431</v>
      </c>
      <c r="EN58" s="128">
        <v>1009456</v>
      </c>
      <c r="EO58" s="129">
        <v>1013083</v>
      </c>
      <c r="EP58" s="128">
        <v>1017643</v>
      </c>
      <c r="EQ58" s="128">
        <v>1023271</v>
      </c>
      <c r="ER58" s="128">
        <v>1031019</v>
      </c>
      <c r="ES58" s="128">
        <v>1038721</v>
      </c>
      <c r="ET58" s="128">
        <v>1047829</v>
      </c>
      <c r="EU58" s="128">
        <v>1057162</v>
      </c>
      <c r="EV58" s="128">
        <v>1066332</v>
      </c>
      <c r="EW58" s="128">
        <v>1076651</v>
      </c>
      <c r="EX58" s="128">
        <v>1089122</v>
      </c>
      <c r="EY58" s="128">
        <v>1101168</v>
      </c>
      <c r="EZ58" s="128">
        <v>1114967</v>
      </c>
      <c r="FA58" s="130">
        <v>1125401</v>
      </c>
      <c r="FB58" s="128">
        <v>1140069</v>
      </c>
      <c r="FC58" s="128">
        <v>1155475</v>
      </c>
      <c r="FD58" s="128">
        <v>1173003</v>
      </c>
      <c r="FE58" s="128">
        <v>1186919</v>
      </c>
      <c r="FF58" s="128">
        <v>1202153</v>
      </c>
      <c r="FG58" s="128">
        <v>1217842</v>
      </c>
      <c r="FH58" s="128">
        <v>1231211</v>
      </c>
      <c r="FI58" s="128">
        <v>1244726</v>
      </c>
      <c r="FJ58" s="156">
        <v>1258139</v>
      </c>
      <c r="FK58" s="156">
        <v>1271075</v>
      </c>
      <c r="FL58" s="156">
        <v>1284266</v>
      </c>
      <c r="FM58" s="156">
        <v>1292748</v>
      </c>
      <c r="FN58" s="168">
        <v>1303926</v>
      </c>
      <c r="FO58" s="156">
        <v>1315649</v>
      </c>
      <c r="FP58" s="156">
        <v>1328209</v>
      </c>
      <c r="FQ58" s="156">
        <v>1341101</v>
      </c>
      <c r="FR58" s="156">
        <v>1354169</v>
      </c>
      <c r="FS58" s="156">
        <v>1366599</v>
      </c>
      <c r="FT58" s="156">
        <v>1379308</v>
      </c>
      <c r="FU58" s="156">
        <v>1391272</v>
      </c>
      <c r="FV58" s="156">
        <v>1404143</v>
      </c>
      <c r="FW58" s="156">
        <v>1418961</v>
      </c>
      <c r="FX58" s="156">
        <v>1433711</v>
      </c>
      <c r="FY58" s="200">
        <v>1444011</v>
      </c>
      <c r="FZ58" s="156">
        <v>1457467</v>
      </c>
      <c r="GA58" s="156">
        <v>1472179</v>
      </c>
      <c r="GB58" s="156">
        <v>1489399</v>
      </c>
      <c r="GC58" s="156">
        <v>1503469</v>
      </c>
      <c r="GD58" s="156">
        <v>1519099</v>
      </c>
      <c r="GE58" s="156">
        <v>1534679</v>
      </c>
      <c r="GF58" s="156">
        <v>1551058</v>
      </c>
      <c r="GG58" s="156">
        <v>1565412</v>
      </c>
      <c r="GH58" s="156">
        <v>1581753</v>
      </c>
      <c r="GI58" s="156">
        <v>1599175</v>
      </c>
      <c r="GJ58" s="156">
        <v>1614480</v>
      </c>
      <c r="GK58" s="200">
        <v>1626464</v>
      </c>
      <c r="GL58" s="156">
        <v>1639859</v>
      </c>
      <c r="GM58" s="156">
        <v>1655510</v>
      </c>
      <c r="GN58" s="156">
        <v>1674525</v>
      </c>
      <c r="GO58" s="156">
        <v>1690511</v>
      </c>
      <c r="GP58" s="156">
        <v>1702347</v>
      </c>
    </row>
    <row r="59" spans="1:198" s="1" customFormat="1" ht="20.149999999999999" customHeight="1" x14ac:dyDescent="0.3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1"/>
      <c r="DK59" s="41"/>
      <c r="DL59" s="41"/>
      <c r="DM59" s="41"/>
      <c r="DN59" s="41"/>
      <c r="DO59" s="41"/>
      <c r="DP59" s="41"/>
      <c r="DQ59" s="41"/>
      <c r="DR59" s="41"/>
      <c r="DS59" s="41"/>
      <c r="DT59" s="41"/>
      <c r="DU59" s="41"/>
      <c r="DV59" s="41"/>
      <c r="DW59" s="41"/>
      <c r="DX59" s="41"/>
      <c r="DY59" s="41"/>
      <c r="DZ59" s="41"/>
      <c r="EA59" s="41"/>
      <c r="EB59" s="41"/>
      <c r="EC59" s="41"/>
      <c r="ED59" s="70"/>
      <c r="EE59" s="70"/>
      <c r="EF59" s="70"/>
      <c r="EG59" s="70"/>
      <c r="EH59" s="70"/>
      <c r="EI59" s="70"/>
      <c r="EJ59" s="70"/>
      <c r="EK59" s="70"/>
      <c r="EL59" s="70"/>
      <c r="EM59" s="70"/>
      <c r="EN59" s="70"/>
      <c r="EO59" s="70"/>
      <c r="EP59" s="70"/>
      <c r="EQ59" s="70"/>
      <c r="ER59" s="70"/>
      <c r="ES59" s="70"/>
      <c r="ET59" s="70"/>
      <c r="EU59" s="70"/>
      <c r="EV59" s="70"/>
      <c r="EW59" s="70"/>
      <c r="EX59" s="70"/>
      <c r="EY59" s="70"/>
      <c r="EZ59" s="70"/>
      <c r="FA59" s="70"/>
    </row>
    <row r="60" spans="1:198" s="1" customFormat="1" ht="20.149999999999999" customHeight="1" x14ac:dyDescent="0.35">
      <c r="A60" s="6"/>
      <c r="B60" s="70"/>
      <c r="C60" s="160"/>
      <c r="D60" s="160"/>
      <c r="E60" s="160"/>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0"/>
      <c r="BB60" s="160"/>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0"/>
      <c r="CA60" s="160"/>
      <c r="CB60" s="160"/>
      <c r="CC60" s="160"/>
      <c r="CD60" s="160"/>
      <c r="CE60" s="160"/>
      <c r="CF60" s="160"/>
      <c r="CG60" s="160"/>
      <c r="CH60" s="160"/>
      <c r="CI60" s="160"/>
      <c r="CJ60" s="160"/>
      <c r="CK60" s="160"/>
      <c r="CL60" s="160"/>
      <c r="CM60" s="160"/>
      <c r="CN60" s="160"/>
      <c r="CO60" s="160"/>
      <c r="CP60" s="160"/>
      <c r="CQ60" s="160"/>
      <c r="CR60" s="160"/>
      <c r="CS60" s="160"/>
      <c r="CT60" s="160"/>
      <c r="CU60" s="160"/>
      <c r="CV60" s="160"/>
      <c r="CW60" s="160"/>
      <c r="CX60" s="160"/>
      <c r="CY60" s="160"/>
      <c r="CZ60" s="160"/>
      <c r="DA60" s="160"/>
      <c r="DB60" s="160"/>
      <c r="DC60" s="160"/>
      <c r="DD60" s="160"/>
      <c r="DE60" s="160"/>
      <c r="DF60" s="160"/>
      <c r="DG60" s="160"/>
      <c r="DH60" s="160"/>
      <c r="DI60" s="160"/>
      <c r="DJ60" s="160"/>
      <c r="DK60" s="160"/>
      <c r="DL60" s="160"/>
      <c r="DM60" s="160"/>
      <c r="DN60" s="160"/>
      <c r="DO60" s="160"/>
      <c r="DP60" s="160"/>
      <c r="DQ60" s="160"/>
      <c r="DR60" s="160"/>
      <c r="DS60" s="160"/>
      <c r="DT60" s="160"/>
      <c r="DU60" s="160"/>
      <c r="DV60" s="160"/>
      <c r="DW60" s="160"/>
      <c r="DX60" s="160"/>
      <c r="DY60" s="160"/>
      <c r="DZ60" s="160"/>
      <c r="EA60" s="160"/>
      <c r="EB60" s="160"/>
      <c r="EC60" s="160"/>
      <c r="ED60" s="160"/>
      <c r="EE60" s="160"/>
      <c r="EF60" s="160"/>
      <c r="EG60" s="160"/>
      <c r="EH60" s="160"/>
      <c r="EI60" s="160"/>
      <c r="EJ60" s="160"/>
      <c r="EK60" s="160"/>
      <c r="EL60" s="160"/>
      <c r="EM60" s="160"/>
      <c r="EN60" s="160"/>
      <c r="EO60" s="160"/>
      <c r="EP60" s="160"/>
      <c r="EQ60" s="160"/>
      <c r="ER60" s="160"/>
      <c r="ES60" s="160"/>
      <c r="ET60" s="160"/>
      <c r="EU60" s="160"/>
      <c r="EV60" s="160"/>
      <c r="EW60" s="160"/>
      <c r="EX60" s="160"/>
      <c r="EY60" s="160"/>
      <c r="EZ60" s="160"/>
      <c r="FA60" s="160"/>
      <c r="FB60" s="160"/>
      <c r="FC60" s="160"/>
      <c r="FD60" s="160"/>
      <c r="FE60" s="160"/>
      <c r="FF60" s="160"/>
      <c r="FG60" s="160"/>
      <c r="FH60" s="160"/>
      <c r="FI60" s="160"/>
      <c r="FJ60" s="160"/>
      <c r="FK60" s="160"/>
      <c r="FL60" s="160"/>
      <c r="FM60" s="160"/>
      <c r="FN60" s="160"/>
      <c r="FO60" s="160"/>
      <c r="FP60" s="160"/>
      <c r="FQ60" s="160"/>
      <c r="FR60" s="160"/>
      <c r="FS60" s="160"/>
      <c r="FT60" s="160"/>
      <c r="FU60" s="160"/>
      <c r="FV60" s="160"/>
      <c r="FW60" s="160"/>
      <c r="FX60" s="160"/>
      <c r="FY60" s="160"/>
      <c r="GA60" s="160"/>
      <c r="GB60" s="160"/>
      <c r="GC60" s="160"/>
      <c r="GD60" s="160"/>
      <c r="GE60" s="160"/>
      <c r="GF60" s="160"/>
      <c r="GG60" s="160"/>
      <c r="GH60" s="160"/>
      <c r="GI60" s="160"/>
      <c r="GJ60" s="160"/>
      <c r="GK60" s="160"/>
      <c r="GL60" s="160"/>
      <c r="GM60" s="160"/>
      <c r="GN60" s="160"/>
      <c r="GO60" s="160"/>
      <c r="GP60" s="160"/>
    </row>
    <row r="61" spans="1:198" s="1" customFormat="1" ht="20.149999999999999" customHeight="1" x14ac:dyDescent="0.35">
      <c r="A61" s="6"/>
      <c r="B61" s="6"/>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0"/>
      <c r="CD61" s="70"/>
      <c r="CE61" s="70"/>
      <c r="CF61" s="70"/>
      <c r="CG61" s="70"/>
      <c r="CH61" s="153"/>
      <c r="CI61" s="153"/>
      <c r="CJ61" s="153"/>
      <c r="CK61" s="153"/>
      <c r="CL61" s="153"/>
      <c r="CM61" s="153"/>
      <c r="CN61" s="153"/>
      <c r="CO61" s="153"/>
      <c r="CP61" s="153"/>
      <c r="CQ61" s="153"/>
      <c r="CR61" s="153"/>
      <c r="CS61" s="153"/>
      <c r="CT61" s="153"/>
      <c r="CU61" s="153"/>
      <c r="CV61" s="153"/>
      <c r="CW61" s="153"/>
      <c r="CX61" s="153"/>
      <c r="CY61" s="153"/>
      <c r="CZ61" s="153"/>
      <c r="DA61" s="153"/>
      <c r="DB61" s="153"/>
      <c r="DC61" s="153"/>
      <c r="DD61" s="153"/>
      <c r="DE61" s="153"/>
      <c r="DF61" s="153"/>
      <c r="DG61" s="153"/>
      <c r="DH61" s="153"/>
      <c r="DI61" s="153"/>
      <c r="DJ61" s="153"/>
      <c r="DK61" s="153"/>
      <c r="DL61" s="153"/>
      <c r="DM61" s="153"/>
      <c r="DN61" s="153"/>
      <c r="DO61" s="153"/>
      <c r="DP61" s="153"/>
      <c r="DQ61" s="153"/>
      <c r="DR61" s="153"/>
      <c r="DS61" s="153"/>
      <c r="DT61" s="153"/>
      <c r="DU61" s="153"/>
      <c r="DV61" s="153"/>
      <c r="DW61" s="153"/>
      <c r="DX61" s="153"/>
      <c r="DY61" s="153"/>
      <c r="DZ61" s="153"/>
      <c r="EA61" s="153"/>
      <c r="EB61" s="153"/>
      <c r="EC61" s="153"/>
      <c r="ED61" s="153"/>
      <c r="EE61" s="153"/>
      <c r="EF61" s="153"/>
      <c r="EG61" s="153"/>
      <c r="EH61" s="153"/>
      <c r="EI61" s="153"/>
      <c r="EJ61" s="153"/>
      <c r="EK61" s="153"/>
      <c r="EL61" s="153"/>
      <c r="EM61" s="153"/>
      <c r="EN61" s="153"/>
      <c r="EO61" s="153"/>
      <c r="EP61" s="153"/>
      <c r="EQ61" s="160"/>
      <c r="ER61" s="160"/>
      <c r="ES61" s="160"/>
      <c r="ET61" s="160"/>
      <c r="EU61" s="160"/>
      <c r="EV61" s="160"/>
      <c r="EW61" s="160"/>
      <c r="EX61" s="160"/>
      <c r="EY61" s="160"/>
      <c r="EZ61" s="160"/>
      <c r="FA61" s="160"/>
      <c r="FB61" s="160"/>
      <c r="FC61" s="160"/>
      <c r="FD61" s="160"/>
      <c r="FE61" s="160"/>
      <c r="FF61" s="160"/>
      <c r="FG61" s="160"/>
      <c r="FH61" s="160"/>
      <c r="FI61" s="160"/>
      <c r="FJ61" s="160"/>
      <c r="FK61" s="160"/>
      <c r="FL61" s="160"/>
      <c r="FM61" s="160"/>
      <c r="FN61" s="160"/>
      <c r="FO61" s="160"/>
      <c r="FP61" s="160"/>
      <c r="FQ61" s="160"/>
      <c r="FY61" s="120"/>
      <c r="GE61" s="160"/>
    </row>
    <row r="62" spans="1:198" s="1" customFormat="1" ht="20.149999999999999" customHeight="1" x14ac:dyDescent="0.35">
      <c r="A62" s="6"/>
      <c r="B62" s="6"/>
      <c r="C62" s="6"/>
      <c r="D62" s="6"/>
      <c r="E62" s="119"/>
      <c r="F62" s="119"/>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c r="CF62" s="119"/>
      <c r="CG62" s="119"/>
      <c r="CH62" s="154"/>
      <c r="CI62" s="154"/>
      <c r="CJ62" s="154"/>
      <c r="CK62" s="154"/>
      <c r="CL62" s="154"/>
      <c r="CM62" s="154"/>
      <c r="CN62" s="154"/>
      <c r="CO62" s="154"/>
      <c r="CP62" s="154"/>
      <c r="CQ62" s="154"/>
      <c r="CR62" s="154"/>
      <c r="CS62" s="154"/>
      <c r="CT62" s="154"/>
      <c r="CU62" s="154"/>
      <c r="CV62" s="154"/>
      <c r="CW62" s="154"/>
      <c r="CX62" s="154"/>
      <c r="CY62" s="154"/>
      <c r="CZ62" s="154"/>
      <c r="DA62" s="154"/>
      <c r="DB62" s="154"/>
      <c r="DC62" s="154"/>
      <c r="DD62" s="154"/>
      <c r="DE62" s="154"/>
      <c r="DF62" s="154"/>
      <c r="DG62" s="154"/>
      <c r="DH62" s="154"/>
      <c r="DI62" s="154"/>
      <c r="DJ62" s="154"/>
      <c r="DK62" s="154"/>
      <c r="DL62" s="154"/>
      <c r="DM62" s="154"/>
      <c r="DN62" s="154"/>
      <c r="DO62" s="154"/>
      <c r="DP62" s="154"/>
      <c r="DQ62" s="154"/>
      <c r="DR62" s="154"/>
      <c r="DS62" s="154"/>
      <c r="DT62" s="154"/>
      <c r="DU62" s="154"/>
      <c r="DV62" s="154"/>
      <c r="DW62" s="154"/>
      <c r="DX62" s="154"/>
      <c r="DY62" s="154"/>
      <c r="DZ62" s="154"/>
      <c r="EA62" s="154"/>
      <c r="EB62" s="154"/>
      <c r="EC62" s="154"/>
      <c r="ED62" s="154"/>
      <c r="EE62" s="154"/>
      <c r="EF62" s="154"/>
      <c r="EG62" s="154"/>
      <c r="EH62" s="154"/>
      <c r="EI62" s="154"/>
      <c r="EJ62" s="154"/>
      <c r="EK62" s="154"/>
      <c r="EL62" s="154"/>
      <c r="EM62" s="154"/>
      <c r="EN62" s="154"/>
      <c r="EO62" s="154"/>
      <c r="EP62" s="154"/>
      <c r="EQ62" s="154"/>
      <c r="ER62" s="154"/>
      <c r="ES62" s="154"/>
      <c r="ET62" s="154"/>
      <c r="EU62" s="154"/>
      <c r="EV62" s="154"/>
      <c r="EW62" s="154"/>
      <c r="EX62" s="154"/>
      <c r="EY62" s="154"/>
      <c r="EZ62" s="154"/>
      <c r="FA62" s="160"/>
      <c r="FB62" s="160"/>
      <c r="FC62" s="160"/>
      <c r="FD62" s="160"/>
      <c r="FE62" s="160"/>
      <c r="FF62" s="160"/>
      <c r="FG62" s="160"/>
      <c r="FH62" s="160"/>
      <c r="FI62" s="160"/>
      <c r="FJ62" s="160"/>
      <c r="FK62" s="160"/>
      <c r="FL62" s="160"/>
      <c r="FM62" s="160"/>
      <c r="FQ62" s="160"/>
    </row>
    <row r="63" spans="1:198" s="1" customFormat="1" ht="20.149999999999999" customHeight="1" x14ac:dyDescent="0.35">
      <c r="A63" s="6"/>
      <c r="B63" s="6"/>
      <c r="C63" s="6"/>
      <c r="D63" s="6"/>
      <c r="E63" s="6"/>
      <c r="F63" s="6"/>
      <c r="G63" s="6"/>
      <c r="H63" s="6"/>
      <c r="I63" s="6"/>
      <c r="J63" s="6"/>
      <c r="K63" s="6"/>
      <c r="L63" s="6"/>
      <c r="M63" s="6"/>
      <c r="FC63" s="160"/>
      <c r="FD63" s="120"/>
    </row>
    <row r="64" spans="1:198" s="1" customFormat="1" ht="20.149999999999999" customHeight="1" x14ac:dyDescent="0.35">
      <c r="A64" s="6"/>
      <c r="B64" s="6"/>
      <c r="C64" s="6"/>
      <c r="D64" s="6"/>
      <c r="E64" s="6"/>
      <c r="F64" s="6"/>
      <c r="G64" s="6"/>
      <c r="H64" s="6"/>
      <c r="I64" s="6"/>
      <c r="J64" s="6"/>
      <c r="K64" s="6"/>
      <c r="L64" s="6"/>
      <c r="M64" s="160"/>
      <c r="N64" s="6"/>
      <c r="O64" s="6"/>
      <c r="P64" s="6"/>
      <c r="Q64" s="6"/>
      <c r="R64" s="6"/>
      <c r="S64" s="6"/>
      <c r="T64" s="6"/>
      <c r="U64" s="6"/>
      <c r="V64" s="6"/>
      <c r="W64" s="6"/>
      <c r="X64" s="6"/>
      <c r="Y64" s="160"/>
      <c r="Z64" s="6"/>
      <c r="AA64" s="6"/>
      <c r="AB64" s="6"/>
      <c r="AC64" s="6"/>
      <c r="AD64" s="6"/>
      <c r="AE64" s="6"/>
      <c r="AF64" s="6"/>
      <c r="AG64" s="6"/>
      <c r="AH64" s="6"/>
      <c r="AI64" s="6"/>
      <c r="AJ64" s="6"/>
      <c r="AK64" s="160"/>
      <c r="AL64" s="6"/>
      <c r="AM64" s="6"/>
      <c r="AN64" s="6"/>
      <c r="AO64" s="6"/>
      <c r="AP64" s="6"/>
      <c r="AQ64" s="6"/>
      <c r="AR64" s="6"/>
      <c r="AS64" s="6"/>
      <c r="AT64" s="6"/>
      <c r="AU64" s="6"/>
      <c r="AV64" s="6"/>
      <c r="AW64" s="160"/>
      <c r="AX64" s="6"/>
      <c r="AY64" s="6"/>
      <c r="AZ64" s="6"/>
      <c r="BA64" s="6"/>
      <c r="BB64" s="6"/>
      <c r="BC64" s="6"/>
      <c r="BD64" s="6"/>
      <c r="BE64" s="6"/>
      <c r="BF64" s="6"/>
      <c r="BG64" s="6"/>
      <c r="BH64" s="6"/>
      <c r="BI64" s="160"/>
      <c r="BJ64" s="6"/>
      <c r="BK64" s="6"/>
      <c r="BL64" s="6"/>
      <c r="BM64" s="6"/>
      <c r="BN64" s="6"/>
      <c r="BO64" s="6"/>
      <c r="BP64" s="6"/>
      <c r="BQ64" s="6"/>
      <c r="BR64" s="6"/>
      <c r="BS64" s="6"/>
      <c r="BT64" s="6"/>
      <c r="BU64" s="160"/>
      <c r="BV64" s="6"/>
      <c r="BW64" s="6"/>
      <c r="BX64" s="6"/>
      <c r="BY64" s="6"/>
      <c r="BZ64" s="6"/>
      <c r="CA64" s="6"/>
      <c r="CB64" s="6"/>
      <c r="CC64" s="6"/>
      <c r="CD64" s="6"/>
      <c r="CE64" s="6"/>
      <c r="CF64" s="6"/>
      <c r="CG64" s="160"/>
      <c r="CH64" s="6"/>
      <c r="CI64" s="6"/>
      <c r="CJ64" s="6"/>
      <c r="CK64" s="40"/>
      <c r="CL64" s="6"/>
      <c r="CM64" s="6"/>
      <c r="CN64" s="6"/>
      <c r="CO64" s="6"/>
      <c r="CP64" s="6"/>
      <c r="CQ64" s="6"/>
      <c r="CR64" s="6"/>
      <c r="CS64" s="160"/>
      <c r="CT64" s="6"/>
      <c r="CU64" s="6"/>
      <c r="CV64" s="6"/>
      <c r="CW64" s="6"/>
      <c r="CX64" s="6"/>
      <c r="CY64" s="6"/>
      <c r="CZ64" s="6"/>
      <c r="DA64" s="6"/>
      <c r="DB64" s="6"/>
      <c r="DC64" s="6"/>
      <c r="DD64" s="6"/>
      <c r="DE64" s="160"/>
      <c r="DF64" s="6"/>
      <c r="DG64" s="6"/>
      <c r="DH64" s="6"/>
      <c r="DI64" s="6"/>
      <c r="DJ64" s="6"/>
      <c r="DK64" s="6"/>
      <c r="DL64" s="6"/>
      <c r="DM64" s="6"/>
      <c r="DN64" s="6"/>
      <c r="DO64" s="6"/>
      <c r="DP64" s="6"/>
      <c r="DQ64" s="160"/>
      <c r="DR64" s="6"/>
      <c r="DS64" s="6"/>
      <c r="DT64" s="6"/>
      <c r="DU64" s="6"/>
      <c r="DV64" s="6"/>
      <c r="DW64" s="6"/>
      <c r="DX64" s="6"/>
      <c r="DY64" s="6"/>
      <c r="DZ64" s="6"/>
      <c r="EA64" s="6"/>
      <c r="EB64" s="6"/>
      <c r="EC64" s="160"/>
      <c r="ED64" s="6"/>
      <c r="EE64" s="6"/>
      <c r="EF64" s="6"/>
      <c r="EG64" s="6"/>
      <c r="EH64" s="6"/>
      <c r="EI64" s="6"/>
      <c r="EJ64" s="6"/>
      <c r="EK64" s="6"/>
      <c r="EL64" s="6"/>
      <c r="EM64" s="6"/>
      <c r="EO64" s="160"/>
      <c r="FA64" s="160"/>
      <c r="FM64" s="160"/>
    </row>
    <row r="65" spans="1:181" s="1" customFormat="1" ht="20.149999999999999" customHeight="1" x14ac:dyDescent="0.3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40"/>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row>
    <row r="66" spans="1:181" s="1" customFormat="1" ht="20.149999999999999" customHeight="1" x14ac:dyDescent="0.35">
      <c r="CK66" s="40"/>
      <c r="CL66" s="6"/>
      <c r="CM66" s="6"/>
      <c r="CN66" s="6"/>
      <c r="CO66" s="6"/>
      <c r="CP66" s="6"/>
      <c r="CQ66" s="6"/>
      <c r="CR66" s="6"/>
      <c r="CS66" s="6"/>
      <c r="CT66" s="6"/>
      <c r="CU66" s="6"/>
    </row>
    <row r="67" spans="1:181" s="1" customFormat="1" ht="20.149999999999999" customHeight="1" x14ac:dyDescent="0.35">
      <c r="CK67" s="40"/>
      <c r="CL67" s="6"/>
      <c r="CM67" s="6"/>
      <c r="CN67" s="6"/>
      <c r="CO67" s="6"/>
      <c r="CP67" s="6"/>
      <c r="CQ67" s="6"/>
      <c r="CR67" s="6"/>
      <c r="CS67" s="6"/>
      <c r="CT67" s="6"/>
      <c r="CU67" s="6"/>
      <c r="FY67" s="160"/>
    </row>
    <row r="68" spans="1:181" s="1" customFormat="1" ht="20.149999999999999" customHeight="1" x14ac:dyDescent="0.35">
      <c r="CK68" s="40"/>
      <c r="CL68" s="6"/>
      <c r="CM68" s="6"/>
      <c r="CN68" s="6"/>
      <c r="CO68" s="6"/>
      <c r="CP68" s="6"/>
      <c r="CQ68" s="6"/>
      <c r="CR68" s="6"/>
      <c r="CS68" s="6"/>
      <c r="CT68" s="6"/>
      <c r="CU68" s="6"/>
    </row>
    <row r="69" spans="1:181" s="1" customFormat="1" ht="20.149999999999999" customHeight="1" x14ac:dyDescent="0.35">
      <c r="CK69" s="40"/>
      <c r="CL69" s="6"/>
      <c r="CM69" s="6"/>
      <c r="CN69" s="6"/>
      <c r="CO69" s="6"/>
      <c r="CP69" s="6"/>
      <c r="CQ69" s="6"/>
      <c r="CR69" s="6"/>
      <c r="CS69" s="6"/>
      <c r="CT69" s="6"/>
      <c r="CU69" s="6"/>
    </row>
    <row r="70" spans="1:181" s="1" customFormat="1" ht="20.149999999999999" customHeight="1" x14ac:dyDescent="0.3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row>
    <row r="72" spans="1:181" ht="20.149999999999999"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42"/>
      <c r="CL72" s="36"/>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row>
    <row r="73" spans="1:181" s="1" customFormat="1" ht="20.149999999999999" customHeight="1" x14ac:dyDescent="0.35">
      <c r="CK73" s="42"/>
      <c r="CL73" s="36"/>
      <c r="CM73" s="6"/>
      <c r="CN73" s="6"/>
      <c r="CO73" s="6"/>
      <c r="CP73" s="6"/>
      <c r="CQ73" s="6"/>
      <c r="CR73" s="6"/>
      <c r="CS73" s="6"/>
      <c r="CT73" s="6"/>
      <c r="CU73" s="6"/>
    </row>
    <row r="74" spans="1:181" s="1" customFormat="1" ht="20.149999999999999" customHeight="1" x14ac:dyDescent="0.35">
      <c r="CK74" s="42"/>
      <c r="CL74" s="36"/>
      <c r="CM74" s="6"/>
      <c r="CN74" s="6"/>
      <c r="CO74" s="6"/>
      <c r="CP74" s="6"/>
      <c r="CQ74" s="6"/>
      <c r="CR74" s="6"/>
      <c r="CS74" s="6"/>
      <c r="CT74" s="6"/>
      <c r="CU74" s="6"/>
    </row>
    <row r="75" spans="1:181" s="1" customFormat="1" ht="20.149999999999999" customHeight="1" x14ac:dyDescent="0.35">
      <c r="CK75" s="42"/>
      <c r="CL75" s="36"/>
      <c r="CM75" s="6"/>
      <c r="CN75" s="6"/>
      <c r="CO75" s="6"/>
      <c r="CP75" s="6"/>
      <c r="CQ75" s="6"/>
      <c r="CR75" s="6"/>
      <c r="CS75" s="6"/>
      <c r="CT75" s="6"/>
      <c r="CU75" s="6"/>
    </row>
    <row r="76" spans="1:181" s="1" customFormat="1" ht="20.149999999999999" customHeight="1" x14ac:dyDescent="0.35">
      <c r="CK76" s="42"/>
      <c r="CL76" s="36"/>
      <c r="CM76" s="6"/>
      <c r="CN76" s="6"/>
      <c r="CO76" s="6"/>
      <c r="CP76" s="6"/>
      <c r="CQ76" s="6"/>
      <c r="CR76" s="6"/>
      <c r="CS76" s="6"/>
      <c r="CT76" s="6"/>
      <c r="CU76" s="6"/>
    </row>
    <row r="77" spans="1:181" s="1" customFormat="1" ht="20.149999999999999" customHeight="1" x14ac:dyDescent="0.35">
      <c r="CK77" s="42"/>
      <c r="CL77" s="36"/>
      <c r="CM77" s="6"/>
      <c r="CN77" s="6"/>
      <c r="CO77" s="6"/>
      <c r="CP77" s="6"/>
      <c r="CQ77" s="6"/>
      <c r="CR77" s="6"/>
      <c r="CS77" s="6"/>
      <c r="CT77" s="6"/>
      <c r="CU77" s="6"/>
    </row>
    <row r="78" spans="1:181" s="1" customFormat="1" ht="20.149999999999999" customHeight="1" x14ac:dyDescent="0.35">
      <c r="CK78" s="42"/>
      <c r="CL78" s="36"/>
      <c r="CM78" s="6"/>
      <c r="CN78" s="6"/>
      <c r="CO78" s="6"/>
      <c r="CP78" s="6"/>
      <c r="CQ78" s="6"/>
      <c r="CR78" s="6"/>
      <c r="CS78" s="6"/>
      <c r="CT78" s="6"/>
      <c r="CU78" s="6"/>
    </row>
    <row r="79" spans="1:181" s="1" customFormat="1" ht="20.149999999999999" customHeight="1" x14ac:dyDescent="0.35">
      <c r="CK79" s="42"/>
      <c r="CL79" s="6"/>
      <c r="CM79" s="6"/>
      <c r="CN79" s="6"/>
      <c r="CO79" s="6"/>
      <c r="CP79" s="6"/>
      <c r="CQ79" s="6"/>
      <c r="CR79" s="6"/>
      <c r="CS79" s="6"/>
      <c r="CT79" s="6"/>
      <c r="CU79" s="6"/>
    </row>
    <row r="80" spans="1:181" s="1" customFormat="1" ht="20.149999999999999" customHeight="1" x14ac:dyDescent="0.3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row>
  </sheetData>
  <pageMargins left="0.23622047244094502" right="0.23622047244094502" top="0.74803149606299213" bottom="0.74803149606299213" header="0.31496062992126012" footer="0.31496062992126012"/>
  <pageSetup paperSize="9" fitToWidth="0" orientation="landscape" r:id="rId1"/>
  <headerFooter>
    <oddHeader>&amp;LSolar Deployment Table&amp;RTable 1</oddHeader>
    <oddFooter>&amp;Lhttps://www.gov.uk/government/statistics/solar-photovoltaics-deployment</oddFooter>
  </headerFooter>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F6861-1E8D-4A69-A2CA-97BC1DAB3F12}">
  <sheetPr>
    <pageSetUpPr fitToPage="1"/>
  </sheetPr>
  <dimension ref="A1:GO80"/>
  <sheetViews>
    <sheetView showGridLines="0" zoomScaleNormal="100" workbookViewId="0">
      <pane xSplit="1" topLeftCell="B1" activePane="topRight" state="frozen"/>
      <selection activeCell="B17" sqref="B17"/>
      <selection pane="topRight" activeCell="B1" sqref="B1"/>
    </sheetView>
  </sheetViews>
  <sheetFormatPr defaultColWidth="8.81640625" defaultRowHeight="20.149999999999999" customHeight="1" x14ac:dyDescent="0.35"/>
  <cols>
    <col min="1" max="1" width="39.1796875" style="6" customWidth="1"/>
    <col min="2" max="158" width="12.81640625" style="6" customWidth="1"/>
    <col min="159" max="159" width="12.1796875" style="6" customWidth="1"/>
    <col min="160" max="160" width="11.81640625" style="6" customWidth="1"/>
    <col min="161" max="163" width="12" style="6" customWidth="1"/>
    <col min="164" max="165" width="12.1796875" style="6" customWidth="1"/>
    <col min="166" max="166" width="12.453125" style="6" customWidth="1"/>
    <col min="167" max="173" width="11.81640625" style="6" customWidth="1"/>
    <col min="174" max="174" width="13.453125" style="6" customWidth="1"/>
    <col min="175" max="175" width="12.453125" style="6" customWidth="1"/>
    <col min="176" max="176" width="12.1796875" style="6" customWidth="1"/>
    <col min="177" max="177" width="11.54296875" style="6" customWidth="1"/>
    <col min="178" max="178" width="11" style="6" customWidth="1"/>
    <col min="179" max="179" width="12.1796875" style="6" customWidth="1"/>
    <col min="180" max="180" width="11.54296875" style="6" customWidth="1"/>
    <col min="181" max="181" width="12.1796875" style="6" customWidth="1"/>
    <col min="182" max="183" width="11.26953125" style="6" bestFit="1" customWidth="1"/>
    <col min="184" max="188" width="12" style="6" customWidth="1"/>
    <col min="189" max="190" width="11" style="6" bestFit="1" customWidth="1"/>
    <col min="191" max="191" width="11.1796875" style="6" customWidth="1"/>
    <col min="192" max="192" width="12.453125" style="6" customWidth="1"/>
    <col min="193" max="193" width="12.54296875" style="6" customWidth="1"/>
    <col min="194" max="194" width="11.1796875" style="6" customWidth="1"/>
    <col min="195" max="195" width="14.26953125" style="6" customWidth="1"/>
    <col min="196" max="197" width="10.7265625" style="6" bestFit="1" customWidth="1"/>
    <col min="198" max="16384" width="8.81640625" style="6"/>
  </cols>
  <sheetData>
    <row r="1" spans="1:197" s="18" customFormat="1" ht="45" customHeight="1" x14ac:dyDescent="0.6">
      <c r="A1" s="17" t="s">
        <v>71</v>
      </c>
    </row>
    <row r="2" spans="1:197" s="19" customFormat="1" ht="20.149999999999999" customHeight="1" x14ac:dyDescent="0.35">
      <c r="A2" s="19" t="s">
        <v>72</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row>
    <row r="3" spans="1:197" s="19" customFormat="1" ht="20.149999999999999" customHeight="1" x14ac:dyDescent="0.35">
      <c r="A3" s="19" t="s">
        <v>73</v>
      </c>
      <c r="FQ3" s="175"/>
    </row>
    <row r="4" spans="1:197" s="19" customFormat="1" ht="20.149999999999999" customHeight="1" x14ac:dyDescent="0.35">
      <c r="A4" s="19" t="s">
        <v>74</v>
      </c>
    </row>
    <row r="5" spans="1:197" s="25" customFormat="1" ht="30" customHeight="1" x14ac:dyDescent="0.35">
      <c r="A5" s="21" t="s">
        <v>75</v>
      </c>
      <c r="B5" s="22" t="s">
        <v>76</v>
      </c>
      <c r="C5" s="23" t="s">
        <v>77</v>
      </c>
      <c r="D5" s="23" t="s">
        <v>78</v>
      </c>
      <c r="E5" s="23" t="s">
        <v>79</v>
      </c>
      <c r="F5" s="23" t="s">
        <v>80</v>
      </c>
      <c r="G5" s="23" t="s">
        <v>81</v>
      </c>
      <c r="H5" s="23" t="s">
        <v>82</v>
      </c>
      <c r="I5" s="23" t="s">
        <v>83</v>
      </c>
      <c r="J5" s="23" t="s">
        <v>84</v>
      </c>
      <c r="K5" s="23" t="s">
        <v>85</v>
      </c>
      <c r="L5" s="23" t="s">
        <v>86</v>
      </c>
      <c r="M5" s="23" t="s">
        <v>87</v>
      </c>
      <c r="N5" s="22" t="s">
        <v>88</v>
      </c>
      <c r="O5" s="23" t="s">
        <v>89</v>
      </c>
      <c r="P5" s="23" t="s">
        <v>90</v>
      </c>
      <c r="Q5" s="23" t="s">
        <v>91</v>
      </c>
      <c r="R5" s="23" t="s">
        <v>92</v>
      </c>
      <c r="S5" s="23" t="s">
        <v>93</v>
      </c>
      <c r="T5" s="23" t="s">
        <v>94</v>
      </c>
      <c r="U5" s="23" t="s">
        <v>95</v>
      </c>
      <c r="V5" s="23" t="s">
        <v>96</v>
      </c>
      <c r="W5" s="23" t="s">
        <v>97</v>
      </c>
      <c r="X5" s="23" t="s">
        <v>98</v>
      </c>
      <c r="Y5" s="23" t="s">
        <v>99</v>
      </c>
      <c r="Z5" s="22" t="s">
        <v>100</v>
      </c>
      <c r="AA5" s="23" t="s">
        <v>101</v>
      </c>
      <c r="AB5" s="23" t="s">
        <v>102</v>
      </c>
      <c r="AC5" s="23" t="s">
        <v>103</v>
      </c>
      <c r="AD5" s="23" t="s">
        <v>104</v>
      </c>
      <c r="AE5" s="23" t="s">
        <v>105</v>
      </c>
      <c r="AF5" s="23" t="s">
        <v>106</v>
      </c>
      <c r="AG5" s="23" t="s">
        <v>107</v>
      </c>
      <c r="AH5" s="23" t="s">
        <v>108</v>
      </c>
      <c r="AI5" s="23" t="s">
        <v>109</v>
      </c>
      <c r="AJ5" s="23" t="s">
        <v>110</v>
      </c>
      <c r="AK5" s="23" t="s">
        <v>111</v>
      </c>
      <c r="AL5" s="22" t="s">
        <v>112</v>
      </c>
      <c r="AM5" s="23" t="s">
        <v>113</v>
      </c>
      <c r="AN5" s="23" t="s">
        <v>114</v>
      </c>
      <c r="AO5" s="23" t="s">
        <v>115</v>
      </c>
      <c r="AP5" s="23" t="s">
        <v>116</v>
      </c>
      <c r="AQ5" s="23" t="s">
        <v>117</v>
      </c>
      <c r="AR5" s="23" t="s">
        <v>118</v>
      </c>
      <c r="AS5" s="23" t="s">
        <v>119</v>
      </c>
      <c r="AT5" s="23" t="s">
        <v>120</v>
      </c>
      <c r="AU5" s="23" t="s">
        <v>121</v>
      </c>
      <c r="AV5" s="23" t="s">
        <v>122</v>
      </c>
      <c r="AW5" s="24" t="s">
        <v>123</v>
      </c>
      <c r="AX5" s="23" t="s">
        <v>124</v>
      </c>
      <c r="AY5" s="23" t="s">
        <v>125</v>
      </c>
      <c r="AZ5" s="23" t="s">
        <v>126</v>
      </c>
      <c r="BA5" s="23" t="s">
        <v>127</v>
      </c>
      <c r="BB5" s="23" t="s">
        <v>128</v>
      </c>
      <c r="BC5" s="23" t="s">
        <v>129</v>
      </c>
      <c r="BD5" s="23" t="s">
        <v>130</v>
      </c>
      <c r="BE5" s="23" t="s">
        <v>131</v>
      </c>
      <c r="BF5" s="23" t="s">
        <v>132</v>
      </c>
      <c r="BG5" s="23" t="s">
        <v>133</v>
      </c>
      <c r="BH5" s="23" t="s">
        <v>134</v>
      </c>
      <c r="BI5" s="24" t="s">
        <v>135</v>
      </c>
      <c r="BJ5" s="23" t="s">
        <v>136</v>
      </c>
      <c r="BK5" s="23" t="s">
        <v>137</v>
      </c>
      <c r="BL5" s="23" t="s">
        <v>138</v>
      </c>
      <c r="BM5" s="23" t="s">
        <v>139</v>
      </c>
      <c r="BN5" s="23" t="s">
        <v>140</v>
      </c>
      <c r="BO5" s="23" t="s">
        <v>141</v>
      </c>
      <c r="BP5" s="23" t="s">
        <v>142</v>
      </c>
      <c r="BQ5" s="23" t="s">
        <v>143</v>
      </c>
      <c r="BR5" s="23" t="s">
        <v>144</v>
      </c>
      <c r="BS5" s="23" t="s">
        <v>145</v>
      </c>
      <c r="BT5" s="23" t="s">
        <v>146</v>
      </c>
      <c r="BU5" s="24" t="s">
        <v>147</v>
      </c>
      <c r="BV5" s="23" t="s">
        <v>148</v>
      </c>
      <c r="BW5" s="23" t="s">
        <v>149</v>
      </c>
      <c r="BX5" s="23" t="s">
        <v>150</v>
      </c>
      <c r="BY5" s="23" t="s">
        <v>151</v>
      </c>
      <c r="BZ5" s="23" t="s">
        <v>152</v>
      </c>
      <c r="CA5" s="23" t="s">
        <v>153</v>
      </c>
      <c r="CB5" s="23" t="s">
        <v>154</v>
      </c>
      <c r="CC5" s="23" t="s">
        <v>155</v>
      </c>
      <c r="CD5" s="23" t="s">
        <v>156</v>
      </c>
      <c r="CE5" s="23" t="s">
        <v>157</v>
      </c>
      <c r="CF5" s="23" t="s">
        <v>158</v>
      </c>
      <c r="CG5" s="24" t="s">
        <v>159</v>
      </c>
      <c r="CH5" s="23" t="s">
        <v>160</v>
      </c>
      <c r="CI5" s="23" t="s">
        <v>161</v>
      </c>
      <c r="CJ5" s="23" t="s">
        <v>162</v>
      </c>
      <c r="CK5" s="23" t="s">
        <v>163</v>
      </c>
      <c r="CL5" s="23" t="s">
        <v>164</v>
      </c>
      <c r="CM5" s="23" t="s">
        <v>165</v>
      </c>
      <c r="CN5" s="23" t="s">
        <v>166</v>
      </c>
      <c r="CO5" s="23" t="s">
        <v>167</v>
      </c>
      <c r="CP5" s="23" t="s">
        <v>168</v>
      </c>
      <c r="CQ5" s="23" t="s">
        <v>169</v>
      </c>
      <c r="CR5" s="23" t="s">
        <v>170</v>
      </c>
      <c r="CS5" s="24" t="s">
        <v>171</v>
      </c>
      <c r="CT5" s="23" t="s">
        <v>172</v>
      </c>
      <c r="CU5" s="23" t="s">
        <v>173</v>
      </c>
      <c r="CV5" s="23" t="s">
        <v>174</v>
      </c>
      <c r="CW5" s="23" t="s">
        <v>175</v>
      </c>
      <c r="CX5" s="23" t="s">
        <v>176</v>
      </c>
      <c r="CY5" s="23" t="s">
        <v>177</v>
      </c>
      <c r="CZ5" s="23" t="s">
        <v>178</v>
      </c>
      <c r="DA5" s="23" t="s">
        <v>179</v>
      </c>
      <c r="DB5" s="23" t="s">
        <v>180</v>
      </c>
      <c r="DC5" s="23" t="s">
        <v>181</v>
      </c>
      <c r="DD5" s="23" t="s">
        <v>182</v>
      </c>
      <c r="DE5" s="24" t="s">
        <v>183</v>
      </c>
      <c r="DF5" s="23" t="s">
        <v>184</v>
      </c>
      <c r="DG5" s="23" t="s">
        <v>185</v>
      </c>
      <c r="DH5" s="23" t="s">
        <v>186</v>
      </c>
      <c r="DI5" s="23" t="s">
        <v>187</v>
      </c>
      <c r="DJ5" s="23" t="s">
        <v>188</v>
      </c>
      <c r="DK5" s="23" t="s">
        <v>189</v>
      </c>
      <c r="DL5" s="23" t="s">
        <v>190</v>
      </c>
      <c r="DM5" s="23" t="s">
        <v>191</v>
      </c>
      <c r="DN5" s="23" t="s">
        <v>192</v>
      </c>
      <c r="DO5" s="23" t="s">
        <v>193</v>
      </c>
      <c r="DP5" s="23" t="s">
        <v>194</v>
      </c>
      <c r="DQ5" s="24" t="s">
        <v>195</v>
      </c>
      <c r="DR5" s="23" t="s">
        <v>196</v>
      </c>
      <c r="DS5" s="23" t="s">
        <v>197</v>
      </c>
      <c r="DT5" s="23" t="s">
        <v>198</v>
      </c>
      <c r="DU5" s="23" t="s">
        <v>199</v>
      </c>
      <c r="DV5" s="23" t="s">
        <v>200</v>
      </c>
      <c r="DW5" s="23" t="s">
        <v>201</v>
      </c>
      <c r="DX5" s="23" t="s">
        <v>202</v>
      </c>
      <c r="DY5" s="23" t="s">
        <v>203</v>
      </c>
      <c r="DZ5" s="23" t="s">
        <v>204</v>
      </c>
      <c r="EA5" s="23" t="s">
        <v>205</v>
      </c>
      <c r="EB5" s="23" t="s">
        <v>206</v>
      </c>
      <c r="EC5" s="24" t="s">
        <v>207</v>
      </c>
      <c r="ED5" s="23" t="s">
        <v>208</v>
      </c>
      <c r="EE5" s="23" t="s">
        <v>209</v>
      </c>
      <c r="EF5" s="23" t="s">
        <v>210</v>
      </c>
      <c r="EG5" s="23" t="s">
        <v>211</v>
      </c>
      <c r="EH5" s="23" t="s">
        <v>212</v>
      </c>
      <c r="EI5" s="23" t="s">
        <v>213</v>
      </c>
      <c r="EJ5" s="23" t="s">
        <v>214</v>
      </c>
      <c r="EK5" s="23" t="s">
        <v>215</v>
      </c>
      <c r="EL5" s="23" t="s">
        <v>216</v>
      </c>
      <c r="EM5" s="23" t="s">
        <v>217</v>
      </c>
      <c r="EN5" s="43" t="s">
        <v>218</v>
      </c>
      <c r="EO5" s="80" t="s">
        <v>219</v>
      </c>
      <c r="EP5" s="23" t="s">
        <v>220</v>
      </c>
      <c r="EQ5" s="43" t="s">
        <v>221</v>
      </c>
      <c r="ER5" s="43" t="s">
        <v>222</v>
      </c>
      <c r="ES5" s="43" t="s">
        <v>223</v>
      </c>
      <c r="ET5" s="43" t="s">
        <v>224</v>
      </c>
      <c r="EU5" s="43" t="s">
        <v>225</v>
      </c>
      <c r="EV5" s="43" t="s">
        <v>226</v>
      </c>
      <c r="EW5" s="43" t="s">
        <v>227</v>
      </c>
      <c r="EX5" s="43" t="s">
        <v>228</v>
      </c>
      <c r="EY5" s="43" t="s">
        <v>229</v>
      </c>
      <c r="EZ5" s="43" t="s">
        <v>230</v>
      </c>
      <c r="FA5" s="80" t="s">
        <v>231</v>
      </c>
      <c r="FB5" s="43" t="s">
        <v>232</v>
      </c>
      <c r="FC5" s="43" t="s">
        <v>233</v>
      </c>
      <c r="FD5" s="43" t="s">
        <v>234</v>
      </c>
      <c r="FE5" s="43" t="s">
        <v>235</v>
      </c>
      <c r="FF5" s="43" t="s">
        <v>236</v>
      </c>
      <c r="FG5" s="43" t="s">
        <v>237</v>
      </c>
      <c r="FH5" s="43" t="s">
        <v>238</v>
      </c>
      <c r="FI5" s="43" t="s">
        <v>239</v>
      </c>
      <c r="FJ5" s="43" t="s">
        <v>240</v>
      </c>
      <c r="FK5" s="43" t="s">
        <v>241</v>
      </c>
      <c r="FL5" s="43" t="s">
        <v>242</v>
      </c>
      <c r="FM5" s="43" t="s">
        <v>243</v>
      </c>
      <c r="FN5" s="147" t="s">
        <v>244</v>
      </c>
      <c r="FO5" s="43" t="s">
        <v>245</v>
      </c>
      <c r="FP5" s="43" t="s">
        <v>246</v>
      </c>
      <c r="FQ5" s="43" t="s">
        <v>247</v>
      </c>
      <c r="FR5" s="43" t="s">
        <v>248</v>
      </c>
      <c r="FS5" s="43" t="s">
        <v>249</v>
      </c>
      <c r="FT5" s="43" t="s">
        <v>250</v>
      </c>
      <c r="FU5" s="43" t="s">
        <v>251</v>
      </c>
      <c r="FV5" s="43" t="s">
        <v>252</v>
      </c>
      <c r="FW5" s="43" t="s">
        <v>253</v>
      </c>
      <c r="FX5" s="43" t="s">
        <v>254</v>
      </c>
      <c r="FY5" s="141" t="s">
        <v>255</v>
      </c>
      <c r="FZ5" s="43" t="s">
        <v>256</v>
      </c>
      <c r="GA5" s="43" t="s">
        <v>257</v>
      </c>
      <c r="GB5" s="43" t="s">
        <v>258</v>
      </c>
      <c r="GC5" s="43" t="s">
        <v>259</v>
      </c>
      <c r="GD5" s="43" t="s">
        <v>260</v>
      </c>
      <c r="GE5" s="43" t="s">
        <v>261</v>
      </c>
      <c r="GF5" s="43" t="s">
        <v>262</v>
      </c>
      <c r="GG5" s="43" t="s">
        <v>263</v>
      </c>
      <c r="GH5" s="43" t="s">
        <v>264</v>
      </c>
      <c r="GI5" s="43" t="s">
        <v>265</v>
      </c>
      <c r="GJ5" s="43" t="s">
        <v>1622</v>
      </c>
      <c r="GK5" s="141" t="s">
        <v>1629</v>
      </c>
      <c r="GL5" s="43" t="s">
        <v>1630</v>
      </c>
      <c r="GM5" s="43" t="s">
        <v>1635</v>
      </c>
      <c r="GN5" s="43" t="s">
        <v>1638</v>
      </c>
      <c r="GO5" s="43" t="s">
        <v>1645</v>
      </c>
    </row>
    <row r="6" spans="1:197" s="30" customFormat="1" ht="20.149999999999999" customHeight="1" x14ac:dyDescent="0.35">
      <c r="A6" s="26" t="s">
        <v>266</v>
      </c>
      <c r="B6" s="27"/>
      <c r="C6" s="27"/>
      <c r="D6" s="27"/>
      <c r="E6" s="27"/>
      <c r="F6" s="27"/>
      <c r="G6" s="27"/>
      <c r="H6" s="27"/>
      <c r="I6" s="27"/>
      <c r="J6" s="27"/>
      <c r="K6" s="27"/>
      <c r="L6" s="27"/>
      <c r="M6" s="28"/>
      <c r="N6" s="29"/>
      <c r="O6" s="27"/>
      <c r="P6" s="27"/>
      <c r="Q6" s="27"/>
      <c r="R6" s="27"/>
      <c r="S6" s="27"/>
      <c r="T6" s="27"/>
      <c r="U6" s="27"/>
      <c r="V6" s="27"/>
      <c r="W6" s="27"/>
      <c r="X6" s="27"/>
      <c r="Y6" s="28"/>
      <c r="Z6" s="29"/>
      <c r="AA6" s="27"/>
      <c r="AB6" s="27"/>
      <c r="AC6" s="27"/>
      <c r="AD6" s="27"/>
      <c r="AE6" s="27"/>
      <c r="AF6" s="27"/>
      <c r="AG6" s="27"/>
      <c r="AH6" s="27"/>
      <c r="AI6" s="27"/>
      <c r="AJ6" s="27"/>
      <c r="AK6" s="28"/>
      <c r="AL6" s="29"/>
      <c r="AM6" s="27"/>
      <c r="AN6" s="27"/>
      <c r="AO6" s="27"/>
      <c r="AP6" s="27"/>
      <c r="AQ6" s="27"/>
      <c r="AR6" s="27"/>
      <c r="AS6" s="27"/>
      <c r="AT6" s="27"/>
      <c r="AU6" s="27"/>
      <c r="AV6" s="27"/>
      <c r="AW6" s="28"/>
      <c r="AX6" s="27"/>
      <c r="AY6" s="27"/>
      <c r="AZ6" s="27"/>
      <c r="BA6" s="27"/>
      <c r="BB6" s="27"/>
      <c r="BC6" s="27"/>
      <c r="BD6" s="27"/>
      <c r="BE6" s="27"/>
      <c r="BF6" s="27"/>
      <c r="BG6" s="27"/>
      <c r="BH6" s="27"/>
      <c r="BI6" s="28"/>
      <c r="BJ6" s="27"/>
      <c r="BK6" s="27"/>
      <c r="BL6" s="27"/>
      <c r="BM6" s="27"/>
      <c r="BN6" s="27"/>
      <c r="BO6" s="27"/>
      <c r="BP6" s="27"/>
      <c r="BQ6" s="27"/>
      <c r="BR6" s="27"/>
      <c r="BS6" s="27"/>
      <c r="BT6" s="27"/>
      <c r="BU6" s="28"/>
      <c r="BV6" s="27"/>
      <c r="BW6" s="27"/>
      <c r="BX6" s="27"/>
      <c r="BY6" s="27"/>
      <c r="BZ6" s="27"/>
      <c r="CA6" s="27"/>
      <c r="CB6" s="27"/>
      <c r="CC6" s="27"/>
      <c r="CD6" s="27"/>
      <c r="CE6" s="27"/>
      <c r="CF6" s="27"/>
      <c r="CG6" s="28"/>
      <c r="CH6" s="27"/>
      <c r="CI6" s="27"/>
      <c r="CJ6" s="27"/>
      <c r="CK6" s="27"/>
      <c r="CL6" s="27"/>
      <c r="CM6" s="27"/>
      <c r="CN6" s="27"/>
      <c r="CO6" s="27"/>
      <c r="CP6" s="27"/>
      <c r="CQ6" s="27"/>
      <c r="CR6" s="27"/>
      <c r="CS6" s="28"/>
      <c r="CT6" s="27"/>
      <c r="CU6" s="27"/>
      <c r="CV6" s="27"/>
      <c r="CW6" s="27"/>
      <c r="CX6" s="27"/>
      <c r="CY6" s="27"/>
      <c r="CZ6" s="27"/>
      <c r="DA6" s="27"/>
      <c r="DB6" s="27"/>
      <c r="DC6" s="27"/>
      <c r="DD6" s="27"/>
      <c r="DE6" s="28"/>
      <c r="DF6" s="27"/>
      <c r="DG6" s="27"/>
      <c r="DH6" s="27"/>
      <c r="DI6" s="27"/>
      <c r="DJ6" s="27"/>
      <c r="DK6" s="27"/>
      <c r="DL6" s="27"/>
      <c r="DM6" s="27"/>
      <c r="DN6" s="27"/>
      <c r="DO6" s="27"/>
      <c r="DP6" s="27"/>
      <c r="DQ6" s="28"/>
      <c r="DR6" s="27"/>
      <c r="DS6" s="27"/>
      <c r="DT6" s="27"/>
      <c r="DU6" s="27"/>
      <c r="DV6" s="27"/>
      <c r="DW6" s="27"/>
      <c r="DX6" s="27"/>
      <c r="DY6" s="27"/>
      <c r="DZ6" s="27"/>
      <c r="EA6" s="27"/>
      <c r="EB6" s="27"/>
      <c r="EC6" s="28"/>
      <c r="ED6" s="27"/>
      <c r="EE6" s="27"/>
      <c r="EF6" s="27"/>
      <c r="EG6" s="27"/>
      <c r="EH6" s="27"/>
      <c r="EI6" s="27"/>
      <c r="EJ6" s="27"/>
      <c r="EK6" s="45"/>
      <c r="EO6" s="81"/>
      <c r="EP6" s="27"/>
      <c r="EV6" s="67"/>
      <c r="EW6" s="67"/>
      <c r="EX6" s="67"/>
      <c r="EY6" s="67"/>
      <c r="EZ6" s="67"/>
      <c r="FA6" s="81"/>
      <c r="FB6" s="67"/>
      <c r="FC6" s="67"/>
      <c r="FD6" s="67"/>
      <c r="FE6" s="67"/>
      <c r="FF6" s="67"/>
      <c r="FG6" s="67"/>
      <c r="FH6" s="67"/>
      <c r="FI6" s="67"/>
      <c r="FJ6" s="67"/>
      <c r="FK6" s="67"/>
      <c r="FL6" s="67"/>
      <c r="FM6" s="67"/>
      <c r="FN6" s="169"/>
      <c r="FO6" s="67"/>
      <c r="FP6" s="67"/>
      <c r="FQ6" s="67"/>
      <c r="FR6" s="67"/>
      <c r="FS6" s="67"/>
      <c r="FT6" s="67"/>
      <c r="FU6" s="177"/>
      <c r="FV6" s="177"/>
      <c r="FW6" s="177"/>
      <c r="FX6" s="177"/>
      <c r="FY6" s="190"/>
      <c r="FZ6" s="177"/>
      <c r="GA6" s="177"/>
      <c r="GB6" s="177"/>
      <c r="GC6" s="177"/>
      <c r="GD6" s="177"/>
      <c r="GE6" s="177"/>
      <c r="GF6" s="177"/>
      <c r="GG6" s="177"/>
      <c r="GH6" s="177"/>
      <c r="GI6" s="177"/>
      <c r="GJ6" s="177"/>
      <c r="GK6" s="190"/>
      <c r="GL6" s="177"/>
      <c r="GM6" s="177"/>
      <c r="GN6" s="177"/>
      <c r="GO6" s="177"/>
    </row>
    <row r="7" spans="1:197" s="1" customFormat="1" ht="20.149999999999999" customHeight="1" x14ac:dyDescent="0.35">
      <c r="A7" s="31" t="s">
        <v>1623</v>
      </c>
      <c r="B7" s="45">
        <v>8.0210000000000008</v>
      </c>
      <c r="C7" s="45">
        <v>9.1530000000000005</v>
      </c>
      <c r="D7" s="45">
        <v>11.038</v>
      </c>
      <c r="E7" s="45">
        <v>13.255000000000001</v>
      </c>
      <c r="F7" s="45">
        <v>16.698</v>
      </c>
      <c r="G7" s="45">
        <v>20.916</v>
      </c>
      <c r="H7" s="45">
        <v>26.105</v>
      </c>
      <c r="I7" s="45">
        <v>31.254999999999999</v>
      </c>
      <c r="J7" s="45">
        <v>37.920999999999999</v>
      </c>
      <c r="K7" s="45">
        <v>45.965000000000003</v>
      </c>
      <c r="L7" s="45">
        <v>55.264000000000003</v>
      </c>
      <c r="M7" s="49">
        <v>62.441000000000003</v>
      </c>
      <c r="N7" s="50">
        <v>72.281999999999996</v>
      </c>
      <c r="O7" s="45">
        <v>83.525000000000006</v>
      </c>
      <c r="P7" s="45">
        <v>100.41500000000001</v>
      </c>
      <c r="Q7" s="45">
        <v>116.246</v>
      </c>
      <c r="R7" s="45">
        <v>135.05000000000001</v>
      </c>
      <c r="S7" s="45">
        <v>159.839</v>
      </c>
      <c r="T7" s="45">
        <v>188.624</v>
      </c>
      <c r="U7" s="45">
        <v>225.017</v>
      </c>
      <c r="V7" s="45">
        <v>269.74</v>
      </c>
      <c r="W7" s="45">
        <v>321.173</v>
      </c>
      <c r="X7" s="45">
        <v>465.851</v>
      </c>
      <c r="Y7" s="49">
        <v>578.45699999999999</v>
      </c>
      <c r="Z7" s="50">
        <v>599.39</v>
      </c>
      <c r="AA7" s="45">
        <v>705.98900000000003</v>
      </c>
      <c r="AB7" s="45">
        <v>771.01099999999997</v>
      </c>
      <c r="AC7" s="45">
        <v>783.86800000000005</v>
      </c>
      <c r="AD7" s="45">
        <v>807.89300000000003</v>
      </c>
      <c r="AE7" s="45">
        <v>837.66700000000003</v>
      </c>
      <c r="AF7" s="45">
        <v>893.29899999999998</v>
      </c>
      <c r="AG7" s="45">
        <v>902.399</v>
      </c>
      <c r="AH7" s="45">
        <v>913.875</v>
      </c>
      <c r="AI7" s="45">
        <v>935.70899999999995</v>
      </c>
      <c r="AJ7" s="45">
        <v>948.46699999999998</v>
      </c>
      <c r="AK7" s="49">
        <v>961.27599999999995</v>
      </c>
      <c r="AL7" s="50">
        <v>975.255</v>
      </c>
      <c r="AM7" s="45">
        <v>989.87699999999995</v>
      </c>
      <c r="AN7" s="45">
        <v>1006.06</v>
      </c>
      <c r="AO7" s="45">
        <v>1022.428</v>
      </c>
      <c r="AP7" s="45">
        <v>1038.3789999999999</v>
      </c>
      <c r="AQ7" s="45">
        <v>1060.6120000000001</v>
      </c>
      <c r="AR7" s="45">
        <v>1073.961</v>
      </c>
      <c r="AS7" s="45">
        <v>1089.2280000000001</v>
      </c>
      <c r="AT7" s="45">
        <v>1104.729</v>
      </c>
      <c r="AU7" s="45">
        <v>1121.47</v>
      </c>
      <c r="AV7" s="45">
        <v>1140.1079999999999</v>
      </c>
      <c r="AW7" s="49">
        <v>1155.393</v>
      </c>
      <c r="AX7" s="45">
        <v>1170.855</v>
      </c>
      <c r="AY7" s="45">
        <v>1187.434</v>
      </c>
      <c r="AZ7" s="45">
        <v>1212.9929999999999</v>
      </c>
      <c r="BA7" s="45">
        <v>1227.8979999999999</v>
      </c>
      <c r="BB7" s="45">
        <v>1243.7860000000001</v>
      </c>
      <c r="BC7" s="45">
        <v>1260.539</v>
      </c>
      <c r="BD7" s="45">
        <v>1280.277</v>
      </c>
      <c r="BE7" s="45">
        <v>1299.7170000000001</v>
      </c>
      <c r="BF7" s="45">
        <v>1323.018</v>
      </c>
      <c r="BG7" s="45">
        <v>1346.9190000000001</v>
      </c>
      <c r="BH7" s="45">
        <v>1369.2760000000001</v>
      </c>
      <c r="BI7" s="49">
        <v>1391.7670000000001</v>
      </c>
      <c r="BJ7" s="45">
        <v>1408.086</v>
      </c>
      <c r="BK7" s="45">
        <v>1427.8979999999999</v>
      </c>
      <c r="BL7" s="45">
        <v>1458.1610000000001</v>
      </c>
      <c r="BM7" s="45">
        <v>1478.8320000000001</v>
      </c>
      <c r="BN7" s="45">
        <v>1500.7280000000001</v>
      </c>
      <c r="BO7" s="45">
        <v>1532.336</v>
      </c>
      <c r="BP7" s="45">
        <v>1555.1969999999999</v>
      </c>
      <c r="BQ7" s="45">
        <v>1578.0550000000001</v>
      </c>
      <c r="BR7" s="45">
        <v>1615.6679999999999</v>
      </c>
      <c r="BS7" s="45">
        <v>1649.98</v>
      </c>
      <c r="BT7" s="45">
        <v>1695.6379999999999</v>
      </c>
      <c r="BU7" s="49">
        <v>1745.864</v>
      </c>
      <c r="BV7" s="45">
        <v>1776.472</v>
      </c>
      <c r="BW7" s="45">
        <v>1782.45</v>
      </c>
      <c r="BX7" s="45">
        <v>1789.7629999999999</v>
      </c>
      <c r="BY7" s="45">
        <v>1795.1210000000001</v>
      </c>
      <c r="BZ7" s="45">
        <v>1801.2070000000001</v>
      </c>
      <c r="CA7" s="45">
        <v>1807.9949999999999</v>
      </c>
      <c r="CB7" s="45">
        <v>1813.5229999999999</v>
      </c>
      <c r="CC7" s="45">
        <v>1818.6769999999999</v>
      </c>
      <c r="CD7" s="45">
        <v>1824.3150000000001</v>
      </c>
      <c r="CE7" s="45">
        <v>1828.952</v>
      </c>
      <c r="CF7" s="45">
        <v>1834.5239999999999</v>
      </c>
      <c r="CG7" s="49">
        <v>1838.691</v>
      </c>
      <c r="CH7" s="45">
        <v>1842.6590000000001</v>
      </c>
      <c r="CI7" s="45">
        <v>1847.2159999999999</v>
      </c>
      <c r="CJ7" s="45">
        <v>1853.1479999999999</v>
      </c>
      <c r="CK7" s="45">
        <v>1857.38</v>
      </c>
      <c r="CL7" s="45">
        <v>1862.2929999999999</v>
      </c>
      <c r="CM7" s="45">
        <v>1867.1559999999999</v>
      </c>
      <c r="CN7" s="45">
        <v>1871.6759999999999</v>
      </c>
      <c r="CO7" s="45">
        <v>1877.15</v>
      </c>
      <c r="CP7" s="45">
        <v>1882.3979999999999</v>
      </c>
      <c r="CQ7" s="45">
        <v>1887.279</v>
      </c>
      <c r="CR7" s="45">
        <v>1893.23</v>
      </c>
      <c r="CS7" s="49">
        <v>1897.231</v>
      </c>
      <c r="CT7" s="45">
        <v>1901.653</v>
      </c>
      <c r="CU7" s="45">
        <v>1905.7090000000001</v>
      </c>
      <c r="CV7" s="45">
        <v>1910.6310000000001</v>
      </c>
      <c r="CW7" s="45">
        <v>1915.348</v>
      </c>
      <c r="CX7" s="45">
        <v>1920.674</v>
      </c>
      <c r="CY7" s="45">
        <v>1926.077</v>
      </c>
      <c r="CZ7" s="45">
        <v>1931.306</v>
      </c>
      <c r="DA7" s="45">
        <v>1937.2629999999999</v>
      </c>
      <c r="DB7" s="45">
        <v>1943.3009999999999</v>
      </c>
      <c r="DC7" s="45">
        <v>1950.5989999999999</v>
      </c>
      <c r="DD7" s="45">
        <v>1958.31</v>
      </c>
      <c r="DE7" s="49">
        <v>1964.7139999999999</v>
      </c>
      <c r="DF7" s="45">
        <v>1974.0329999999999</v>
      </c>
      <c r="DG7" s="45">
        <v>1984.759</v>
      </c>
      <c r="DH7" s="45">
        <v>2009.298</v>
      </c>
      <c r="DI7" s="45">
        <v>2012.575</v>
      </c>
      <c r="DJ7" s="45">
        <v>2016.5920000000001</v>
      </c>
      <c r="DK7" s="45">
        <v>2020.915</v>
      </c>
      <c r="DL7" s="45">
        <v>2025.0630000000001</v>
      </c>
      <c r="DM7" s="45">
        <v>2029.39</v>
      </c>
      <c r="DN7" s="45">
        <v>2034.1079999999999</v>
      </c>
      <c r="DO7" s="45">
        <v>2038.8409999999999</v>
      </c>
      <c r="DP7" s="45">
        <v>2043.848</v>
      </c>
      <c r="DQ7" s="49">
        <v>2047.095</v>
      </c>
      <c r="DR7" s="45">
        <v>2051.3270000000002</v>
      </c>
      <c r="DS7" s="45">
        <v>2055.433</v>
      </c>
      <c r="DT7" s="45">
        <v>2059.6129999999998</v>
      </c>
      <c r="DU7" s="45">
        <v>2060.4209999999998</v>
      </c>
      <c r="DV7" s="45">
        <v>2061.69</v>
      </c>
      <c r="DW7" s="45">
        <v>2064.5160000000001</v>
      </c>
      <c r="DX7" s="45">
        <v>2068.5079999999998</v>
      </c>
      <c r="DY7" s="45">
        <v>2072.73</v>
      </c>
      <c r="DZ7" s="45">
        <v>2078.0230000000001</v>
      </c>
      <c r="EA7" s="45">
        <v>2083.2130000000002</v>
      </c>
      <c r="EB7" s="45">
        <v>2088.7489999999998</v>
      </c>
      <c r="EC7" s="49">
        <v>2092.9090000000001</v>
      </c>
      <c r="ED7" s="45">
        <v>2098.1390000000001</v>
      </c>
      <c r="EE7" s="45">
        <v>2102.8409999999999</v>
      </c>
      <c r="EF7" s="45">
        <v>2109.2710000000002</v>
      </c>
      <c r="EG7" s="45">
        <v>2116.1030000000001</v>
      </c>
      <c r="EH7" s="45">
        <v>2123.3589999999999</v>
      </c>
      <c r="EI7" s="45">
        <v>2130.6759999999999</v>
      </c>
      <c r="EJ7" s="45">
        <v>2137.4270000000001</v>
      </c>
      <c r="EK7" s="45">
        <v>2144.8429999999998</v>
      </c>
      <c r="EL7" s="45">
        <v>2153.0610000000001</v>
      </c>
      <c r="EM7" s="45">
        <v>2160.509</v>
      </c>
      <c r="EN7" s="45">
        <v>2170.0650000000001</v>
      </c>
      <c r="EO7" s="82">
        <v>2177.2330000000002</v>
      </c>
      <c r="EP7" s="45">
        <v>2185.7640000000001</v>
      </c>
      <c r="EQ7" s="45">
        <v>2196.672</v>
      </c>
      <c r="ER7" s="45">
        <v>2211.4299999999998</v>
      </c>
      <c r="ES7" s="45">
        <v>2225.511</v>
      </c>
      <c r="ET7" s="45">
        <v>2240.6480000000001</v>
      </c>
      <c r="EU7" s="45">
        <v>2256.5010000000002</v>
      </c>
      <c r="EV7" s="45">
        <v>2271.0219999999999</v>
      </c>
      <c r="EW7" s="45">
        <v>2287.0650000000001</v>
      </c>
      <c r="EX7" s="45">
        <v>2306.279</v>
      </c>
      <c r="EY7" s="45">
        <v>2323.5419999999999</v>
      </c>
      <c r="EZ7" s="45">
        <v>2342.2620000000002</v>
      </c>
      <c r="FA7" s="82">
        <v>2356.1689999999999</v>
      </c>
      <c r="FB7" s="45">
        <v>2374.9160000000002</v>
      </c>
      <c r="FC7" s="45">
        <v>2395.4189999999999</v>
      </c>
      <c r="FD7" s="45">
        <v>2418.3589999999999</v>
      </c>
      <c r="FE7" s="45">
        <v>2436.598</v>
      </c>
      <c r="FF7" s="45">
        <v>2456.3139999999999</v>
      </c>
      <c r="FG7" s="45">
        <v>2476.6840000000002</v>
      </c>
      <c r="FH7" s="45">
        <v>2494.5309999999999</v>
      </c>
      <c r="FI7" s="45">
        <v>2512.1909999999998</v>
      </c>
      <c r="FJ7" s="45">
        <v>2530.0970000000002</v>
      </c>
      <c r="FK7" s="155">
        <v>2547.444</v>
      </c>
      <c r="FL7" s="155">
        <v>2565.9369999999999</v>
      </c>
      <c r="FM7" s="155">
        <v>2577.73</v>
      </c>
      <c r="FN7" s="69">
        <v>2593.6990000000001</v>
      </c>
      <c r="FO7" s="155">
        <v>2610.7930000000001</v>
      </c>
      <c r="FP7" s="155">
        <v>2630.31</v>
      </c>
      <c r="FQ7" s="155">
        <v>2649.239</v>
      </c>
      <c r="FR7" s="155">
        <v>2669.1379999999999</v>
      </c>
      <c r="FS7" s="155">
        <v>2688.6280000000002</v>
      </c>
      <c r="FT7" s="155">
        <v>2708.817</v>
      </c>
      <c r="FU7" s="178">
        <v>2728.8780000000002</v>
      </c>
      <c r="FV7" s="178">
        <v>2751.357</v>
      </c>
      <c r="FW7" s="178">
        <v>2777.8939999999998</v>
      </c>
      <c r="FX7" s="178">
        <v>2806.1260000000002</v>
      </c>
      <c r="FY7" s="180">
        <v>2825.2829999999999</v>
      </c>
      <c r="FZ7" s="178">
        <v>2850.2939999999999</v>
      </c>
      <c r="GA7" s="178">
        <v>2879.0720000000001</v>
      </c>
      <c r="GB7" s="178">
        <v>2914.5360000000001</v>
      </c>
      <c r="GC7" s="178">
        <v>2940.7640000000001</v>
      </c>
      <c r="GD7" s="178">
        <v>2969.8809999999999</v>
      </c>
      <c r="GE7" s="178">
        <v>2999.9960000000001</v>
      </c>
      <c r="GF7" s="178">
        <v>3028.3649999999998</v>
      </c>
      <c r="GG7" s="178">
        <v>3053.19</v>
      </c>
      <c r="GH7" s="178">
        <v>3082.5630000000001</v>
      </c>
      <c r="GI7" s="178">
        <v>3115.5830000000001</v>
      </c>
      <c r="GJ7" s="178">
        <v>3145.9780000000001</v>
      </c>
      <c r="GK7" s="180">
        <v>3170.2640000000001</v>
      </c>
      <c r="GL7" s="178">
        <v>3197.1480000000001</v>
      </c>
      <c r="GM7" s="178">
        <v>3230.3119999999999</v>
      </c>
      <c r="GN7" s="178">
        <v>3271.067</v>
      </c>
      <c r="GO7" s="178">
        <v>3299.009</v>
      </c>
    </row>
    <row r="8" spans="1:197" s="1" customFormat="1" ht="20.149999999999999" customHeight="1" x14ac:dyDescent="0.35">
      <c r="A8" s="31" t="s">
        <v>1626</v>
      </c>
      <c r="B8" s="45">
        <v>2.6389999999999998</v>
      </c>
      <c r="C8" s="45">
        <v>2.827</v>
      </c>
      <c r="D8" s="45">
        <v>3.1030000000000002</v>
      </c>
      <c r="E8" s="45">
        <v>3.286</v>
      </c>
      <c r="F8" s="45">
        <v>3.6179999999999999</v>
      </c>
      <c r="G8" s="45">
        <v>3.992</v>
      </c>
      <c r="H8" s="45">
        <v>4.3940000000000001</v>
      </c>
      <c r="I8" s="45">
        <v>4.782</v>
      </c>
      <c r="J8" s="45">
        <v>5.1890000000000001</v>
      </c>
      <c r="K8" s="45">
        <v>5.7629999999999999</v>
      </c>
      <c r="L8" s="45">
        <v>6.3620000000000001</v>
      </c>
      <c r="M8" s="49">
        <v>6.78</v>
      </c>
      <c r="N8" s="50">
        <v>7.5919999999999996</v>
      </c>
      <c r="O8" s="45">
        <v>8.4719999999999995</v>
      </c>
      <c r="P8" s="45">
        <v>9.84</v>
      </c>
      <c r="Q8" s="45">
        <v>11.526</v>
      </c>
      <c r="R8" s="45">
        <v>13.48</v>
      </c>
      <c r="S8" s="45">
        <v>15.819000000000001</v>
      </c>
      <c r="T8" s="45">
        <v>19.02</v>
      </c>
      <c r="U8" s="45">
        <v>24.344000000000001</v>
      </c>
      <c r="V8" s="45">
        <v>31.628</v>
      </c>
      <c r="W8" s="45">
        <v>40.993000000000002</v>
      </c>
      <c r="X8" s="45">
        <v>70.278999999999996</v>
      </c>
      <c r="Y8" s="49">
        <v>96.072000000000003</v>
      </c>
      <c r="Z8" s="50">
        <v>98.25</v>
      </c>
      <c r="AA8" s="45">
        <v>125.134</v>
      </c>
      <c r="AB8" s="45">
        <v>135.233</v>
      </c>
      <c r="AC8" s="45">
        <v>137.209</v>
      </c>
      <c r="AD8" s="45">
        <v>143.863</v>
      </c>
      <c r="AE8" s="45">
        <v>153.96199999999999</v>
      </c>
      <c r="AF8" s="45">
        <v>180.011</v>
      </c>
      <c r="AG8" s="45">
        <v>181.76400000000001</v>
      </c>
      <c r="AH8" s="45">
        <v>185.34</v>
      </c>
      <c r="AI8" s="45">
        <v>196.149</v>
      </c>
      <c r="AJ8" s="45">
        <v>200.12200000000001</v>
      </c>
      <c r="AK8" s="49">
        <v>204.93799999999999</v>
      </c>
      <c r="AL8" s="50">
        <v>210.17</v>
      </c>
      <c r="AM8" s="45">
        <v>216.55799999999999</v>
      </c>
      <c r="AN8" s="45">
        <v>224.73400000000001</v>
      </c>
      <c r="AO8" s="45">
        <v>234.10400000000001</v>
      </c>
      <c r="AP8" s="45">
        <v>244.52699999999999</v>
      </c>
      <c r="AQ8" s="45">
        <v>262.02600000000001</v>
      </c>
      <c r="AR8" s="45">
        <v>269.18700000000001</v>
      </c>
      <c r="AS8" s="45">
        <v>278.12099999999998</v>
      </c>
      <c r="AT8" s="45">
        <v>288.291</v>
      </c>
      <c r="AU8" s="45">
        <v>299.44299999999998</v>
      </c>
      <c r="AV8" s="45">
        <v>312.81200000000001</v>
      </c>
      <c r="AW8" s="49">
        <v>324.16000000000003</v>
      </c>
      <c r="AX8" s="45">
        <v>334.70100000000002</v>
      </c>
      <c r="AY8" s="45">
        <v>346.161</v>
      </c>
      <c r="AZ8" s="45">
        <v>369.63200000000001</v>
      </c>
      <c r="BA8" s="45">
        <v>380.04300000000001</v>
      </c>
      <c r="BB8" s="45">
        <v>392.16399999999999</v>
      </c>
      <c r="BC8" s="45">
        <v>406.01900000000001</v>
      </c>
      <c r="BD8" s="45">
        <v>420.738</v>
      </c>
      <c r="BE8" s="45">
        <v>434.67700000000002</v>
      </c>
      <c r="BF8" s="45">
        <v>450.55099999999999</v>
      </c>
      <c r="BG8" s="45">
        <v>467.44799999999998</v>
      </c>
      <c r="BH8" s="45">
        <v>484.44200000000001</v>
      </c>
      <c r="BI8" s="49">
        <v>503.32799999999997</v>
      </c>
      <c r="BJ8" s="45">
        <v>511.85599999999999</v>
      </c>
      <c r="BK8" s="45">
        <v>523.11099999999999</v>
      </c>
      <c r="BL8" s="45">
        <v>543.58900000000006</v>
      </c>
      <c r="BM8" s="45">
        <v>555.51199999999994</v>
      </c>
      <c r="BN8" s="45">
        <v>569.15800000000002</v>
      </c>
      <c r="BO8" s="45">
        <v>589.59500000000003</v>
      </c>
      <c r="BP8" s="45">
        <v>601.84400000000005</v>
      </c>
      <c r="BQ8" s="45">
        <v>614.45000000000005</v>
      </c>
      <c r="BR8" s="45">
        <v>636.89800000000002</v>
      </c>
      <c r="BS8" s="45">
        <v>653.22</v>
      </c>
      <c r="BT8" s="45">
        <v>673.59199999999998</v>
      </c>
      <c r="BU8" s="49">
        <v>699.96600000000001</v>
      </c>
      <c r="BV8" s="45">
        <v>712.97500000000002</v>
      </c>
      <c r="BW8" s="45">
        <v>714.95</v>
      </c>
      <c r="BX8" s="45">
        <v>718.16399999999999</v>
      </c>
      <c r="BY8" s="45">
        <v>720.85</v>
      </c>
      <c r="BZ8" s="45">
        <v>723.49699999999996</v>
      </c>
      <c r="CA8" s="45">
        <v>726.81700000000001</v>
      </c>
      <c r="CB8" s="45">
        <v>729.48199999999997</v>
      </c>
      <c r="CC8" s="45">
        <v>732.09</v>
      </c>
      <c r="CD8" s="45">
        <v>735.28899999999999</v>
      </c>
      <c r="CE8" s="45">
        <v>737.37900000000002</v>
      </c>
      <c r="CF8" s="45">
        <v>739.71</v>
      </c>
      <c r="CG8" s="49">
        <v>741.86099999999999</v>
      </c>
      <c r="CH8" s="45">
        <v>743.62099999999998</v>
      </c>
      <c r="CI8" s="45">
        <v>745.48</v>
      </c>
      <c r="CJ8" s="45">
        <v>748.197</v>
      </c>
      <c r="CK8" s="45">
        <v>750.07799999999997</v>
      </c>
      <c r="CL8" s="45">
        <v>752.62699999999995</v>
      </c>
      <c r="CM8" s="45">
        <v>755.54200000000003</v>
      </c>
      <c r="CN8" s="45">
        <v>758.12900000000002</v>
      </c>
      <c r="CO8" s="45">
        <v>760.58299999999997</v>
      </c>
      <c r="CP8" s="45">
        <v>763.58199999999999</v>
      </c>
      <c r="CQ8" s="45">
        <v>766.298</v>
      </c>
      <c r="CR8" s="45">
        <v>769.16700000000003</v>
      </c>
      <c r="CS8" s="49">
        <v>771.57100000000003</v>
      </c>
      <c r="CT8" s="45">
        <v>773.68</v>
      </c>
      <c r="CU8" s="45">
        <v>776.02300000000002</v>
      </c>
      <c r="CV8" s="45">
        <v>779.17200000000003</v>
      </c>
      <c r="CW8" s="45">
        <v>782.07</v>
      </c>
      <c r="CX8" s="45">
        <v>785.33</v>
      </c>
      <c r="CY8" s="45">
        <v>789.06700000000001</v>
      </c>
      <c r="CZ8" s="45">
        <v>792.21400000000006</v>
      </c>
      <c r="DA8" s="45">
        <v>795.62199999999996</v>
      </c>
      <c r="DB8" s="45">
        <v>799.91</v>
      </c>
      <c r="DC8" s="45">
        <v>803.923</v>
      </c>
      <c r="DD8" s="45">
        <v>809.28200000000004</v>
      </c>
      <c r="DE8" s="49">
        <v>814.28099999999995</v>
      </c>
      <c r="DF8" s="45">
        <v>819.48199999999997</v>
      </c>
      <c r="DG8" s="45">
        <v>827.31899999999996</v>
      </c>
      <c r="DH8" s="45">
        <v>847.41099999999994</v>
      </c>
      <c r="DI8" s="45">
        <v>848.17899999999997</v>
      </c>
      <c r="DJ8" s="45">
        <v>849.47199999999998</v>
      </c>
      <c r="DK8" s="45">
        <v>851.13900000000001</v>
      </c>
      <c r="DL8" s="45">
        <v>853.51</v>
      </c>
      <c r="DM8" s="45">
        <v>855.93499999999995</v>
      </c>
      <c r="DN8" s="45">
        <v>859.23299999999995</v>
      </c>
      <c r="DO8" s="45">
        <v>863.25300000000004</v>
      </c>
      <c r="DP8" s="45">
        <v>866.68600000000004</v>
      </c>
      <c r="DQ8" s="49">
        <v>869.44500000000005</v>
      </c>
      <c r="DR8" s="45">
        <v>872.89200000000005</v>
      </c>
      <c r="DS8" s="45">
        <v>876.45</v>
      </c>
      <c r="DT8" s="45">
        <v>880.37699999999995</v>
      </c>
      <c r="DU8" s="45">
        <v>881.88699999999994</v>
      </c>
      <c r="DV8" s="45">
        <v>884.44200000000001</v>
      </c>
      <c r="DW8" s="45">
        <v>889.12900000000002</v>
      </c>
      <c r="DX8" s="45">
        <v>894.18299999999999</v>
      </c>
      <c r="DY8" s="45">
        <v>898.77099999999996</v>
      </c>
      <c r="DZ8" s="45">
        <v>904.64099999999996</v>
      </c>
      <c r="EA8" s="45">
        <v>910.63599999999997</v>
      </c>
      <c r="EB8" s="45">
        <v>916.90899999999999</v>
      </c>
      <c r="EC8" s="49">
        <v>921.56700000000001</v>
      </c>
      <c r="ED8" s="45">
        <v>926.54300000000001</v>
      </c>
      <c r="EE8" s="45">
        <v>931.952</v>
      </c>
      <c r="EF8" s="45">
        <v>939.92399999999998</v>
      </c>
      <c r="EG8" s="45">
        <v>947.46500000000003</v>
      </c>
      <c r="EH8" s="45">
        <v>954.90099999999995</v>
      </c>
      <c r="EI8" s="45">
        <v>963.30700000000002</v>
      </c>
      <c r="EJ8" s="45">
        <v>971.44</v>
      </c>
      <c r="EK8" s="45">
        <v>978.73699999999997</v>
      </c>
      <c r="EL8" s="45">
        <v>988.63599999999997</v>
      </c>
      <c r="EM8" s="45">
        <v>998.44500000000005</v>
      </c>
      <c r="EN8" s="45">
        <v>1010.673</v>
      </c>
      <c r="EO8" s="82">
        <v>1019.692</v>
      </c>
      <c r="EP8" s="45">
        <v>1031.1600000000001</v>
      </c>
      <c r="EQ8" s="45">
        <v>1044.578</v>
      </c>
      <c r="ER8" s="45">
        <v>1063.162</v>
      </c>
      <c r="ES8" s="45">
        <v>1083.1110000000001</v>
      </c>
      <c r="ET8" s="45">
        <v>1107.2650000000001</v>
      </c>
      <c r="EU8" s="45">
        <v>1131.6880000000001</v>
      </c>
      <c r="EV8" s="45">
        <v>1158.7729999999999</v>
      </c>
      <c r="EW8" s="45">
        <v>1188.682</v>
      </c>
      <c r="EX8" s="45">
        <v>1224.1659999999999</v>
      </c>
      <c r="EY8" s="45">
        <v>1262.5940000000001</v>
      </c>
      <c r="EZ8" s="45">
        <v>1307.3610000000001</v>
      </c>
      <c r="FA8" s="82">
        <v>1342.259</v>
      </c>
      <c r="FB8" s="45">
        <v>1390.9939999999999</v>
      </c>
      <c r="FC8" s="45">
        <v>1442.0260000000001</v>
      </c>
      <c r="FD8" s="45">
        <v>1499.923</v>
      </c>
      <c r="FE8" s="45">
        <v>1546.9670000000001</v>
      </c>
      <c r="FF8" s="45">
        <v>1600.145</v>
      </c>
      <c r="FG8" s="45">
        <v>1652.875</v>
      </c>
      <c r="FH8" s="45">
        <v>1697.5540000000001</v>
      </c>
      <c r="FI8" s="45">
        <v>1743.3679999999999</v>
      </c>
      <c r="FJ8" s="45">
        <v>1786.954</v>
      </c>
      <c r="FK8" s="155">
        <v>1830.5940000000001</v>
      </c>
      <c r="FL8" s="155">
        <v>1873.35</v>
      </c>
      <c r="FM8" s="155">
        <v>1901.6479999999999</v>
      </c>
      <c r="FN8" s="69">
        <v>1936.2829999999999</v>
      </c>
      <c r="FO8" s="155">
        <v>1972.528</v>
      </c>
      <c r="FP8" s="155">
        <v>2009.25</v>
      </c>
      <c r="FQ8" s="155">
        <v>2048.864</v>
      </c>
      <c r="FR8" s="155">
        <v>2088.6509999999998</v>
      </c>
      <c r="FS8" s="155">
        <v>2124.4650000000001</v>
      </c>
      <c r="FT8" s="155">
        <v>2163.3890000000001</v>
      </c>
      <c r="FU8" s="178">
        <v>2197.643</v>
      </c>
      <c r="FV8" s="178">
        <v>2234.1799999999998</v>
      </c>
      <c r="FW8" s="178">
        <v>2275.3670000000002</v>
      </c>
      <c r="FX8" s="178">
        <v>2314.2170000000001</v>
      </c>
      <c r="FY8" s="180">
        <v>2342.3609999999999</v>
      </c>
      <c r="FZ8" s="178">
        <v>2377.9189999999999</v>
      </c>
      <c r="GA8" s="178">
        <v>2418.201</v>
      </c>
      <c r="GB8" s="178">
        <v>2466.002</v>
      </c>
      <c r="GC8" s="178">
        <v>2511.0569999999998</v>
      </c>
      <c r="GD8" s="178">
        <v>2560.4</v>
      </c>
      <c r="GE8" s="178">
        <v>2609.8679999999999</v>
      </c>
      <c r="GF8" s="178">
        <v>2662.8989999999999</v>
      </c>
      <c r="GG8" s="178">
        <v>2710.181</v>
      </c>
      <c r="GH8" s="178">
        <v>2763.6489999999999</v>
      </c>
      <c r="GI8" s="178">
        <v>2819.4690000000001</v>
      </c>
      <c r="GJ8" s="178">
        <v>2868.2069999999999</v>
      </c>
      <c r="GK8" s="180">
        <v>2903.5749999999998</v>
      </c>
      <c r="GL8" s="178">
        <v>2942.87</v>
      </c>
      <c r="GM8" s="178">
        <v>2984.9029999999998</v>
      </c>
      <c r="GN8" s="178">
        <v>3032.79</v>
      </c>
      <c r="GO8" s="178">
        <v>3082.7370000000001</v>
      </c>
    </row>
    <row r="9" spans="1:197" s="1" customFormat="1" ht="20.149999999999999" customHeight="1" x14ac:dyDescent="0.35">
      <c r="A9" s="31" t="s">
        <v>1625</v>
      </c>
      <c r="B9" s="45">
        <v>2.4329999999999998</v>
      </c>
      <c r="C9" s="45">
        <v>2.5289999999999999</v>
      </c>
      <c r="D9" s="45">
        <v>2.8620000000000001</v>
      </c>
      <c r="E9" s="45">
        <v>3.1070000000000002</v>
      </c>
      <c r="F9" s="45">
        <v>3.4620000000000002</v>
      </c>
      <c r="G9" s="45">
        <v>3.6829999999999998</v>
      </c>
      <c r="H9" s="45">
        <v>3.8180000000000001</v>
      </c>
      <c r="I9" s="45">
        <v>4.101</v>
      </c>
      <c r="J9" s="45">
        <v>4.55</v>
      </c>
      <c r="K9" s="45">
        <v>4.92</v>
      </c>
      <c r="L9" s="45">
        <v>5.4130000000000003</v>
      </c>
      <c r="M9" s="49">
        <v>5.6619999999999999</v>
      </c>
      <c r="N9" s="50">
        <v>6.2169999999999996</v>
      </c>
      <c r="O9" s="45">
        <v>7.0419999999999998</v>
      </c>
      <c r="P9" s="45">
        <v>7.8730000000000002</v>
      </c>
      <c r="Q9" s="45">
        <v>8.8810000000000002</v>
      </c>
      <c r="R9" s="45">
        <v>10.105</v>
      </c>
      <c r="S9" s="45">
        <v>11.478</v>
      </c>
      <c r="T9" s="45">
        <v>14.74</v>
      </c>
      <c r="U9" s="45">
        <v>18.001999999999999</v>
      </c>
      <c r="V9" s="45">
        <v>22.283000000000001</v>
      </c>
      <c r="W9" s="45">
        <v>26.594999999999999</v>
      </c>
      <c r="X9" s="45">
        <v>49.494999999999997</v>
      </c>
      <c r="Y9" s="49">
        <v>96.29</v>
      </c>
      <c r="Z9" s="50">
        <v>97.43</v>
      </c>
      <c r="AA9" s="45">
        <v>134.60499999999999</v>
      </c>
      <c r="AB9" s="45">
        <v>160.904</v>
      </c>
      <c r="AC9" s="45">
        <v>162.559</v>
      </c>
      <c r="AD9" s="45">
        <v>166.95</v>
      </c>
      <c r="AE9" s="45">
        <v>176.238</v>
      </c>
      <c r="AF9" s="45">
        <v>213.36699999999999</v>
      </c>
      <c r="AG9" s="45">
        <v>214.72200000000001</v>
      </c>
      <c r="AH9" s="45">
        <v>216.928</v>
      </c>
      <c r="AI9" s="45">
        <v>224.791</v>
      </c>
      <c r="AJ9" s="45">
        <v>227.315</v>
      </c>
      <c r="AK9" s="49">
        <v>230.095</v>
      </c>
      <c r="AL9" s="50">
        <v>233.60599999999999</v>
      </c>
      <c r="AM9" s="45">
        <v>239.37299999999999</v>
      </c>
      <c r="AN9" s="45">
        <v>247.19</v>
      </c>
      <c r="AO9" s="45">
        <v>256.12900000000002</v>
      </c>
      <c r="AP9" s="45">
        <v>263.983</v>
      </c>
      <c r="AQ9" s="45">
        <v>284.38600000000002</v>
      </c>
      <c r="AR9" s="45">
        <v>288.46600000000001</v>
      </c>
      <c r="AS9" s="45">
        <v>294.779</v>
      </c>
      <c r="AT9" s="45">
        <v>301.60599999999999</v>
      </c>
      <c r="AU9" s="45">
        <v>307.464</v>
      </c>
      <c r="AV9" s="45">
        <v>313.87799999999999</v>
      </c>
      <c r="AW9" s="49">
        <v>320.63799999999998</v>
      </c>
      <c r="AX9" s="45">
        <v>325.86399999999998</v>
      </c>
      <c r="AY9" s="45">
        <v>331.56599999999997</v>
      </c>
      <c r="AZ9" s="45">
        <v>352.976</v>
      </c>
      <c r="BA9" s="45">
        <v>356.59399999999999</v>
      </c>
      <c r="BB9" s="45">
        <v>361.69400000000002</v>
      </c>
      <c r="BC9" s="45">
        <v>368.93099999999998</v>
      </c>
      <c r="BD9" s="45">
        <v>375.78800000000001</v>
      </c>
      <c r="BE9" s="45">
        <v>382.35399999999998</v>
      </c>
      <c r="BF9" s="45">
        <v>390.33699999999999</v>
      </c>
      <c r="BG9" s="45">
        <v>398.041</v>
      </c>
      <c r="BH9" s="45">
        <v>405.80399999999997</v>
      </c>
      <c r="BI9" s="49">
        <v>422.32</v>
      </c>
      <c r="BJ9" s="45">
        <v>425.346</v>
      </c>
      <c r="BK9" s="45">
        <v>431.61500000000001</v>
      </c>
      <c r="BL9" s="45">
        <v>442.61200000000002</v>
      </c>
      <c r="BM9" s="45">
        <v>449.03100000000001</v>
      </c>
      <c r="BN9" s="45">
        <v>455.54399999999998</v>
      </c>
      <c r="BO9" s="45">
        <v>465.73500000000001</v>
      </c>
      <c r="BP9" s="45">
        <v>474.55200000000002</v>
      </c>
      <c r="BQ9" s="45">
        <v>484.46</v>
      </c>
      <c r="BR9" s="45">
        <v>506.053</v>
      </c>
      <c r="BS9" s="45">
        <v>517.08600000000001</v>
      </c>
      <c r="BT9" s="45">
        <v>534.798</v>
      </c>
      <c r="BU9" s="49">
        <v>584.30700000000002</v>
      </c>
      <c r="BV9" s="45">
        <v>607.99</v>
      </c>
      <c r="BW9" s="45">
        <v>610.12099999999998</v>
      </c>
      <c r="BX9" s="45">
        <v>614.52800000000002</v>
      </c>
      <c r="BY9" s="45">
        <v>617.19200000000001</v>
      </c>
      <c r="BZ9" s="45">
        <v>619.82100000000003</v>
      </c>
      <c r="CA9" s="45">
        <v>623.82600000000002</v>
      </c>
      <c r="CB9" s="45">
        <v>627.495</v>
      </c>
      <c r="CC9" s="45">
        <v>632.65899999999999</v>
      </c>
      <c r="CD9" s="45">
        <v>640.36900000000003</v>
      </c>
      <c r="CE9" s="45">
        <v>643.10299999999995</v>
      </c>
      <c r="CF9" s="45">
        <v>646.04300000000001</v>
      </c>
      <c r="CG9" s="49">
        <v>650.53599999999994</v>
      </c>
      <c r="CH9" s="45">
        <v>652.19200000000001</v>
      </c>
      <c r="CI9" s="45">
        <v>654.55799999999999</v>
      </c>
      <c r="CJ9" s="45">
        <v>659.14700000000005</v>
      </c>
      <c r="CK9" s="45">
        <v>662.05799999999999</v>
      </c>
      <c r="CL9" s="45">
        <v>665.65300000000002</v>
      </c>
      <c r="CM9" s="45">
        <v>669.58799999999997</v>
      </c>
      <c r="CN9" s="45">
        <v>673.34100000000001</v>
      </c>
      <c r="CO9" s="45">
        <v>677.29</v>
      </c>
      <c r="CP9" s="45">
        <v>682.173</v>
      </c>
      <c r="CQ9" s="45">
        <v>686.04300000000001</v>
      </c>
      <c r="CR9" s="45">
        <v>691.00099999999998</v>
      </c>
      <c r="CS9" s="49">
        <v>694.87300000000005</v>
      </c>
      <c r="CT9" s="45">
        <v>698.96600000000001</v>
      </c>
      <c r="CU9" s="45">
        <v>702.697</v>
      </c>
      <c r="CV9" s="45">
        <v>708.01199999999994</v>
      </c>
      <c r="CW9" s="45">
        <v>711.38199999999995</v>
      </c>
      <c r="CX9" s="45">
        <v>714.82600000000002</v>
      </c>
      <c r="CY9" s="45">
        <v>719.59699999999998</v>
      </c>
      <c r="CZ9" s="45">
        <v>723.92100000000005</v>
      </c>
      <c r="DA9" s="45">
        <v>729.03200000000004</v>
      </c>
      <c r="DB9" s="45">
        <v>733.53300000000002</v>
      </c>
      <c r="DC9" s="45">
        <v>738.57899999999995</v>
      </c>
      <c r="DD9" s="45">
        <v>743.55200000000002</v>
      </c>
      <c r="DE9" s="49">
        <v>749.18799999999999</v>
      </c>
      <c r="DF9" s="45">
        <v>755.51499999999999</v>
      </c>
      <c r="DG9" s="45">
        <v>765.51300000000003</v>
      </c>
      <c r="DH9" s="45">
        <v>804.25199999999995</v>
      </c>
      <c r="DI9" s="45">
        <v>805.803</v>
      </c>
      <c r="DJ9" s="45">
        <v>807.40599999999995</v>
      </c>
      <c r="DK9" s="45">
        <v>809.38699999999994</v>
      </c>
      <c r="DL9" s="45">
        <v>811.70299999999997</v>
      </c>
      <c r="DM9" s="45">
        <v>814.99099999999999</v>
      </c>
      <c r="DN9" s="45">
        <v>818.31299999999999</v>
      </c>
      <c r="DO9" s="45">
        <v>821.54100000000005</v>
      </c>
      <c r="DP9" s="45">
        <v>825.15200000000004</v>
      </c>
      <c r="DQ9" s="49">
        <v>827.50400000000002</v>
      </c>
      <c r="DR9" s="45">
        <v>831.03899999999999</v>
      </c>
      <c r="DS9" s="45">
        <v>834.73400000000004</v>
      </c>
      <c r="DT9" s="45">
        <v>840.33199999999999</v>
      </c>
      <c r="DU9" s="45">
        <v>841.57399999999996</v>
      </c>
      <c r="DV9" s="45">
        <v>842.59400000000005</v>
      </c>
      <c r="DW9" s="45">
        <v>845.23</v>
      </c>
      <c r="DX9" s="45">
        <v>848.36699999999996</v>
      </c>
      <c r="DY9" s="45">
        <v>850.94899999999996</v>
      </c>
      <c r="DZ9" s="45">
        <v>855.08199999999999</v>
      </c>
      <c r="EA9" s="45">
        <v>858.846</v>
      </c>
      <c r="EB9" s="45">
        <v>863.101</v>
      </c>
      <c r="EC9" s="49">
        <v>866.05100000000004</v>
      </c>
      <c r="ED9" s="45">
        <v>869.024</v>
      </c>
      <c r="EE9" s="45">
        <v>872.49599999999998</v>
      </c>
      <c r="EF9" s="45">
        <v>877.27700000000004</v>
      </c>
      <c r="EG9" s="45">
        <v>881.01300000000003</v>
      </c>
      <c r="EH9" s="45">
        <v>884.78300000000002</v>
      </c>
      <c r="EI9" s="45">
        <v>888.15099999999995</v>
      </c>
      <c r="EJ9" s="45">
        <v>892.88900000000001</v>
      </c>
      <c r="EK9" s="45">
        <v>898.10199999999998</v>
      </c>
      <c r="EL9" s="45">
        <v>903.41099999999994</v>
      </c>
      <c r="EM9" s="45">
        <v>908.40300000000002</v>
      </c>
      <c r="EN9" s="45">
        <v>914.9</v>
      </c>
      <c r="EO9" s="82">
        <v>918.28399999999999</v>
      </c>
      <c r="EP9" s="45">
        <v>922.97400000000005</v>
      </c>
      <c r="EQ9" s="45">
        <v>928.11199999999997</v>
      </c>
      <c r="ER9" s="45">
        <v>936.01400000000001</v>
      </c>
      <c r="ES9" s="45">
        <v>941.87300000000005</v>
      </c>
      <c r="ET9" s="45">
        <v>950.01599999999996</v>
      </c>
      <c r="EU9" s="45">
        <v>956.96900000000005</v>
      </c>
      <c r="EV9" s="45">
        <v>964.36800000000005</v>
      </c>
      <c r="EW9" s="45">
        <v>972.57299999999998</v>
      </c>
      <c r="EX9" s="45">
        <v>980.90200000000004</v>
      </c>
      <c r="EY9" s="45">
        <v>989.63699999999994</v>
      </c>
      <c r="EZ9" s="45">
        <v>1000.269</v>
      </c>
      <c r="FA9" s="82">
        <v>1008.247</v>
      </c>
      <c r="FB9" s="45">
        <v>1018.694</v>
      </c>
      <c r="FC9" s="45">
        <v>1031.7670000000001</v>
      </c>
      <c r="FD9" s="45">
        <v>1047.5239999999999</v>
      </c>
      <c r="FE9" s="45">
        <v>1061.2550000000001</v>
      </c>
      <c r="FF9" s="45">
        <v>1078.779</v>
      </c>
      <c r="FG9" s="45">
        <v>1099.037</v>
      </c>
      <c r="FH9" s="45">
        <v>1116.039</v>
      </c>
      <c r="FI9" s="45">
        <v>1133.085</v>
      </c>
      <c r="FJ9" s="45">
        <v>1152.069</v>
      </c>
      <c r="FK9" s="155">
        <v>1168.33</v>
      </c>
      <c r="FL9" s="155">
        <v>1185.2180000000001</v>
      </c>
      <c r="FM9" s="155">
        <v>1195.6500000000001</v>
      </c>
      <c r="FN9" s="69">
        <v>1210.4549999999999</v>
      </c>
      <c r="FO9" s="155">
        <v>1223.778</v>
      </c>
      <c r="FP9" s="155">
        <v>1239.489</v>
      </c>
      <c r="FQ9" s="155">
        <v>1255.1949999999999</v>
      </c>
      <c r="FR9" s="155">
        <v>1273.502</v>
      </c>
      <c r="FS9" s="155">
        <v>1290.627</v>
      </c>
      <c r="FT9" s="155">
        <v>1309.3689999999999</v>
      </c>
      <c r="FU9" s="178">
        <v>1327.117</v>
      </c>
      <c r="FV9" s="178">
        <v>1344.318</v>
      </c>
      <c r="FW9" s="178">
        <v>1361.9659999999999</v>
      </c>
      <c r="FX9" s="178">
        <v>1380.1969999999999</v>
      </c>
      <c r="FY9" s="180">
        <v>1392.6030000000001</v>
      </c>
      <c r="FZ9" s="178">
        <v>1409.723</v>
      </c>
      <c r="GA9" s="178">
        <v>1429.9739999999999</v>
      </c>
      <c r="GB9" s="178">
        <v>1452.008</v>
      </c>
      <c r="GC9" s="178">
        <v>1472.903</v>
      </c>
      <c r="GD9" s="178">
        <v>1495.99</v>
      </c>
      <c r="GE9" s="178">
        <v>1517.7539999999999</v>
      </c>
      <c r="GF9" s="178">
        <v>1541.3530000000001</v>
      </c>
      <c r="GG9" s="178">
        <v>1562.576</v>
      </c>
      <c r="GH9" s="178">
        <v>1586.99</v>
      </c>
      <c r="GI9" s="178">
        <v>1610.7090000000001</v>
      </c>
      <c r="GJ9" s="178">
        <v>1631.3119999999999</v>
      </c>
      <c r="GK9" s="180">
        <v>1649.1969999999999</v>
      </c>
      <c r="GL9" s="178">
        <v>1669.4960000000001</v>
      </c>
      <c r="GM9" s="178">
        <v>1692.9069999999999</v>
      </c>
      <c r="GN9" s="178">
        <v>1721.798</v>
      </c>
      <c r="GO9" s="178">
        <v>1747.373</v>
      </c>
    </row>
    <row r="10" spans="1:197" s="1" customFormat="1" ht="20.149999999999999" customHeight="1" x14ac:dyDescent="0.35">
      <c r="A10" s="31" t="s">
        <v>1627</v>
      </c>
      <c r="B10" s="45">
        <v>1.133</v>
      </c>
      <c r="C10" s="45">
        <v>1.133</v>
      </c>
      <c r="D10" s="45">
        <v>1.133</v>
      </c>
      <c r="E10" s="45">
        <v>1.133</v>
      </c>
      <c r="F10" s="45">
        <v>1.3009999999999999</v>
      </c>
      <c r="G10" s="45">
        <v>2.101</v>
      </c>
      <c r="H10" s="45">
        <v>2.2509999999999999</v>
      </c>
      <c r="I10" s="45">
        <v>2.2509999999999999</v>
      </c>
      <c r="J10" s="45">
        <v>2.2509999999999999</v>
      </c>
      <c r="K10" s="45">
        <v>2.6989999999999998</v>
      </c>
      <c r="L10" s="45">
        <v>2.75</v>
      </c>
      <c r="M10" s="49">
        <v>2.8969999999999998</v>
      </c>
      <c r="N10" s="50">
        <v>2.8969999999999998</v>
      </c>
      <c r="O10" s="45">
        <v>3.4209999999999998</v>
      </c>
      <c r="P10" s="45">
        <v>4.2380000000000004</v>
      </c>
      <c r="Q10" s="45">
        <v>10.138999999999999</v>
      </c>
      <c r="R10" s="45">
        <v>11.798</v>
      </c>
      <c r="S10" s="45">
        <v>17.247</v>
      </c>
      <c r="T10" s="45">
        <v>139.82599999999999</v>
      </c>
      <c r="U10" s="45">
        <v>140.78100000000001</v>
      </c>
      <c r="V10" s="45">
        <v>156.404</v>
      </c>
      <c r="W10" s="45">
        <v>212.83099999999999</v>
      </c>
      <c r="X10" s="45">
        <v>214.464</v>
      </c>
      <c r="Y10" s="49">
        <v>222.828</v>
      </c>
      <c r="Z10" s="50">
        <v>222.98699999999999</v>
      </c>
      <c r="AA10" s="45">
        <v>226.87100000000001</v>
      </c>
      <c r="AB10" s="45">
        <v>237.54900000000001</v>
      </c>
      <c r="AC10" s="45">
        <v>238.36199999999999</v>
      </c>
      <c r="AD10" s="45">
        <v>239.48400000000001</v>
      </c>
      <c r="AE10" s="45">
        <v>255.54900000000001</v>
      </c>
      <c r="AF10" s="45">
        <v>332.488</v>
      </c>
      <c r="AG10" s="45">
        <v>335.31599999999997</v>
      </c>
      <c r="AH10" s="45">
        <v>336.98399999999998</v>
      </c>
      <c r="AI10" s="45">
        <v>340.86500000000001</v>
      </c>
      <c r="AJ10" s="45">
        <v>349.964</v>
      </c>
      <c r="AK10" s="49">
        <v>352.09300000000002</v>
      </c>
      <c r="AL10" s="50">
        <v>357.94299999999998</v>
      </c>
      <c r="AM10" s="45">
        <v>362.40699999999998</v>
      </c>
      <c r="AN10" s="45">
        <v>465.38900000000001</v>
      </c>
      <c r="AO10" s="45">
        <v>491.91699999999997</v>
      </c>
      <c r="AP10" s="45">
        <v>503.65499999999997</v>
      </c>
      <c r="AQ10" s="45">
        <v>518.17399999999998</v>
      </c>
      <c r="AR10" s="45">
        <v>532.851</v>
      </c>
      <c r="AS10" s="45">
        <v>549.86599999999999</v>
      </c>
      <c r="AT10" s="45">
        <v>560.64099999999996</v>
      </c>
      <c r="AU10" s="45">
        <v>573.18100000000004</v>
      </c>
      <c r="AV10" s="45">
        <v>581.32299999999998</v>
      </c>
      <c r="AW10" s="49">
        <v>597.08299999999997</v>
      </c>
      <c r="AX10" s="45">
        <v>611.36500000000001</v>
      </c>
      <c r="AY10" s="45">
        <v>630.97900000000004</v>
      </c>
      <c r="AZ10" s="45">
        <v>722.92</v>
      </c>
      <c r="BA10" s="45">
        <v>738.09199999999998</v>
      </c>
      <c r="BB10" s="45">
        <v>756.10299999999995</v>
      </c>
      <c r="BC10" s="45">
        <v>797.31200000000001</v>
      </c>
      <c r="BD10" s="45">
        <v>816.40899999999999</v>
      </c>
      <c r="BE10" s="45">
        <v>832.19200000000001</v>
      </c>
      <c r="BF10" s="45">
        <v>848.96100000000001</v>
      </c>
      <c r="BG10" s="45">
        <v>865.47900000000004</v>
      </c>
      <c r="BH10" s="45">
        <v>883.91</v>
      </c>
      <c r="BI10" s="49">
        <v>924.32600000000002</v>
      </c>
      <c r="BJ10" s="45">
        <v>934.88900000000001</v>
      </c>
      <c r="BK10" s="45">
        <v>953.92499999999995</v>
      </c>
      <c r="BL10" s="45">
        <v>1074.6379999999999</v>
      </c>
      <c r="BM10" s="45">
        <v>1085.0329999999999</v>
      </c>
      <c r="BN10" s="45">
        <v>1107.5619999999999</v>
      </c>
      <c r="BO10" s="45">
        <v>1172.73</v>
      </c>
      <c r="BP10" s="45">
        <v>1202.5719999999999</v>
      </c>
      <c r="BQ10" s="45">
        <v>1239.7239999999999</v>
      </c>
      <c r="BR10" s="45">
        <v>1285.2750000000001</v>
      </c>
      <c r="BS10" s="45">
        <v>1362.4469999999999</v>
      </c>
      <c r="BT10" s="45">
        <v>1446.28</v>
      </c>
      <c r="BU10" s="49">
        <v>1946.8679999999999</v>
      </c>
      <c r="BV10" s="45">
        <v>2016.425</v>
      </c>
      <c r="BW10" s="45">
        <v>2077.5039999999999</v>
      </c>
      <c r="BX10" s="45">
        <v>2594.48</v>
      </c>
      <c r="BY10" s="45">
        <v>2639.2689999999998</v>
      </c>
      <c r="BZ10" s="45">
        <v>2671.1950000000002</v>
      </c>
      <c r="CA10" s="45">
        <v>2823.7759999999998</v>
      </c>
      <c r="CB10" s="45">
        <v>2838.0010000000002</v>
      </c>
      <c r="CC10" s="45">
        <v>2866.4549999999999</v>
      </c>
      <c r="CD10" s="45">
        <v>2893.6729999999998</v>
      </c>
      <c r="CE10" s="45">
        <v>2919.6559999999999</v>
      </c>
      <c r="CF10" s="45">
        <v>2950.692</v>
      </c>
      <c r="CG10" s="49">
        <v>2991.2130000000002</v>
      </c>
      <c r="CH10" s="45">
        <v>2999.8029999999999</v>
      </c>
      <c r="CI10" s="45">
        <v>3051.895</v>
      </c>
      <c r="CJ10" s="45">
        <v>3415.6039999999998</v>
      </c>
      <c r="CK10" s="45">
        <v>3425.53</v>
      </c>
      <c r="CL10" s="45">
        <v>3432.2150000000001</v>
      </c>
      <c r="CM10" s="45">
        <v>3437.442</v>
      </c>
      <c r="CN10" s="45">
        <v>3446.7240000000002</v>
      </c>
      <c r="CO10" s="45">
        <v>3452.1819999999998</v>
      </c>
      <c r="CP10" s="45">
        <v>3455.7570000000001</v>
      </c>
      <c r="CQ10" s="45">
        <v>3458.1979999999999</v>
      </c>
      <c r="CR10" s="45">
        <v>3460.1170000000002</v>
      </c>
      <c r="CS10" s="49">
        <v>3461.2530000000002</v>
      </c>
      <c r="CT10" s="45">
        <v>3462.8960000000002</v>
      </c>
      <c r="CU10" s="45">
        <v>3463.652</v>
      </c>
      <c r="CV10" s="45">
        <v>3466.78</v>
      </c>
      <c r="CW10" s="45">
        <v>3469.5630000000001</v>
      </c>
      <c r="CX10" s="45">
        <v>3473.7890000000002</v>
      </c>
      <c r="CY10" s="45">
        <v>3480.2959999999998</v>
      </c>
      <c r="CZ10" s="45">
        <v>3483.0189999999998</v>
      </c>
      <c r="DA10" s="45">
        <v>3485.52</v>
      </c>
      <c r="DB10" s="45">
        <v>3487.9349999999999</v>
      </c>
      <c r="DC10" s="45">
        <v>3490.0329999999999</v>
      </c>
      <c r="DD10" s="45">
        <v>3499.0149999999999</v>
      </c>
      <c r="DE10" s="49">
        <v>3507.319</v>
      </c>
      <c r="DF10" s="45">
        <v>3510.288</v>
      </c>
      <c r="DG10" s="45">
        <v>3513.8760000000002</v>
      </c>
      <c r="DH10" s="45">
        <v>3517.9679999999998</v>
      </c>
      <c r="DI10" s="45">
        <v>3530.623</v>
      </c>
      <c r="DJ10" s="45">
        <v>3531.33</v>
      </c>
      <c r="DK10" s="45">
        <v>3533.5749999999998</v>
      </c>
      <c r="DL10" s="45">
        <v>3536.1660000000002</v>
      </c>
      <c r="DM10" s="45">
        <v>3542.9279999999999</v>
      </c>
      <c r="DN10" s="45">
        <v>3557.806</v>
      </c>
      <c r="DO10" s="45">
        <v>3558.94</v>
      </c>
      <c r="DP10" s="45">
        <v>3559.7</v>
      </c>
      <c r="DQ10" s="49">
        <v>3561.326</v>
      </c>
      <c r="DR10" s="45">
        <v>3570.076</v>
      </c>
      <c r="DS10" s="45">
        <v>3570.6759999999999</v>
      </c>
      <c r="DT10" s="45">
        <v>3573.0639999999999</v>
      </c>
      <c r="DU10" s="45">
        <v>3574.5149999999999</v>
      </c>
      <c r="DV10" s="45">
        <v>3574.7689999999998</v>
      </c>
      <c r="DW10" s="45">
        <v>3574.9189999999999</v>
      </c>
      <c r="DX10" s="45">
        <v>3581.7689999999998</v>
      </c>
      <c r="DY10" s="45">
        <v>3582.5189999999998</v>
      </c>
      <c r="DZ10" s="45">
        <v>3583.0189999999998</v>
      </c>
      <c r="EA10" s="45">
        <v>3586.9690000000001</v>
      </c>
      <c r="EB10" s="45">
        <v>3588.9189999999999</v>
      </c>
      <c r="EC10" s="49">
        <v>3592.2689999999998</v>
      </c>
      <c r="ED10" s="45">
        <v>3592.8440000000001</v>
      </c>
      <c r="EE10" s="45">
        <v>3594.6439999999998</v>
      </c>
      <c r="EF10" s="45">
        <v>3595.194</v>
      </c>
      <c r="EG10" s="45">
        <v>3595.5439999999999</v>
      </c>
      <c r="EH10" s="45">
        <v>3596.694</v>
      </c>
      <c r="EI10" s="45">
        <v>3598.0940000000001</v>
      </c>
      <c r="EJ10" s="45">
        <v>3604.2139999999999</v>
      </c>
      <c r="EK10" s="45">
        <v>3605.7919999999999</v>
      </c>
      <c r="EL10" s="45">
        <v>3612.9870000000001</v>
      </c>
      <c r="EM10" s="45">
        <v>3616.8519999999999</v>
      </c>
      <c r="EN10" s="45">
        <v>3619.3519999999999</v>
      </c>
      <c r="EO10" s="82">
        <v>3623.5369999999998</v>
      </c>
      <c r="EP10" s="45">
        <v>3643.49</v>
      </c>
      <c r="EQ10" s="45">
        <v>3646.9650000000001</v>
      </c>
      <c r="ER10" s="45">
        <v>3653.2869999999998</v>
      </c>
      <c r="ES10" s="45">
        <v>3664.8490000000002</v>
      </c>
      <c r="ET10" s="45">
        <v>3672.1779999999999</v>
      </c>
      <c r="EU10" s="45">
        <v>3675.8029999999999</v>
      </c>
      <c r="EV10" s="45">
        <v>3682.64</v>
      </c>
      <c r="EW10" s="45">
        <v>3684.0010000000002</v>
      </c>
      <c r="EX10" s="45">
        <v>3687.424</v>
      </c>
      <c r="EY10" s="45">
        <v>3693.607</v>
      </c>
      <c r="EZ10" s="45">
        <v>3698.7350000000001</v>
      </c>
      <c r="FA10" s="82">
        <v>3706.4720000000002</v>
      </c>
      <c r="FB10" s="45">
        <v>3709.1469999999999</v>
      </c>
      <c r="FC10" s="45">
        <v>3714.6</v>
      </c>
      <c r="FD10" s="45">
        <v>3723.1669999999999</v>
      </c>
      <c r="FE10" s="45">
        <v>3728.4560000000001</v>
      </c>
      <c r="FF10" s="45">
        <v>3733.4789999999998</v>
      </c>
      <c r="FG10" s="45">
        <v>3740.971</v>
      </c>
      <c r="FH10" s="45">
        <v>3750.357</v>
      </c>
      <c r="FI10" s="45">
        <v>3755.741</v>
      </c>
      <c r="FJ10" s="45">
        <v>3765.0120000000002</v>
      </c>
      <c r="FK10" s="155">
        <v>3776.3580000000002</v>
      </c>
      <c r="FL10" s="155">
        <v>3782.384</v>
      </c>
      <c r="FM10" s="155">
        <v>3785.9659999999999</v>
      </c>
      <c r="FN10" s="69">
        <v>3802.7370000000001</v>
      </c>
      <c r="FO10" s="155">
        <v>3807.9560000000001</v>
      </c>
      <c r="FP10" s="155">
        <v>3818.98</v>
      </c>
      <c r="FQ10" s="155">
        <v>3821.9609999999998</v>
      </c>
      <c r="FR10" s="155">
        <v>3830.058</v>
      </c>
      <c r="FS10" s="155">
        <v>3837.259</v>
      </c>
      <c r="FT10" s="155">
        <v>3846.201</v>
      </c>
      <c r="FU10" s="178">
        <v>3849.971</v>
      </c>
      <c r="FV10" s="178">
        <v>3853.663</v>
      </c>
      <c r="FW10" s="178">
        <v>3858.93</v>
      </c>
      <c r="FX10" s="178">
        <v>3864.069</v>
      </c>
      <c r="FY10" s="180">
        <v>3865.069</v>
      </c>
      <c r="FZ10" s="178">
        <v>3866.4960000000001</v>
      </c>
      <c r="GA10" s="178">
        <v>3869.3339999999998</v>
      </c>
      <c r="GB10" s="178">
        <v>3871.53</v>
      </c>
      <c r="GC10" s="178">
        <v>3872.93</v>
      </c>
      <c r="GD10" s="178">
        <v>3876.1179999999999</v>
      </c>
      <c r="GE10" s="178">
        <v>3878.569</v>
      </c>
      <c r="GF10" s="178">
        <v>3883.7689999999998</v>
      </c>
      <c r="GG10" s="178">
        <v>3885.5189999999998</v>
      </c>
      <c r="GH10" s="178">
        <v>3887.6689999999999</v>
      </c>
      <c r="GI10" s="178">
        <v>3890.4690000000001</v>
      </c>
      <c r="GJ10" s="178">
        <v>3891.9690000000001</v>
      </c>
      <c r="GK10" s="180">
        <v>3894.8690000000001</v>
      </c>
      <c r="GL10" s="178">
        <v>3895.7190000000001</v>
      </c>
      <c r="GM10" s="178">
        <v>3897.1689999999999</v>
      </c>
      <c r="GN10" s="178">
        <v>3898.7689999999998</v>
      </c>
      <c r="GO10" s="178">
        <v>3900.1689999999999</v>
      </c>
    </row>
    <row r="11" spans="1:197" s="1" customFormat="1" ht="20.149999999999999" customHeight="1" x14ac:dyDescent="0.35">
      <c r="A11" s="31" t="s">
        <v>1624</v>
      </c>
      <c r="B11" s="45">
        <v>0</v>
      </c>
      <c r="C11" s="45">
        <v>0</v>
      </c>
      <c r="D11" s="45">
        <v>0</v>
      </c>
      <c r="E11" s="45">
        <v>0</v>
      </c>
      <c r="F11" s="45">
        <v>0</v>
      </c>
      <c r="G11" s="45">
        <v>0</v>
      </c>
      <c r="H11" s="45">
        <v>0</v>
      </c>
      <c r="I11" s="45">
        <v>0</v>
      </c>
      <c r="J11" s="45">
        <v>0</v>
      </c>
      <c r="K11" s="45">
        <v>0</v>
      </c>
      <c r="L11" s="45">
        <v>0</v>
      </c>
      <c r="M11" s="49">
        <v>0</v>
      </c>
      <c r="N11" s="50">
        <v>0</v>
      </c>
      <c r="O11" s="45">
        <v>0</v>
      </c>
      <c r="P11" s="45">
        <v>0</v>
      </c>
      <c r="Q11" s="45">
        <v>0</v>
      </c>
      <c r="R11" s="45">
        <v>0</v>
      </c>
      <c r="S11" s="45">
        <v>0</v>
      </c>
      <c r="T11" s="45">
        <v>0</v>
      </c>
      <c r="U11" s="45">
        <v>0</v>
      </c>
      <c r="V11" s="45">
        <v>0</v>
      </c>
      <c r="W11" s="45">
        <v>0</v>
      </c>
      <c r="X11" s="45">
        <v>0</v>
      </c>
      <c r="Y11" s="49">
        <v>0</v>
      </c>
      <c r="Z11" s="50">
        <v>6</v>
      </c>
      <c r="AA11" s="45">
        <v>6</v>
      </c>
      <c r="AB11" s="45">
        <v>6</v>
      </c>
      <c r="AC11" s="45">
        <v>6</v>
      </c>
      <c r="AD11" s="45">
        <v>6</v>
      </c>
      <c r="AE11" s="45">
        <v>6</v>
      </c>
      <c r="AF11" s="45">
        <v>6</v>
      </c>
      <c r="AG11" s="45">
        <v>6</v>
      </c>
      <c r="AH11" s="45">
        <v>6</v>
      </c>
      <c r="AI11" s="45">
        <v>6</v>
      </c>
      <c r="AJ11" s="45">
        <v>6</v>
      </c>
      <c r="AK11" s="49">
        <v>6</v>
      </c>
      <c r="AL11" s="50">
        <v>6</v>
      </c>
      <c r="AM11" s="45">
        <v>45.012</v>
      </c>
      <c r="AN11" s="45">
        <v>272.49900000000002</v>
      </c>
      <c r="AO11" s="45">
        <v>272.49900000000002</v>
      </c>
      <c r="AP11" s="45">
        <v>296.28300000000002</v>
      </c>
      <c r="AQ11" s="45">
        <v>349.51299999999998</v>
      </c>
      <c r="AR11" s="45">
        <v>349.51299999999998</v>
      </c>
      <c r="AS11" s="45">
        <v>368.68799999999999</v>
      </c>
      <c r="AT11" s="45">
        <v>368.68799999999999</v>
      </c>
      <c r="AU11" s="45">
        <v>368.68799999999999</v>
      </c>
      <c r="AV11" s="45">
        <v>423.68799999999999</v>
      </c>
      <c r="AW11" s="49">
        <v>445.23200000000003</v>
      </c>
      <c r="AX11" s="45">
        <v>522.36</v>
      </c>
      <c r="AY11" s="45">
        <v>554.51599999999996</v>
      </c>
      <c r="AZ11" s="45">
        <v>1400.913</v>
      </c>
      <c r="BA11" s="45">
        <v>1409.904</v>
      </c>
      <c r="BB11" s="45">
        <v>1460.3620000000001</v>
      </c>
      <c r="BC11" s="45">
        <v>1515.2339999999999</v>
      </c>
      <c r="BD11" s="45">
        <v>1588.1410000000001</v>
      </c>
      <c r="BE11" s="45">
        <v>1594.2139999999999</v>
      </c>
      <c r="BF11" s="45">
        <v>1661.1849999999999</v>
      </c>
      <c r="BG11" s="45">
        <v>1701.164</v>
      </c>
      <c r="BH11" s="45">
        <v>1774.3140000000001</v>
      </c>
      <c r="BI11" s="49">
        <v>1893.9839999999999</v>
      </c>
      <c r="BJ11" s="45">
        <v>1953.204</v>
      </c>
      <c r="BK11" s="45">
        <v>2058.9949999999999</v>
      </c>
      <c r="BL11" s="45">
        <v>3562.9409999999998</v>
      </c>
      <c r="BM11" s="45">
        <v>3562.9409999999998</v>
      </c>
      <c r="BN11" s="45">
        <v>3562.9409999999998</v>
      </c>
      <c r="BO11" s="45">
        <v>3568.5610000000001</v>
      </c>
      <c r="BP11" s="45">
        <v>3579.6120000000001</v>
      </c>
      <c r="BQ11" s="45">
        <v>3613.9259999999999</v>
      </c>
      <c r="BR11" s="45">
        <v>3613.9259999999999</v>
      </c>
      <c r="BS11" s="45">
        <v>3644.4180000000001</v>
      </c>
      <c r="BT11" s="45">
        <v>3686.7640000000001</v>
      </c>
      <c r="BU11" s="49">
        <v>3741.6669999999999</v>
      </c>
      <c r="BV11" s="45">
        <v>3768.7379999999998</v>
      </c>
      <c r="BW11" s="45">
        <v>3801.6080000000002</v>
      </c>
      <c r="BX11" s="45">
        <v>4031.6930000000002</v>
      </c>
      <c r="BY11" s="45">
        <v>4042.3130000000001</v>
      </c>
      <c r="BZ11" s="45">
        <v>4042.3130000000001</v>
      </c>
      <c r="CA11" s="45">
        <v>4094.1529999999998</v>
      </c>
      <c r="CB11" s="45">
        <v>4108.7529999999997</v>
      </c>
      <c r="CC11" s="45">
        <v>4128.1530000000002</v>
      </c>
      <c r="CD11" s="45">
        <v>4128.1530000000002</v>
      </c>
      <c r="CE11" s="45">
        <v>4133.1530000000002</v>
      </c>
      <c r="CF11" s="45">
        <v>4133.1530000000002</v>
      </c>
      <c r="CG11" s="49">
        <v>4158.1530000000002</v>
      </c>
      <c r="CH11" s="45">
        <v>4180.1530000000002</v>
      </c>
      <c r="CI11" s="45">
        <v>4185.1530000000002</v>
      </c>
      <c r="CJ11" s="45">
        <v>4284.7929999999997</v>
      </c>
      <c r="CK11" s="45">
        <v>4284.7929999999997</v>
      </c>
      <c r="CL11" s="45">
        <v>4284.7929999999997</v>
      </c>
      <c r="CM11" s="45">
        <v>4284.7929999999997</v>
      </c>
      <c r="CN11" s="45">
        <v>4293.3329999999996</v>
      </c>
      <c r="CO11" s="45">
        <v>4293.3329999999996</v>
      </c>
      <c r="CP11" s="45">
        <v>4293.3329999999996</v>
      </c>
      <c r="CQ11" s="45">
        <v>4304.0330000000004</v>
      </c>
      <c r="CR11" s="45">
        <v>4304.0330000000004</v>
      </c>
      <c r="CS11" s="49">
        <v>4304.0330000000004</v>
      </c>
      <c r="CT11" s="45">
        <v>4304.0330000000004</v>
      </c>
      <c r="CU11" s="45">
        <v>4304.0330000000004</v>
      </c>
      <c r="CV11" s="45">
        <v>4304.0330000000004</v>
      </c>
      <c r="CW11" s="45">
        <v>4304.0330000000004</v>
      </c>
      <c r="CX11" s="45">
        <v>4304.0330000000004</v>
      </c>
      <c r="CY11" s="45">
        <v>4304.0330000000004</v>
      </c>
      <c r="CZ11" s="45">
        <v>4304.0330000000004</v>
      </c>
      <c r="DA11" s="45">
        <v>4304.0330000000004</v>
      </c>
      <c r="DB11" s="45">
        <v>4304.0330000000004</v>
      </c>
      <c r="DC11" s="45">
        <v>4311.5330000000004</v>
      </c>
      <c r="DD11" s="45">
        <v>4311.5330000000004</v>
      </c>
      <c r="DE11" s="49">
        <v>4316.5330000000004</v>
      </c>
      <c r="DF11" s="45">
        <v>4331.183</v>
      </c>
      <c r="DG11" s="45">
        <v>4331.183</v>
      </c>
      <c r="DH11" s="45">
        <v>4331.183</v>
      </c>
      <c r="DI11" s="45">
        <v>4331.183</v>
      </c>
      <c r="DJ11" s="45">
        <v>4331.183</v>
      </c>
      <c r="DK11" s="45">
        <v>4331.183</v>
      </c>
      <c r="DL11" s="45">
        <v>4338.3829999999998</v>
      </c>
      <c r="DM11" s="45">
        <v>4338.3829999999998</v>
      </c>
      <c r="DN11" s="45">
        <v>4347.5829999999996</v>
      </c>
      <c r="DO11" s="45">
        <v>4347.5829999999996</v>
      </c>
      <c r="DP11" s="45">
        <v>4347.5829999999996</v>
      </c>
      <c r="DQ11" s="49">
        <v>4347.5829999999996</v>
      </c>
      <c r="DR11" s="45">
        <v>4366.8909999999996</v>
      </c>
      <c r="DS11" s="45">
        <v>4371.8909999999996</v>
      </c>
      <c r="DT11" s="45">
        <v>4371.8909999999996</v>
      </c>
      <c r="DU11" s="45">
        <v>4371.8909999999996</v>
      </c>
      <c r="DV11" s="45">
        <v>4380.7910000000002</v>
      </c>
      <c r="DW11" s="45">
        <v>4380.7910000000002</v>
      </c>
      <c r="DX11" s="45">
        <v>4380.7910000000002</v>
      </c>
      <c r="DY11" s="45">
        <v>4385.7910000000002</v>
      </c>
      <c r="DZ11" s="45">
        <v>4385.7910000000002</v>
      </c>
      <c r="EA11" s="45">
        <v>4385.7910000000002</v>
      </c>
      <c r="EB11" s="45">
        <v>4385.7910000000002</v>
      </c>
      <c r="EC11" s="49">
        <v>4397.8159999999998</v>
      </c>
      <c r="ED11" s="45">
        <v>4405.8159999999998</v>
      </c>
      <c r="EE11" s="45">
        <v>4405.8159999999998</v>
      </c>
      <c r="EF11" s="45">
        <v>4413.8159999999998</v>
      </c>
      <c r="EG11" s="45">
        <v>4413.8159999999998</v>
      </c>
      <c r="EH11" s="45">
        <v>4420.8159999999998</v>
      </c>
      <c r="EI11" s="45">
        <v>4434.8159999999998</v>
      </c>
      <c r="EJ11" s="45">
        <v>4434.8159999999998</v>
      </c>
      <c r="EK11" s="45">
        <v>4434.8159999999998</v>
      </c>
      <c r="EL11" s="45">
        <v>4434.8159999999998</v>
      </c>
      <c r="EM11" s="45">
        <v>4434.8159999999998</v>
      </c>
      <c r="EN11" s="45">
        <v>4434.8159999999998</v>
      </c>
      <c r="EO11" s="82">
        <v>4434.8159999999998</v>
      </c>
      <c r="EP11" s="45">
        <v>4477.4430000000002</v>
      </c>
      <c r="EQ11" s="45">
        <v>4477.4430000000002</v>
      </c>
      <c r="ER11" s="45">
        <v>4482.4430000000002</v>
      </c>
      <c r="ES11" s="45">
        <v>4482.4430000000002</v>
      </c>
      <c r="ET11" s="45">
        <v>4482.4430000000002</v>
      </c>
      <c r="EU11" s="45">
        <v>4482.4430000000002</v>
      </c>
      <c r="EV11" s="45">
        <v>4497.6130000000003</v>
      </c>
      <c r="EW11" s="45">
        <v>4497.6130000000003</v>
      </c>
      <c r="EX11" s="45">
        <v>4520.6130000000003</v>
      </c>
      <c r="EY11" s="45">
        <v>4520.6130000000003</v>
      </c>
      <c r="EZ11" s="45">
        <v>4520.6130000000003</v>
      </c>
      <c r="FA11" s="82">
        <v>4529.643</v>
      </c>
      <c r="FB11" s="45">
        <v>4566.643</v>
      </c>
      <c r="FC11" s="45">
        <v>4576.5429999999997</v>
      </c>
      <c r="FD11" s="45">
        <v>4597.0929999999998</v>
      </c>
      <c r="FE11" s="45">
        <v>4602.0929999999998</v>
      </c>
      <c r="FF11" s="45">
        <v>4602.0929999999998</v>
      </c>
      <c r="FG11" s="45">
        <v>4602.0929999999998</v>
      </c>
      <c r="FH11" s="45">
        <v>4602.0929999999998</v>
      </c>
      <c r="FI11" s="45">
        <v>4602.0929999999998</v>
      </c>
      <c r="FJ11" s="45">
        <v>4611.7830000000004</v>
      </c>
      <c r="FK11" s="155">
        <v>4668.933</v>
      </c>
      <c r="FL11" s="155">
        <v>4688.933</v>
      </c>
      <c r="FM11" s="155">
        <v>4688.933</v>
      </c>
      <c r="FN11" s="69">
        <v>4740.7079999999996</v>
      </c>
      <c r="FO11" s="155">
        <v>4740.7079999999996</v>
      </c>
      <c r="FP11" s="155">
        <v>4810.3419999999996</v>
      </c>
      <c r="FQ11" s="155">
        <v>4866.5919999999996</v>
      </c>
      <c r="FR11" s="67">
        <v>4866.5919999999996</v>
      </c>
      <c r="FS11" s="67">
        <v>4909.982</v>
      </c>
      <c r="FT11" s="67">
        <v>4909.982</v>
      </c>
      <c r="FU11" s="178">
        <v>4909.982</v>
      </c>
      <c r="FV11" s="178">
        <v>4909.982</v>
      </c>
      <c r="FW11" s="178">
        <v>4933.2139999999999</v>
      </c>
      <c r="FX11" s="178">
        <v>4933.2139999999999</v>
      </c>
      <c r="FY11" s="180">
        <v>4943.2139999999999</v>
      </c>
      <c r="FZ11" s="178">
        <v>5006.99</v>
      </c>
      <c r="GA11" s="178">
        <v>5016.99</v>
      </c>
      <c r="GB11" s="178">
        <v>5016.99</v>
      </c>
      <c r="GC11" s="178">
        <v>5016.99</v>
      </c>
      <c r="GD11" s="178">
        <v>5016.99</v>
      </c>
      <c r="GE11" s="178">
        <v>5058.99</v>
      </c>
      <c r="GF11" s="178">
        <v>5058.99</v>
      </c>
      <c r="GG11" s="178">
        <v>5076.99</v>
      </c>
      <c r="GH11" s="178">
        <v>5076.99</v>
      </c>
      <c r="GI11" s="178">
        <v>5083.9399999999996</v>
      </c>
      <c r="GJ11" s="178">
        <v>5083.9399999999996</v>
      </c>
      <c r="GK11" s="180">
        <v>5083.9399999999996</v>
      </c>
      <c r="GL11" s="178">
        <v>5083.9399999999996</v>
      </c>
      <c r="GM11" s="178">
        <v>5083.9399999999996</v>
      </c>
      <c r="GN11" s="178">
        <v>5083.9399999999996</v>
      </c>
      <c r="GO11" s="178">
        <v>5083.9399999999996</v>
      </c>
    </row>
    <row r="12" spans="1:197" s="1" customFormat="1" ht="20.149999999999999" customHeight="1" x14ac:dyDescent="0.4">
      <c r="A12" s="31" t="s">
        <v>1628</v>
      </c>
      <c r="B12" s="46">
        <v>0</v>
      </c>
      <c r="C12" s="46">
        <v>0</v>
      </c>
      <c r="D12" s="46">
        <v>0</v>
      </c>
      <c r="E12" s="46">
        <v>0</v>
      </c>
      <c r="F12" s="46">
        <v>0</v>
      </c>
      <c r="G12" s="46">
        <v>0</v>
      </c>
      <c r="H12" s="46">
        <v>0</v>
      </c>
      <c r="I12" s="46">
        <v>0</v>
      </c>
      <c r="J12" s="46">
        <v>0</v>
      </c>
      <c r="K12" s="46">
        <v>0</v>
      </c>
      <c r="L12" s="46">
        <v>0</v>
      </c>
      <c r="M12" s="48">
        <v>0</v>
      </c>
      <c r="N12" s="47">
        <v>0</v>
      </c>
      <c r="O12" s="46">
        <v>0</v>
      </c>
      <c r="P12" s="46">
        <v>0</v>
      </c>
      <c r="Q12" s="46">
        <v>0</v>
      </c>
      <c r="R12" s="46">
        <v>0</v>
      </c>
      <c r="S12" s="46">
        <v>0</v>
      </c>
      <c r="T12" s="46">
        <v>0</v>
      </c>
      <c r="U12" s="46">
        <v>0</v>
      </c>
      <c r="V12" s="46">
        <v>0</v>
      </c>
      <c r="W12" s="46">
        <v>0</v>
      </c>
      <c r="X12" s="46">
        <v>0</v>
      </c>
      <c r="Y12" s="48">
        <v>0</v>
      </c>
      <c r="Z12" s="47">
        <v>0</v>
      </c>
      <c r="AA12" s="46">
        <v>0</v>
      </c>
      <c r="AB12" s="46">
        <v>0</v>
      </c>
      <c r="AC12" s="46">
        <v>0</v>
      </c>
      <c r="AD12" s="46">
        <v>0</v>
      </c>
      <c r="AE12" s="46">
        <v>0</v>
      </c>
      <c r="AF12" s="46">
        <v>0</v>
      </c>
      <c r="AG12" s="46">
        <v>0</v>
      </c>
      <c r="AH12" s="46">
        <v>0</v>
      </c>
      <c r="AI12" s="46">
        <v>0</v>
      </c>
      <c r="AJ12" s="46">
        <v>0</v>
      </c>
      <c r="AK12" s="48">
        <v>0</v>
      </c>
      <c r="AL12" s="47">
        <v>0</v>
      </c>
      <c r="AM12" s="46">
        <v>0</v>
      </c>
      <c r="AN12" s="46">
        <v>34.47</v>
      </c>
      <c r="AO12" s="46">
        <v>34.47</v>
      </c>
      <c r="AP12" s="46">
        <v>34.47</v>
      </c>
      <c r="AQ12" s="46">
        <v>34.47</v>
      </c>
      <c r="AR12" s="46">
        <v>34.47</v>
      </c>
      <c r="AS12" s="46">
        <v>34.47</v>
      </c>
      <c r="AT12" s="46">
        <v>34.47</v>
      </c>
      <c r="AU12" s="46">
        <v>34.47</v>
      </c>
      <c r="AV12" s="46">
        <v>34.47</v>
      </c>
      <c r="AW12" s="48">
        <v>34.47</v>
      </c>
      <c r="AX12" s="46">
        <v>34.47</v>
      </c>
      <c r="AY12" s="46">
        <v>66.171000000000006</v>
      </c>
      <c r="AZ12" s="46">
        <v>97.760999999999996</v>
      </c>
      <c r="BA12" s="46">
        <v>129.77099999999999</v>
      </c>
      <c r="BB12" s="46">
        <v>129.77099999999999</v>
      </c>
      <c r="BC12" s="46">
        <v>129.77099999999999</v>
      </c>
      <c r="BD12" s="46">
        <v>162.221</v>
      </c>
      <c r="BE12" s="46">
        <v>162.221</v>
      </c>
      <c r="BF12" s="46">
        <v>236.06399999999999</v>
      </c>
      <c r="BG12" s="46">
        <v>296.745</v>
      </c>
      <c r="BH12" s="46">
        <v>296.745</v>
      </c>
      <c r="BI12" s="48">
        <v>383.32100000000003</v>
      </c>
      <c r="BJ12" s="46">
        <v>383.32100000000003</v>
      </c>
      <c r="BK12" s="46">
        <v>383.32100000000003</v>
      </c>
      <c r="BL12" s="46">
        <v>1064.317</v>
      </c>
      <c r="BM12" s="46">
        <v>1064.317</v>
      </c>
      <c r="BN12" s="46">
        <v>1064.317</v>
      </c>
      <c r="BO12" s="46">
        <v>1064.317</v>
      </c>
      <c r="BP12" s="46">
        <v>1064.317</v>
      </c>
      <c r="BQ12" s="46">
        <v>1064.317</v>
      </c>
      <c r="BR12" s="46">
        <v>1064.317</v>
      </c>
      <c r="BS12" s="46">
        <v>1064.317</v>
      </c>
      <c r="BT12" s="46">
        <v>1064.317</v>
      </c>
      <c r="BU12" s="48">
        <v>1064.317</v>
      </c>
      <c r="BV12" s="46">
        <v>1102.317</v>
      </c>
      <c r="BW12" s="46">
        <v>1102.317</v>
      </c>
      <c r="BX12" s="46">
        <v>1507.117</v>
      </c>
      <c r="BY12" s="46">
        <v>1507.117</v>
      </c>
      <c r="BZ12" s="46">
        <v>1507.117</v>
      </c>
      <c r="CA12" s="46">
        <v>1507.117</v>
      </c>
      <c r="CB12" s="46">
        <v>1507.117</v>
      </c>
      <c r="CC12" s="46">
        <v>1507.117</v>
      </c>
      <c r="CD12" s="46">
        <v>1507.117</v>
      </c>
      <c r="CE12" s="46">
        <v>1507.117</v>
      </c>
      <c r="CF12" s="46">
        <v>1507.117</v>
      </c>
      <c r="CG12" s="48">
        <v>1507.117</v>
      </c>
      <c r="CH12" s="45">
        <v>1507.117</v>
      </c>
      <c r="CI12" s="45">
        <v>1507.117</v>
      </c>
      <c r="CJ12" s="45">
        <v>1507.117</v>
      </c>
      <c r="CK12" s="45">
        <v>1507.117</v>
      </c>
      <c r="CL12" s="45">
        <v>1507.117</v>
      </c>
      <c r="CM12" s="45">
        <v>1507.117</v>
      </c>
      <c r="CN12" s="45">
        <v>1507.117</v>
      </c>
      <c r="CO12" s="45">
        <v>1507.117</v>
      </c>
      <c r="CP12" s="45">
        <v>1507.117</v>
      </c>
      <c r="CQ12" s="45">
        <v>1507.117</v>
      </c>
      <c r="CR12" s="45">
        <v>1507.117</v>
      </c>
      <c r="CS12" s="49">
        <v>1507.117</v>
      </c>
      <c r="CT12" s="45">
        <v>1507.117</v>
      </c>
      <c r="CU12" s="45">
        <v>1507.117</v>
      </c>
      <c r="CV12" s="45">
        <v>1507.117</v>
      </c>
      <c r="CW12" s="45">
        <v>1507.117</v>
      </c>
      <c r="CX12" s="45">
        <v>1507.117</v>
      </c>
      <c r="CY12" s="45">
        <v>1507.117</v>
      </c>
      <c r="CZ12" s="45">
        <v>1507.117</v>
      </c>
      <c r="DA12" s="45">
        <v>1507.117</v>
      </c>
      <c r="DB12" s="45">
        <v>1507.117</v>
      </c>
      <c r="DC12" s="45">
        <v>1507.117</v>
      </c>
      <c r="DD12" s="46">
        <v>1507.117</v>
      </c>
      <c r="DE12" s="48">
        <v>1507.117</v>
      </c>
      <c r="DF12" s="45">
        <v>1557.105</v>
      </c>
      <c r="DG12" s="45">
        <v>1557.105</v>
      </c>
      <c r="DH12" s="46">
        <v>1557.105</v>
      </c>
      <c r="DI12" s="45">
        <v>1557.105</v>
      </c>
      <c r="DJ12" s="45">
        <v>1557.105</v>
      </c>
      <c r="DK12" s="45">
        <v>1557.105</v>
      </c>
      <c r="DL12" s="46">
        <v>1557.105</v>
      </c>
      <c r="DM12" s="45">
        <v>1557.105</v>
      </c>
      <c r="DN12" s="45">
        <v>1557.105</v>
      </c>
      <c r="DO12" s="45">
        <v>1557.105</v>
      </c>
      <c r="DP12" s="45">
        <v>1557.105</v>
      </c>
      <c r="DQ12" s="48">
        <v>1591.8050000000001</v>
      </c>
      <c r="DR12" s="45">
        <v>1591.8050000000001</v>
      </c>
      <c r="DS12" s="45">
        <v>1591.8050000000001</v>
      </c>
      <c r="DT12" s="45">
        <v>1591.8050000000001</v>
      </c>
      <c r="DU12" s="45">
        <v>1591.8050000000001</v>
      </c>
      <c r="DV12" s="45">
        <v>1591.8050000000001</v>
      </c>
      <c r="DW12" s="45">
        <v>1591.8050000000001</v>
      </c>
      <c r="DX12" s="45">
        <v>1591.8050000000001</v>
      </c>
      <c r="DY12" s="45">
        <v>1635.0250000000001</v>
      </c>
      <c r="DZ12" s="45">
        <v>1635.0250000000001</v>
      </c>
      <c r="EA12" s="45">
        <v>1635.0250000000001</v>
      </c>
      <c r="EB12" s="45">
        <v>1635.0250000000001</v>
      </c>
      <c r="EC12" s="49">
        <v>1635.0250000000001</v>
      </c>
      <c r="ED12" s="45">
        <v>1685.0250000000001</v>
      </c>
      <c r="EE12" s="45">
        <v>1685.0250000000001</v>
      </c>
      <c r="EF12" s="45">
        <v>1809.925</v>
      </c>
      <c r="EG12" s="45">
        <v>1859.825</v>
      </c>
      <c r="EH12" s="45">
        <v>1859.825</v>
      </c>
      <c r="EI12" s="45">
        <v>1859.825</v>
      </c>
      <c r="EJ12" s="45">
        <v>1859.825</v>
      </c>
      <c r="EK12" s="45">
        <v>1859.825</v>
      </c>
      <c r="EL12" s="45">
        <v>1859.825</v>
      </c>
      <c r="EM12" s="45">
        <v>1884.825</v>
      </c>
      <c r="EN12" s="45">
        <v>1884.825</v>
      </c>
      <c r="EO12" s="82">
        <v>1884.825</v>
      </c>
      <c r="EP12" s="45">
        <v>1884.825</v>
      </c>
      <c r="EQ12" s="45">
        <v>1884.825</v>
      </c>
      <c r="ER12" s="45">
        <v>1884.825</v>
      </c>
      <c r="ES12" s="45">
        <v>1916.825</v>
      </c>
      <c r="ET12" s="45">
        <v>1916.825</v>
      </c>
      <c r="EU12" s="45">
        <v>1916.825</v>
      </c>
      <c r="EV12" s="45">
        <v>1916.825</v>
      </c>
      <c r="EW12" s="45">
        <v>1916.825</v>
      </c>
      <c r="EX12" s="45">
        <v>1916.825</v>
      </c>
      <c r="EY12" s="45">
        <v>1916.825</v>
      </c>
      <c r="EZ12" s="45">
        <v>1916.825</v>
      </c>
      <c r="FA12" s="82">
        <v>1956.825</v>
      </c>
      <c r="FB12" s="45">
        <v>1981.825</v>
      </c>
      <c r="FC12" s="45">
        <v>2007.825</v>
      </c>
      <c r="FD12" s="45">
        <v>2107.7249999999999</v>
      </c>
      <c r="FE12" s="45">
        <v>2107.7249999999999</v>
      </c>
      <c r="FF12" s="45">
        <v>2107.7249999999999</v>
      </c>
      <c r="FG12" s="45">
        <v>2107.7249999999999</v>
      </c>
      <c r="FH12" s="45">
        <v>2107.7249999999999</v>
      </c>
      <c r="FI12" s="45">
        <v>2107.7249999999999</v>
      </c>
      <c r="FJ12" s="45">
        <v>2157.625</v>
      </c>
      <c r="FK12" s="155">
        <v>2157.625</v>
      </c>
      <c r="FL12" s="155">
        <v>2157.625</v>
      </c>
      <c r="FM12" s="155">
        <v>2157.625</v>
      </c>
      <c r="FN12" s="69">
        <v>2445.3240000000001</v>
      </c>
      <c r="FO12" s="155">
        <v>2521.2240000000002</v>
      </c>
      <c r="FP12" s="155">
        <v>2592.0239999999999</v>
      </c>
      <c r="FQ12" s="155">
        <v>2687.9639999999999</v>
      </c>
      <c r="FR12" s="155">
        <v>2787.7640000000001</v>
      </c>
      <c r="FS12" s="155">
        <v>2882.7640000000001</v>
      </c>
      <c r="FT12" s="155">
        <v>2939.2139999999999</v>
      </c>
      <c r="FU12" s="178">
        <v>2939.2139999999999</v>
      </c>
      <c r="FV12" s="178">
        <v>2939.2139999999999</v>
      </c>
      <c r="FW12" s="178">
        <v>3191.114</v>
      </c>
      <c r="FX12" s="178">
        <v>3241.0140000000001</v>
      </c>
      <c r="FY12" s="180">
        <v>3276.0140000000001</v>
      </c>
      <c r="FZ12" s="178">
        <v>3489.674</v>
      </c>
      <c r="GA12" s="178">
        <v>3552.674</v>
      </c>
      <c r="GB12" s="178">
        <v>3702.3739999999998</v>
      </c>
      <c r="GC12" s="178">
        <v>3802.2739999999999</v>
      </c>
      <c r="GD12" s="178">
        <v>3902.1640000000002</v>
      </c>
      <c r="GE12" s="178">
        <v>3992.0639999999999</v>
      </c>
      <c r="GF12" s="178">
        <v>4449.9639999999999</v>
      </c>
      <c r="GG12" s="178">
        <v>4527.8639999999996</v>
      </c>
      <c r="GH12" s="178">
        <v>4595.5640000000003</v>
      </c>
      <c r="GI12" s="178">
        <v>4690.5640000000003</v>
      </c>
      <c r="GJ12" s="178">
        <v>4690.5640000000003</v>
      </c>
      <c r="GK12" s="180">
        <v>4690.5640000000003</v>
      </c>
      <c r="GL12" s="178">
        <v>4735.5640000000003</v>
      </c>
      <c r="GM12" s="178">
        <v>4735.5640000000003</v>
      </c>
      <c r="GN12" s="178">
        <v>4735.5640000000003</v>
      </c>
      <c r="GO12" s="178">
        <v>4735.5640000000003</v>
      </c>
    </row>
    <row r="13" spans="1:197" s="25" customFormat="1" ht="20.149999999999999" customHeight="1" thickBot="1" x14ac:dyDescent="0.4">
      <c r="A13" s="32" t="s">
        <v>267</v>
      </c>
      <c r="B13" s="51">
        <f>SUM(B7:B12)</f>
        <v>14.225999999999999</v>
      </c>
      <c r="C13" s="52">
        <f t="shared" ref="C13:BN13" si="0">SUM(C7:C12)</f>
        <v>15.641999999999999</v>
      </c>
      <c r="D13" s="52">
        <f t="shared" si="0"/>
        <v>18.135999999999999</v>
      </c>
      <c r="E13" s="52">
        <f t="shared" si="0"/>
        <v>20.780999999999999</v>
      </c>
      <c r="F13" s="52">
        <f t="shared" si="0"/>
        <v>25.078999999999997</v>
      </c>
      <c r="G13" s="52">
        <f t="shared" si="0"/>
        <v>30.692</v>
      </c>
      <c r="H13" s="52">
        <f t="shared" si="0"/>
        <v>36.567999999999998</v>
      </c>
      <c r="I13" s="52">
        <f t="shared" si="0"/>
        <v>42.388999999999996</v>
      </c>
      <c r="J13" s="52">
        <f t="shared" si="0"/>
        <v>49.910999999999994</v>
      </c>
      <c r="K13" s="52">
        <f t="shared" si="0"/>
        <v>59.347000000000001</v>
      </c>
      <c r="L13" s="52">
        <f t="shared" si="0"/>
        <v>69.789000000000001</v>
      </c>
      <c r="M13" s="52">
        <f t="shared" si="0"/>
        <v>77.780000000000015</v>
      </c>
      <c r="N13" s="51">
        <f t="shared" si="0"/>
        <v>88.988</v>
      </c>
      <c r="O13" s="52">
        <f t="shared" si="0"/>
        <v>102.46000000000001</v>
      </c>
      <c r="P13" s="52">
        <f t="shared" si="0"/>
        <v>122.36600000000001</v>
      </c>
      <c r="Q13" s="52">
        <f t="shared" si="0"/>
        <v>146.792</v>
      </c>
      <c r="R13" s="52">
        <f t="shared" si="0"/>
        <v>170.43299999999999</v>
      </c>
      <c r="S13" s="52">
        <f t="shared" si="0"/>
        <v>204.38299999999998</v>
      </c>
      <c r="T13" s="52">
        <f t="shared" si="0"/>
        <v>362.21000000000004</v>
      </c>
      <c r="U13" s="52">
        <f t="shared" si="0"/>
        <v>408.14400000000001</v>
      </c>
      <c r="V13" s="52">
        <f t="shared" si="0"/>
        <v>480.05500000000001</v>
      </c>
      <c r="W13" s="52">
        <f t="shared" si="0"/>
        <v>601.59199999999998</v>
      </c>
      <c r="X13" s="52">
        <f t="shared" si="0"/>
        <v>800.08899999999994</v>
      </c>
      <c r="Y13" s="52">
        <f t="shared" si="0"/>
        <v>993.64699999999993</v>
      </c>
      <c r="Z13" s="51">
        <f t="shared" si="0"/>
        <v>1024.0569999999998</v>
      </c>
      <c r="AA13" s="52">
        <f t="shared" si="0"/>
        <v>1198.5990000000002</v>
      </c>
      <c r="AB13" s="52">
        <f t="shared" si="0"/>
        <v>1310.6969999999999</v>
      </c>
      <c r="AC13" s="52">
        <f t="shared" si="0"/>
        <v>1327.998</v>
      </c>
      <c r="AD13" s="52">
        <f t="shared" si="0"/>
        <v>1364.19</v>
      </c>
      <c r="AE13" s="52">
        <f t="shared" si="0"/>
        <v>1429.4159999999999</v>
      </c>
      <c r="AF13" s="52">
        <f t="shared" si="0"/>
        <v>1625.165</v>
      </c>
      <c r="AG13" s="52">
        <f t="shared" si="0"/>
        <v>1640.201</v>
      </c>
      <c r="AH13" s="52">
        <f t="shared" si="0"/>
        <v>1659.127</v>
      </c>
      <c r="AI13" s="52">
        <f t="shared" si="0"/>
        <v>1703.5139999999999</v>
      </c>
      <c r="AJ13" s="52">
        <f t="shared" si="0"/>
        <v>1731.8679999999999</v>
      </c>
      <c r="AK13" s="53">
        <f t="shared" si="0"/>
        <v>1754.402</v>
      </c>
      <c r="AL13" s="52">
        <f t="shared" si="0"/>
        <v>1782.9739999999999</v>
      </c>
      <c r="AM13" s="52">
        <f t="shared" si="0"/>
        <v>1853.2269999999999</v>
      </c>
      <c r="AN13" s="52">
        <f t="shared" si="0"/>
        <v>2250.3420000000001</v>
      </c>
      <c r="AO13" s="52">
        <f t="shared" si="0"/>
        <v>2311.547</v>
      </c>
      <c r="AP13" s="52">
        <f t="shared" si="0"/>
        <v>2381.2969999999996</v>
      </c>
      <c r="AQ13" s="52">
        <f t="shared" si="0"/>
        <v>2509.181</v>
      </c>
      <c r="AR13" s="52">
        <f t="shared" si="0"/>
        <v>2548.4479999999999</v>
      </c>
      <c r="AS13" s="52">
        <f t="shared" si="0"/>
        <v>2615.152</v>
      </c>
      <c r="AT13" s="52">
        <f t="shared" si="0"/>
        <v>2658.4249999999997</v>
      </c>
      <c r="AU13" s="52">
        <f t="shared" si="0"/>
        <v>2704.7159999999999</v>
      </c>
      <c r="AV13" s="52">
        <f t="shared" si="0"/>
        <v>2806.279</v>
      </c>
      <c r="AW13" s="54">
        <f t="shared" si="0"/>
        <v>2876.9759999999997</v>
      </c>
      <c r="AX13" s="52">
        <f t="shared" si="0"/>
        <v>2999.6149999999998</v>
      </c>
      <c r="AY13" s="52">
        <f t="shared" si="0"/>
        <v>3116.8270000000002</v>
      </c>
      <c r="AZ13" s="52">
        <f t="shared" si="0"/>
        <v>4157.1950000000006</v>
      </c>
      <c r="BA13" s="52">
        <f t="shared" si="0"/>
        <v>4242.3019999999997</v>
      </c>
      <c r="BB13" s="52">
        <f t="shared" si="0"/>
        <v>4343.88</v>
      </c>
      <c r="BC13" s="52">
        <f t="shared" si="0"/>
        <v>4477.8059999999996</v>
      </c>
      <c r="BD13" s="52">
        <f t="shared" si="0"/>
        <v>4643.5740000000005</v>
      </c>
      <c r="BE13" s="52">
        <f t="shared" si="0"/>
        <v>4705.375</v>
      </c>
      <c r="BF13" s="52">
        <f t="shared" si="0"/>
        <v>4910.116</v>
      </c>
      <c r="BG13" s="52">
        <f t="shared" si="0"/>
        <v>5075.7960000000003</v>
      </c>
      <c r="BH13" s="52">
        <f t="shared" si="0"/>
        <v>5214.491</v>
      </c>
      <c r="BI13" s="54">
        <f t="shared" si="0"/>
        <v>5519.0460000000003</v>
      </c>
      <c r="BJ13" s="52">
        <f t="shared" si="0"/>
        <v>5616.7020000000002</v>
      </c>
      <c r="BK13" s="52">
        <f t="shared" si="0"/>
        <v>5778.8649999999998</v>
      </c>
      <c r="BL13" s="52">
        <f t="shared" si="0"/>
        <v>8146.2579999999998</v>
      </c>
      <c r="BM13" s="52">
        <f t="shared" si="0"/>
        <v>8195.6660000000011</v>
      </c>
      <c r="BN13" s="52">
        <f t="shared" si="0"/>
        <v>8260.25</v>
      </c>
      <c r="BO13" s="52">
        <f t="shared" ref="BO13:DZ13" si="1">SUM(BO7:BO12)</f>
        <v>8393.2740000000013</v>
      </c>
      <c r="BP13" s="52">
        <f t="shared" si="1"/>
        <v>8478.094000000001</v>
      </c>
      <c r="BQ13" s="52">
        <f t="shared" si="1"/>
        <v>8594.9320000000007</v>
      </c>
      <c r="BR13" s="52">
        <f t="shared" si="1"/>
        <v>8722.1369999999988</v>
      </c>
      <c r="BS13" s="52">
        <f t="shared" si="1"/>
        <v>8891.4680000000008</v>
      </c>
      <c r="BT13" s="52">
        <f t="shared" si="1"/>
        <v>9101.3889999999992</v>
      </c>
      <c r="BU13" s="54">
        <f t="shared" si="1"/>
        <v>9782.9889999999978</v>
      </c>
      <c r="BV13" s="52">
        <f t="shared" si="1"/>
        <v>9984.9170000000013</v>
      </c>
      <c r="BW13" s="52">
        <f t="shared" si="1"/>
        <v>10088.950000000001</v>
      </c>
      <c r="BX13" s="52">
        <f t="shared" si="1"/>
        <v>11255.745000000001</v>
      </c>
      <c r="BY13" s="52">
        <f t="shared" si="1"/>
        <v>11321.861999999999</v>
      </c>
      <c r="BZ13" s="52">
        <f t="shared" si="1"/>
        <v>11365.15</v>
      </c>
      <c r="CA13" s="52">
        <f t="shared" si="1"/>
        <v>11583.683999999999</v>
      </c>
      <c r="CB13" s="52">
        <f t="shared" si="1"/>
        <v>11624.371000000001</v>
      </c>
      <c r="CC13" s="52">
        <f t="shared" si="1"/>
        <v>11685.151</v>
      </c>
      <c r="CD13" s="52">
        <f t="shared" si="1"/>
        <v>11728.916000000001</v>
      </c>
      <c r="CE13" s="52">
        <f t="shared" si="1"/>
        <v>11769.36</v>
      </c>
      <c r="CF13" s="52">
        <f t="shared" si="1"/>
        <v>11811.239</v>
      </c>
      <c r="CG13" s="54">
        <f t="shared" si="1"/>
        <v>11887.571000000002</v>
      </c>
      <c r="CH13" s="52">
        <f t="shared" si="1"/>
        <v>11925.545</v>
      </c>
      <c r="CI13" s="52">
        <f t="shared" si="1"/>
        <v>11991.419</v>
      </c>
      <c r="CJ13" s="52">
        <f t="shared" si="1"/>
        <v>12468.005999999999</v>
      </c>
      <c r="CK13" s="52">
        <f t="shared" si="1"/>
        <v>12486.956</v>
      </c>
      <c r="CL13" s="52">
        <f t="shared" si="1"/>
        <v>12504.698</v>
      </c>
      <c r="CM13" s="52">
        <f t="shared" si="1"/>
        <v>12521.638000000001</v>
      </c>
      <c r="CN13" s="52">
        <f t="shared" si="1"/>
        <v>12550.32</v>
      </c>
      <c r="CO13" s="52">
        <f t="shared" si="1"/>
        <v>12567.655000000001</v>
      </c>
      <c r="CP13" s="52">
        <f t="shared" si="1"/>
        <v>12584.359999999999</v>
      </c>
      <c r="CQ13" s="52">
        <f t="shared" si="1"/>
        <v>12608.968000000001</v>
      </c>
      <c r="CR13" s="52">
        <f t="shared" si="1"/>
        <v>12624.665000000001</v>
      </c>
      <c r="CS13" s="54">
        <f t="shared" si="1"/>
        <v>12636.078</v>
      </c>
      <c r="CT13" s="52">
        <f t="shared" si="1"/>
        <v>12648.344999999999</v>
      </c>
      <c r="CU13" s="52">
        <f t="shared" si="1"/>
        <v>12659.231000000002</v>
      </c>
      <c r="CV13" s="52">
        <f t="shared" si="1"/>
        <v>12675.745000000001</v>
      </c>
      <c r="CW13" s="52">
        <f t="shared" si="1"/>
        <v>12689.513000000001</v>
      </c>
      <c r="CX13" s="52">
        <f t="shared" si="1"/>
        <v>12705.769000000002</v>
      </c>
      <c r="CY13" s="52">
        <f t="shared" si="1"/>
        <v>12726.187</v>
      </c>
      <c r="CZ13" s="52">
        <f t="shared" si="1"/>
        <v>12741.609999999999</v>
      </c>
      <c r="DA13" s="52">
        <f t="shared" si="1"/>
        <v>12758.587000000001</v>
      </c>
      <c r="DB13" s="52">
        <f t="shared" si="1"/>
        <v>12775.829</v>
      </c>
      <c r="DC13" s="52">
        <f t="shared" si="1"/>
        <v>12801.784000000001</v>
      </c>
      <c r="DD13" s="52">
        <f t="shared" si="1"/>
        <v>12828.808999999999</v>
      </c>
      <c r="DE13" s="54">
        <f t="shared" si="1"/>
        <v>12859.152</v>
      </c>
      <c r="DF13" s="52">
        <f t="shared" si="1"/>
        <v>12947.606</v>
      </c>
      <c r="DG13" s="52">
        <f t="shared" si="1"/>
        <v>12979.755000000001</v>
      </c>
      <c r="DH13" s="52">
        <f t="shared" si="1"/>
        <v>13067.217000000001</v>
      </c>
      <c r="DI13" s="52">
        <f t="shared" si="1"/>
        <v>13085.468000000001</v>
      </c>
      <c r="DJ13" s="52">
        <f t="shared" si="1"/>
        <v>13093.088</v>
      </c>
      <c r="DK13" s="52">
        <f t="shared" si="1"/>
        <v>13103.304</v>
      </c>
      <c r="DL13" s="52">
        <f t="shared" si="1"/>
        <v>13121.93</v>
      </c>
      <c r="DM13" s="52">
        <f t="shared" si="1"/>
        <v>13138.732</v>
      </c>
      <c r="DN13" s="52">
        <f t="shared" si="1"/>
        <v>13174.147999999999</v>
      </c>
      <c r="DO13" s="52">
        <f t="shared" si="1"/>
        <v>13187.262999999999</v>
      </c>
      <c r="DP13" s="52">
        <f t="shared" si="1"/>
        <v>13200.074000000001</v>
      </c>
      <c r="DQ13" s="54">
        <f t="shared" si="1"/>
        <v>13244.758</v>
      </c>
      <c r="DR13" s="52">
        <f t="shared" si="1"/>
        <v>13284.029999999999</v>
      </c>
      <c r="DS13" s="52">
        <f t="shared" si="1"/>
        <v>13300.989</v>
      </c>
      <c r="DT13" s="52">
        <f t="shared" si="1"/>
        <v>13317.081999999999</v>
      </c>
      <c r="DU13" s="52">
        <f t="shared" si="1"/>
        <v>13322.093000000001</v>
      </c>
      <c r="DV13" s="52">
        <f t="shared" si="1"/>
        <v>13336.091</v>
      </c>
      <c r="DW13" s="52">
        <f t="shared" si="1"/>
        <v>13346.39</v>
      </c>
      <c r="DX13" s="52">
        <f t="shared" si="1"/>
        <v>13365.422999999999</v>
      </c>
      <c r="DY13" s="52">
        <f t="shared" si="1"/>
        <v>13425.785</v>
      </c>
      <c r="DZ13" s="52">
        <f t="shared" si="1"/>
        <v>13441.581</v>
      </c>
      <c r="EA13" s="52">
        <f t="shared" ref="EA13:GL13" si="2">SUM(EA7:EA12)</f>
        <v>13460.480000000001</v>
      </c>
      <c r="EB13" s="52">
        <f t="shared" si="2"/>
        <v>13478.494000000001</v>
      </c>
      <c r="EC13" s="54">
        <f t="shared" si="2"/>
        <v>13505.637000000001</v>
      </c>
      <c r="ED13" s="52">
        <f t="shared" si="2"/>
        <v>13577.391</v>
      </c>
      <c r="EE13" s="52">
        <f t="shared" si="2"/>
        <v>13592.773999999999</v>
      </c>
      <c r="EF13" s="52">
        <f t="shared" si="2"/>
        <v>13745.406999999999</v>
      </c>
      <c r="EG13" s="52">
        <f t="shared" si="2"/>
        <v>13813.766</v>
      </c>
      <c r="EH13" s="52">
        <f t="shared" si="2"/>
        <v>13840.378000000001</v>
      </c>
      <c r="EI13" s="52">
        <f t="shared" si="2"/>
        <v>13874.869000000001</v>
      </c>
      <c r="EJ13" s="52">
        <f t="shared" si="2"/>
        <v>13900.611000000001</v>
      </c>
      <c r="EK13" s="52">
        <f t="shared" si="2"/>
        <v>13922.115000000002</v>
      </c>
      <c r="EL13" s="52">
        <f t="shared" si="2"/>
        <v>13952.736000000001</v>
      </c>
      <c r="EM13" s="52">
        <f t="shared" si="2"/>
        <v>14003.85</v>
      </c>
      <c r="EN13" s="52">
        <f t="shared" si="2"/>
        <v>14034.631000000001</v>
      </c>
      <c r="EO13" s="53">
        <f t="shared" si="2"/>
        <v>14058.386999999999</v>
      </c>
      <c r="EP13" s="52">
        <f t="shared" si="2"/>
        <v>14145.656000000001</v>
      </c>
      <c r="EQ13" s="52">
        <f t="shared" si="2"/>
        <v>14178.595000000001</v>
      </c>
      <c r="ER13" s="52">
        <f t="shared" si="2"/>
        <v>14231.161</v>
      </c>
      <c r="ES13" s="52">
        <f t="shared" si="2"/>
        <v>14314.612000000001</v>
      </c>
      <c r="ET13" s="52">
        <f t="shared" si="2"/>
        <v>14369.375</v>
      </c>
      <c r="EU13" s="52">
        <f t="shared" si="2"/>
        <v>14420.229000000001</v>
      </c>
      <c r="EV13" s="52">
        <f t="shared" si="2"/>
        <v>14491.241000000002</v>
      </c>
      <c r="EW13" s="52">
        <f t="shared" si="2"/>
        <v>14546.759000000002</v>
      </c>
      <c r="EX13" s="52">
        <f t="shared" si="2"/>
        <v>14636.209000000003</v>
      </c>
      <c r="EY13" s="52">
        <f t="shared" si="2"/>
        <v>14706.818000000003</v>
      </c>
      <c r="EZ13" s="52">
        <f t="shared" si="2"/>
        <v>14786.065000000002</v>
      </c>
      <c r="FA13" s="53">
        <f t="shared" si="2"/>
        <v>14899.615000000002</v>
      </c>
      <c r="FB13" s="52">
        <f t="shared" si="2"/>
        <v>15042.219000000001</v>
      </c>
      <c r="FC13" s="52">
        <f t="shared" si="2"/>
        <v>15168.18</v>
      </c>
      <c r="FD13" s="52">
        <f t="shared" si="2"/>
        <v>15393.790999999999</v>
      </c>
      <c r="FE13" s="52">
        <f t="shared" si="2"/>
        <v>15483.093999999999</v>
      </c>
      <c r="FF13" s="52">
        <f t="shared" si="2"/>
        <v>15578.534999999998</v>
      </c>
      <c r="FG13" s="52">
        <f t="shared" si="2"/>
        <v>15679.385</v>
      </c>
      <c r="FH13" s="52">
        <f t="shared" si="2"/>
        <v>15768.299000000001</v>
      </c>
      <c r="FI13" s="52">
        <f t="shared" si="2"/>
        <v>15854.203</v>
      </c>
      <c r="FJ13" s="52">
        <f t="shared" si="2"/>
        <v>16003.54</v>
      </c>
      <c r="FK13" s="157">
        <f t="shared" si="2"/>
        <v>16149.284</v>
      </c>
      <c r="FL13" s="157">
        <f t="shared" si="2"/>
        <v>16253.447</v>
      </c>
      <c r="FM13" s="157">
        <f t="shared" si="2"/>
        <v>16307.552</v>
      </c>
      <c r="FN13" s="125">
        <f t="shared" si="2"/>
        <v>16729.205999999998</v>
      </c>
      <c r="FO13" s="157">
        <f t="shared" si="2"/>
        <v>16876.987000000001</v>
      </c>
      <c r="FP13" s="157">
        <f t="shared" si="2"/>
        <v>17100.395</v>
      </c>
      <c r="FQ13" s="157">
        <f t="shared" si="2"/>
        <v>17329.814999999999</v>
      </c>
      <c r="FR13" s="157">
        <f t="shared" si="2"/>
        <v>17515.704999999998</v>
      </c>
      <c r="FS13" s="157">
        <f t="shared" si="2"/>
        <v>17733.725000000002</v>
      </c>
      <c r="FT13" s="157">
        <f t="shared" si="2"/>
        <v>17876.972000000002</v>
      </c>
      <c r="FU13" s="157">
        <f t="shared" si="2"/>
        <v>17952.805</v>
      </c>
      <c r="FV13" s="157">
        <f t="shared" si="2"/>
        <v>18032.714</v>
      </c>
      <c r="FW13" s="157">
        <f t="shared" si="2"/>
        <v>18398.485000000001</v>
      </c>
      <c r="FX13" s="157">
        <f t="shared" si="2"/>
        <v>18538.837</v>
      </c>
      <c r="FY13" s="191">
        <f t="shared" si="2"/>
        <v>18644.544000000002</v>
      </c>
      <c r="FZ13" s="157">
        <f t="shared" si="2"/>
        <v>19001.096000000001</v>
      </c>
      <c r="GA13" s="157">
        <f t="shared" si="2"/>
        <v>19166.244999999999</v>
      </c>
      <c r="GB13" s="157">
        <f t="shared" si="2"/>
        <v>19423.440000000002</v>
      </c>
      <c r="GC13" s="157">
        <f t="shared" si="2"/>
        <v>19616.918000000001</v>
      </c>
      <c r="GD13" s="157">
        <f t="shared" si="2"/>
        <v>19821.542999999998</v>
      </c>
      <c r="GE13" s="157">
        <f t="shared" si="2"/>
        <v>20057.240999999998</v>
      </c>
      <c r="GF13" s="157">
        <f t="shared" si="2"/>
        <v>20625.339999999997</v>
      </c>
      <c r="GG13" s="157">
        <f t="shared" si="2"/>
        <v>20816.32</v>
      </c>
      <c r="GH13" s="157">
        <f t="shared" si="2"/>
        <v>20993.424999999996</v>
      </c>
      <c r="GI13" s="157">
        <f t="shared" si="2"/>
        <v>21210.733999999997</v>
      </c>
      <c r="GJ13" s="157">
        <f t="shared" si="2"/>
        <v>21311.97</v>
      </c>
      <c r="GK13" s="191">
        <f t="shared" si="2"/>
        <v>21392.409</v>
      </c>
      <c r="GL13" s="157">
        <f t="shared" si="2"/>
        <v>21524.737000000001</v>
      </c>
      <c r="GM13" s="157">
        <f t="shared" ref="GM13:GO13" si="3">SUM(GM7:GM12)</f>
        <v>21624.794999999998</v>
      </c>
      <c r="GN13" s="157">
        <f t="shared" si="3"/>
        <v>21743.928</v>
      </c>
      <c r="GO13" s="157">
        <f t="shared" si="3"/>
        <v>21848.792000000001</v>
      </c>
    </row>
    <row r="14" spans="1:197" s="30" customFormat="1" ht="20.149999999999999" customHeight="1" thickTop="1" x14ac:dyDescent="0.35">
      <c r="A14" s="26" t="s">
        <v>268</v>
      </c>
      <c r="B14" s="45"/>
      <c r="C14" s="45"/>
      <c r="D14" s="45"/>
      <c r="E14" s="45"/>
      <c r="F14" s="45"/>
      <c r="G14" s="45"/>
      <c r="H14" s="45"/>
      <c r="I14" s="45"/>
      <c r="J14" s="45"/>
      <c r="K14" s="45"/>
      <c r="L14" s="45"/>
      <c r="M14" s="49"/>
      <c r="N14" s="50"/>
      <c r="O14" s="45"/>
      <c r="P14" s="45"/>
      <c r="Q14" s="45"/>
      <c r="R14" s="45"/>
      <c r="S14" s="45"/>
      <c r="T14" s="45"/>
      <c r="U14" s="45"/>
      <c r="V14" s="45"/>
      <c r="W14" s="45"/>
      <c r="X14" s="45"/>
      <c r="Y14" s="49"/>
      <c r="Z14" s="50"/>
      <c r="AA14" s="45"/>
      <c r="AB14" s="45"/>
      <c r="AC14" s="45"/>
      <c r="AD14" s="45"/>
      <c r="AE14" s="45"/>
      <c r="AF14" s="45"/>
      <c r="AG14" s="45"/>
      <c r="AH14" s="45"/>
      <c r="AI14" s="45"/>
      <c r="AJ14" s="45"/>
      <c r="AK14" s="49"/>
      <c r="AL14" s="50"/>
      <c r="AM14" s="45"/>
      <c r="AN14" s="45"/>
      <c r="AO14" s="45"/>
      <c r="AP14" s="45"/>
      <c r="AQ14" s="45"/>
      <c r="AR14" s="45"/>
      <c r="AS14" s="45"/>
      <c r="AT14" s="45"/>
      <c r="AU14" s="45"/>
      <c r="AV14" s="45"/>
      <c r="AW14" s="49"/>
      <c r="AX14" s="45"/>
      <c r="AY14" s="45"/>
      <c r="AZ14" s="45"/>
      <c r="BA14" s="45"/>
      <c r="BB14" s="45"/>
      <c r="BC14" s="45"/>
      <c r="BD14" s="45"/>
      <c r="BE14" s="45"/>
      <c r="BF14" s="45"/>
      <c r="BG14" s="45"/>
      <c r="BH14" s="45"/>
      <c r="BI14" s="49"/>
      <c r="BJ14" s="45"/>
      <c r="BK14" s="45"/>
      <c r="BL14" s="45"/>
      <c r="BM14" s="45"/>
      <c r="BN14" s="45"/>
      <c r="BO14" s="45"/>
      <c r="BP14" s="45"/>
      <c r="BQ14" s="45"/>
      <c r="BR14" s="45"/>
      <c r="BS14" s="45"/>
      <c r="BT14" s="45"/>
      <c r="BU14" s="49"/>
      <c r="BV14" s="45"/>
      <c r="BW14" s="45"/>
      <c r="BX14" s="45"/>
      <c r="BY14" s="45"/>
      <c r="BZ14" s="45"/>
      <c r="CA14" s="45"/>
      <c r="CB14" s="45"/>
      <c r="CC14" s="45"/>
      <c r="CD14" s="45"/>
      <c r="CE14" s="45"/>
      <c r="CF14" s="45"/>
      <c r="CG14" s="49"/>
      <c r="CH14" s="45"/>
      <c r="CI14" s="45"/>
      <c r="CJ14" s="45"/>
      <c r="CK14" s="45"/>
      <c r="CL14" s="45"/>
      <c r="CM14" s="45"/>
      <c r="CN14" s="45"/>
      <c r="CO14" s="45"/>
      <c r="CP14" s="45"/>
      <c r="CQ14" s="45"/>
      <c r="CR14" s="45"/>
      <c r="CS14" s="49"/>
      <c r="CT14" s="45"/>
      <c r="CU14" s="45"/>
      <c r="CV14" s="45"/>
      <c r="CW14" s="45"/>
      <c r="CX14" s="45"/>
      <c r="CY14" s="45"/>
      <c r="CZ14" s="45"/>
      <c r="DA14" s="45"/>
      <c r="DB14" s="45"/>
      <c r="DC14" s="45"/>
      <c r="DD14" s="45"/>
      <c r="DE14" s="49"/>
      <c r="DF14" s="45"/>
      <c r="DG14" s="45"/>
      <c r="DH14" s="45"/>
      <c r="DI14" s="45"/>
      <c r="DJ14" s="45"/>
      <c r="DK14" s="45"/>
      <c r="DL14" s="45"/>
      <c r="DM14" s="45"/>
      <c r="DN14" s="45"/>
      <c r="DO14" s="45"/>
      <c r="DP14" s="45"/>
      <c r="DQ14" s="49"/>
      <c r="DR14" s="45"/>
      <c r="DS14" s="45"/>
      <c r="DT14" s="45"/>
      <c r="DU14" s="45"/>
      <c r="DV14" s="45"/>
      <c r="DW14" s="45"/>
      <c r="DX14" s="45"/>
      <c r="DY14" s="45"/>
      <c r="DZ14" s="45"/>
      <c r="EA14" s="45"/>
      <c r="EB14" s="45"/>
      <c r="EC14" s="49"/>
      <c r="ED14" s="45"/>
      <c r="EE14" s="45"/>
      <c r="EF14" s="45"/>
      <c r="EG14" s="45"/>
      <c r="EH14" s="45"/>
      <c r="EI14" s="45"/>
      <c r="EJ14" s="45"/>
      <c r="EK14" s="45"/>
      <c r="EL14" s="45"/>
      <c r="EM14" s="45"/>
      <c r="EN14" s="45"/>
      <c r="EO14" s="82"/>
      <c r="EP14" s="45"/>
      <c r="EQ14" s="45"/>
      <c r="ER14" s="45"/>
      <c r="ES14" s="45"/>
      <c r="ET14" s="45"/>
      <c r="EU14" s="45"/>
      <c r="EV14" s="45"/>
      <c r="EW14" s="45"/>
      <c r="EX14" s="45"/>
      <c r="EY14" s="45"/>
      <c r="EZ14" s="45"/>
      <c r="FA14" s="82"/>
      <c r="FB14" s="45"/>
      <c r="FC14" s="45"/>
      <c r="FD14" s="45"/>
      <c r="FE14" s="45"/>
      <c r="FF14" s="45"/>
      <c r="FG14" s="45"/>
      <c r="FH14" s="45"/>
      <c r="FI14" s="45"/>
      <c r="FJ14" s="45"/>
      <c r="FK14" s="155"/>
      <c r="FL14" s="155"/>
      <c r="FM14" s="155"/>
      <c r="FN14" s="69"/>
      <c r="FO14" s="155"/>
      <c r="FP14" s="155"/>
      <c r="FQ14" s="155"/>
      <c r="FR14" s="155"/>
      <c r="FS14" s="155"/>
      <c r="FT14" s="155"/>
      <c r="FU14" s="177"/>
      <c r="FV14" s="177"/>
      <c r="FW14" s="177"/>
      <c r="FX14" s="177"/>
      <c r="FY14" s="192"/>
      <c r="FZ14" s="177"/>
      <c r="GA14" s="178"/>
      <c r="GB14" s="178"/>
      <c r="GC14" s="178"/>
      <c r="GD14" s="178"/>
      <c r="GE14" s="178"/>
      <c r="GF14" s="178"/>
      <c r="GG14" s="178"/>
      <c r="GH14" s="178"/>
      <c r="GI14" s="178"/>
      <c r="GJ14" s="178"/>
      <c r="GK14" s="192"/>
      <c r="GL14" s="177"/>
      <c r="GM14" s="177"/>
      <c r="GN14" s="177"/>
      <c r="GO14" s="177"/>
    </row>
    <row r="15" spans="1:197" s="1" customFormat="1" ht="20.149999999999999" customHeight="1" x14ac:dyDescent="0.35">
      <c r="A15" s="31" t="s">
        <v>1623</v>
      </c>
      <c r="B15" s="45">
        <v>0.316</v>
      </c>
      <c r="C15" s="45">
        <v>0.316</v>
      </c>
      <c r="D15" s="45">
        <v>0.32300000000000001</v>
      </c>
      <c r="E15" s="45">
        <v>0.33600000000000002</v>
      </c>
      <c r="F15" s="45">
        <v>0.34200000000000003</v>
      </c>
      <c r="G15" s="45">
        <v>0.35799999999999998</v>
      </c>
      <c r="H15" s="45">
        <v>0.36199999999999999</v>
      </c>
      <c r="I15" s="45">
        <v>0.36499999999999999</v>
      </c>
      <c r="J15" s="45">
        <v>0.36599999999999999</v>
      </c>
      <c r="K15" s="45">
        <v>0.371</v>
      </c>
      <c r="L15" s="45">
        <v>0.39</v>
      </c>
      <c r="M15" s="49">
        <v>0.39700000000000002</v>
      </c>
      <c r="N15" s="50">
        <v>0.39700000000000002</v>
      </c>
      <c r="O15" s="45">
        <v>0.39900000000000002</v>
      </c>
      <c r="P15" s="45">
        <v>0.40799999999999997</v>
      </c>
      <c r="Q15" s="45">
        <v>0.41199999999999998</v>
      </c>
      <c r="R15" s="45">
        <v>0.437</v>
      </c>
      <c r="S15" s="45">
        <v>0.442</v>
      </c>
      <c r="T15" s="45">
        <v>0.44500000000000001</v>
      </c>
      <c r="U15" s="45">
        <v>0.46200000000000002</v>
      </c>
      <c r="V15" s="45">
        <v>0.498</v>
      </c>
      <c r="W15" s="45">
        <v>0.53700000000000003</v>
      </c>
      <c r="X15" s="45">
        <v>0.59599999999999997</v>
      </c>
      <c r="Y15" s="49">
        <v>0.65400000000000003</v>
      </c>
      <c r="Z15" s="50">
        <v>0.72699999999999998</v>
      </c>
      <c r="AA15" s="45">
        <v>0.74399999999999999</v>
      </c>
      <c r="AB15" s="45">
        <v>0.80700000000000005</v>
      </c>
      <c r="AC15" s="45">
        <v>0.83599999999999997</v>
      </c>
      <c r="AD15" s="45">
        <v>0.85799999999999998</v>
      </c>
      <c r="AE15" s="45">
        <v>0.878</v>
      </c>
      <c r="AF15" s="45">
        <v>0.90900000000000003</v>
      </c>
      <c r="AG15" s="45">
        <v>1.0469999999999999</v>
      </c>
      <c r="AH15" s="45">
        <v>1.1919999999999999</v>
      </c>
      <c r="AI15" s="45">
        <v>1.3380000000000001</v>
      </c>
      <c r="AJ15" s="45">
        <v>1.474</v>
      </c>
      <c r="AK15" s="49">
        <v>1.5680000000000001</v>
      </c>
      <c r="AL15" s="50">
        <v>1.758</v>
      </c>
      <c r="AM15" s="45">
        <v>1.9119999999999999</v>
      </c>
      <c r="AN15" s="45">
        <v>2.0510000000000002</v>
      </c>
      <c r="AO15" s="45">
        <v>2.1539999999999999</v>
      </c>
      <c r="AP15" s="45">
        <v>2.3159999999999998</v>
      </c>
      <c r="AQ15" s="45">
        <v>2.3980000000000001</v>
      </c>
      <c r="AR15" s="45">
        <v>2.6019999999999999</v>
      </c>
      <c r="AS15" s="45">
        <v>2.8929999999999998</v>
      </c>
      <c r="AT15" s="45">
        <v>3.1779999999999999</v>
      </c>
      <c r="AU15" s="45">
        <v>3.49</v>
      </c>
      <c r="AV15" s="45">
        <v>3.7320000000000002</v>
      </c>
      <c r="AW15" s="49">
        <v>3.9929999999999999</v>
      </c>
      <c r="AX15" s="45">
        <v>4.181</v>
      </c>
      <c r="AY15" s="45">
        <v>4.4059999999999997</v>
      </c>
      <c r="AZ15" s="45">
        <v>4.72</v>
      </c>
      <c r="BA15" s="45">
        <v>5.0129999999999999</v>
      </c>
      <c r="BB15" s="45">
        <v>5.4589999999999996</v>
      </c>
      <c r="BC15" s="45">
        <v>6.0069999999999997</v>
      </c>
      <c r="BD15" s="45">
        <v>6.6070000000000002</v>
      </c>
      <c r="BE15" s="45">
        <v>7.1980000000000004</v>
      </c>
      <c r="BF15" s="45">
        <v>7.8239999999999998</v>
      </c>
      <c r="BG15" s="45">
        <v>8.391</v>
      </c>
      <c r="BH15" s="45">
        <v>8.9890000000000008</v>
      </c>
      <c r="BI15" s="49">
        <v>9.4209999999999994</v>
      </c>
      <c r="BJ15" s="45">
        <v>9.8360000000000003</v>
      </c>
      <c r="BK15" s="45">
        <v>10.257</v>
      </c>
      <c r="BL15" s="45">
        <v>10.647</v>
      </c>
      <c r="BM15" s="45">
        <v>11.041</v>
      </c>
      <c r="BN15" s="45">
        <v>11.557</v>
      </c>
      <c r="BO15" s="45">
        <v>12.1</v>
      </c>
      <c r="BP15" s="45">
        <v>12.648</v>
      </c>
      <c r="BQ15" s="45">
        <v>13.362</v>
      </c>
      <c r="BR15" s="45">
        <v>14.593999999999999</v>
      </c>
      <c r="BS15" s="45">
        <v>15.196</v>
      </c>
      <c r="BT15" s="45">
        <v>15.941000000000001</v>
      </c>
      <c r="BU15" s="49">
        <v>16.712</v>
      </c>
      <c r="BV15" s="45">
        <v>17.59</v>
      </c>
      <c r="BW15" s="45">
        <v>18.434000000000001</v>
      </c>
      <c r="BX15" s="45">
        <v>19.350999999999999</v>
      </c>
      <c r="BY15" s="45">
        <v>19.905999999999999</v>
      </c>
      <c r="BZ15" s="45">
        <v>20.122</v>
      </c>
      <c r="CA15" s="45">
        <v>20.332000000000001</v>
      </c>
      <c r="CB15" s="45">
        <v>20.701000000000001</v>
      </c>
      <c r="CC15" s="45">
        <v>21.068000000000001</v>
      </c>
      <c r="CD15" s="45">
        <v>22.835999999999999</v>
      </c>
      <c r="CE15" s="45">
        <v>22.876000000000001</v>
      </c>
      <c r="CF15" s="45">
        <v>22.956</v>
      </c>
      <c r="CG15" s="49">
        <v>23.007000000000001</v>
      </c>
      <c r="CH15" s="45">
        <v>23.114999999999998</v>
      </c>
      <c r="CI15" s="45">
        <v>23.443999999999999</v>
      </c>
      <c r="CJ15" s="45">
        <v>24.19</v>
      </c>
      <c r="CK15" s="45">
        <v>24.216000000000001</v>
      </c>
      <c r="CL15" s="45">
        <v>24.254000000000001</v>
      </c>
      <c r="CM15" s="45">
        <v>24.408000000000001</v>
      </c>
      <c r="CN15" s="45">
        <v>24.442</v>
      </c>
      <c r="CO15" s="45">
        <v>24.486000000000001</v>
      </c>
      <c r="CP15" s="45">
        <v>24.556999999999999</v>
      </c>
      <c r="CQ15" s="45">
        <v>24.625</v>
      </c>
      <c r="CR15" s="45">
        <v>24.702000000000002</v>
      </c>
      <c r="CS15" s="49">
        <v>24.736000000000001</v>
      </c>
      <c r="CT15" s="45">
        <v>24.77</v>
      </c>
      <c r="CU15" s="45">
        <v>24.795999999999999</v>
      </c>
      <c r="CV15" s="45">
        <v>24.824999999999999</v>
      </c>
      <c r="CW15" s="45">
        <v>24.843</v>
      </c>
      <c r="CX15" s="45">
        <v>24.873000000000001</v>
      </c>
      <c r="CY15" s="45">
        <v>24.896999999999998</v>
      </c>
      <c r="CZ15" s="45">
        <v>24.908000000000001</v>
      </c>
      <c r="DA15" s="45">
        <v>24.931000000000001</v>
      </c>
      <c r="DB15" s="45">
        <v>24.939</v>
      </c>
      <c r="DC15" s="45">
        <v>25.062999999999999</v>
      </c>
      <c r="DD15" s="45">
        <v>25.132999999999999</v>
      </c>
      <c r="DE15" s="49">
        <v>25.140999999999998</v>
      </c>
      <c r="DF15" s="45">
        <v>25.242999999999999</v>
      </c>
      <c r="DG15" s="45">
        <v>25.32</v>
      </c>
      <c r="DH15" s="45">
        <v>25.349</v>
      </c>
      <c r="DI15" s="45">
        <v>25.372</v>
      </c>
      <c r="DJ15" s="45">
        <v>25.414000000000001</v>
      </c>
      <c r="DK15" s="45">
        <v>25.454000000000001</v>
      </c>
      <c r="DL15" s="45">
        <v>25.495000000000001</v>
      </c>
      <c r="DM15" s="45">
        <v>25.544</v>
      </c>
      <c r="DN15" s="45">
        <v>25.616</v>
      </c>
      <c r="DO15" s="45">
        <v>25.652999999999999</v>
      </c>
      <c r="DP15" s="45">
        <v>25.681999999999999</v>
      </c>
      <c r="DQ15" s="49">
        <v>25.69</v>
      </c>
      <c r="DR15" s="45">
        <v>25.718</v>
      </c>
      <c r="DS15" s="45">
        <v>25.741</v>
      </c>
      <c r="DT15" s="45">
        <v>25.763000000000002</v>
      </c>
      <c r="DU15" s="45">
        <v>25.763000000000002</v>
      </c>
      <c r="DV15" s="45">
        <v>25.766999999999999</v>
      </c>
      <c r="DW15" s="45">
        <v>25.8</v>
      </c>
      <c r="DX15" s="45">
        <v>25.803999999999998</v>
      </c>
      <c r="DY15" s="45">
        <v>25.853999999999999</v>
      </c>
      <c r="DZ15" s="45">
        <v>25.904</v>
      </c>
      <c r="EA15" s="45">
        <v>25.939</v>
      </c>
      <c r="EB15" s="45">
        <v>25.956</v>
      </c>
      <c r="EC15" s="49">
        <v>25.956</v>
      </c>
      <c r="ED15" s="45">
        <v>26.026</v>
      </c>
      <c r="EE15" s="45">
        <v>26.041</v>
      </c>
      <c r="EF15" s="45">
        <v>26.068000000000001</v>
      </c>
      <c r="EG15" s="45">
        <v>26.093</v>
      </c>
      <c r="EH15" s="45">
        <v>26.126000000000001</v>
      </c>
      <c r="EI15" s="45">
        <v>26.193999999999999</v>
      </c>
      <c r="EJ15" s="45">
        <v>26.236999999999998</v>
      </c>
      <c r="EK15" s="45">
        <v>26.306999999999999</v>
      </c>
      <c r="EL15" s="45">
        <v>26.422000000000001</v>
      </c>
      <c r="EM15" s="45">
        <v>26.509</v>
      </c>
      <c r="EN15" s="45">
        <v>26.617000000000001</v>
      </c>
      <c r="EO15" s="82">
        <v>26.657</v>
      </c>
      <c r="EP15" s="45">
        <v>26.731999999999999</v>
      </c>
      <c r="EQ15" s="45">
        <v>26.795999999999999</v>
      </c>
      <c r="ER15" s="45">
        <v>26.823</v>
      </c>
      <c r="ES15" s="45">
        <v>26.844000000000001</v>
      </c>
      <c r="ET15" s="45">
        <v>26.927</v>
      </c>
      <c r="EU15" s="45">
        <v>26.966999999999999</v>
      </c>
      <c r="EV15" s="45">
        <v>27.03</v>
      </c>
      <c r="EW15" s="45">
        <v>27.1</v>
      </c>
      <c r="EX15" s="45">
        <v>27.195</v>
      </c>
      <c r="EY15" s="45">
        <v>27.253</v>
      </c>
      <c r="EZ15" s="45">
        <v>27.327999999999999</v>
      </c>
      <c r="FA15" s="82">
        <v>27.370999999999999</v>
      </c>
      <c r="FB15" s="45">
        <v>27.419</v>
      </c>
      <c r="FC15" s="45">
        <v>27.483000000000001</v>
      </c>
      <c r="FD15" s="45">
        <v>27.524999999999999</v>
      </c>
      <c r="FE15" s="45">
        <v>27.56</v>
      </c>
      <c r="FF15" s="45">
        <v>27.602</v>
      </c>
      <c r="FG15" s="45">
        <v>27.635999999999999</v>
      </c>
      <c r="FH15" s="45">
        <v>27.677</v>
      </c>
      <c r="FI15" s="45">
        <v>27.736999999999998</v>
      </c>
      <c r="FJ15" s="45">
        <v>27.824000000000002</v>
      </c>
      <c r="FK15" s="155">
        <v>27.893999999999998</v>
      </c>
      <c r="FL15" s="155">
        <v>27.946999999999999</v>
      </c>
      <c r="FM15" s="155">
        <v>27.969000000000001</v>
      </c>
      <c r="FN15" s="69">
        <v>28.010999999999999</v>
      </c>
      <c r="FO15" s="155">
        <v>28.129000000000001</v>
      </c>
      <c r="FP15" s="155">
        <v>28.172000000000001</v>
      </c>
      <c r="FQ15" s="155">
        <v>28.369</v>
      </c>
      <c r="FR15" s="155">
        <v>28.472999999999999</v>
      </c>
      <c r="FS15" s="155">
        <v>28.670999999999999</v>
      </c>
      <c r="FT15" s="155">
        <v>28.797999999999998</v>
      </c>
      <c r="FU15" s="178">
        <v>28.934000000000001</v>
      </c>
      <c r="FV15" s="178">
        <v>29.082000000000001</v>
      </c>
      <c r="FW15" s="178">
        <v>29.311</v>
      </c>
      <c r="FX15" s="178">
        <v>29.652999999999999</v>
      </c>
      <c r="FY15" s="180">
        <v>29.727</v>
      </c>
      <c r="FZ15" s="178">
        <v>29.817</v>
      </c>
      <c r="GA15" s="178">
        <v>29.992000000000001</v>
      </c>
      <c r="GB15" s="178">
        <v>30.236999999999998</v>
      </c>
      <c r="GC15" s="178">
        <v>30.385999999999999</v>
      </c>
      <c r="GD15" s="178">
        <v>30.742000000000001</v>
      </c>
      <c r="GE15" s="178">
        <v>30.997</v>
      </c>
      <c r="GF15" s="178">
        <v>31.138999999999999</v>
      </c>
      <c r="GG15" s="178">
        <v>31.335000000000001</v>
      </c>
      <c r="GH15" s="178">
        <v>31.448</v>
      </c>
      <c r="GI15" s="178">
        <v>31.699000000000002</v>
      </c>
      <c r="GJ15" s="178">
        <v>32.01</v>
      </c>
      <c r="GK15" s="180">
        <v>32.14</v>
      </c>
      <c r="GL15" s="178">
        <v>32.344000000000001</v>
      </c>
      <c r="GM15" s="178">
        <v>32.555999999999997</v>
      </c>
      <c r="GN15" s="178">
        <v>32.875999999999998</v>
      </c>
      <c r="GO15" s="178">
        <v>33.140999999999998</v>
      </c>
    </row>
    <row r="16" spans="1:197" s="1" customFormat="1" ht="20.149999999999999" customHeight="1" x14ac:dyDescent="0.35">
      <c r="A16" s="31" t="s">
        <v>1626</v>
      </c>
      <c r="B16" s="45">
        <v>0.51300000000000001</v>
      </c>
      <c r="C16" s="45">
        <v>0.51300000000000001</v>
      </c>
      <c r="D16" s="45">
        <v>0.51300000000000001</v>
      </c>
      <c r="E16" s="45">
        <v>0.51300000000000001</v>
      </c>
      <c r="F16" s="45">
        <v>0.51300000000000001</v>
      </c>
      <c r="G16" s="45">
        <v>0.51300000000000001</v>
      </c>
      <c r="H16" s="45">
        <v>0.51300000000000001</v>
      </c>
      <c r="I16" s="45">
        <v>0.51300000000000001</v>
      </c>
      <c r="J16" s="45">
        <v>0.51300000000000001</v>
      </c>
      <c r="K16" s="45">
        <v>0.51900000000000002</v>
      </c>
      <c r="L16" s="45">
        <v>0.51900000000000002</v>
      </c>
      <c r="M16" s="49">
        <v>0.52400000000000002</v>
      </c>
      <c r="N16" s="50">
        <v>0.52400000000000002</v>
      </c>
      <c r="O16" s="45">
        <v>0.53100000000000003</v>
      </c>
      <c r="P16" s="45">
        <v>0.53600000000000003</v>
      </c>
      <c r="Q16" s="45">
        <v>0.54100000000000004</v>
      </c>
      <c r="R16" s="45">
        <v>0.56899999999999995</v>
      </c>
      <c r="S16" s="45">
        <v>0.60699999999999998</v>
      </c>
      <c r="T16" s="45">
        <v>0.621</v>
      </c>
      <c r="U16" s="45">
        <v>0.63700000000000001</v>
      </c>
      <c r="V16" s="45">
        <v>0.65100000000000002</v>
      </c>
      <c r="W16" s="45">
        <v>0.70199999999999996</v>
      </c>
      <c r="X16" s="45">
        <v>0.76</v>
      </c>
      <c r="Y16" s="49">
        <v>0.86199999999999999</v>
      </c>
      <c r="Z16" s="50">
        <v>0.97299999999999998</v>
      </c>
      <c r="AA16" s="45">
        <v>0.999</v>
      </c>
      <c r="AB16" s="45">
        <v>1.0309999999999999</v>
      </c>
      <c r="AC16" s="45">
        <v>1.0740000000000001</v>
      </c>
      <c r="AD16" s="45">
        <v>1.1319999999999999</v>
      </c>
      <c r="AE16" s="45">
        <v>1.1579999999999999</v>
      </c>
      <c r="AF16" s="45">
        <v>1.2290000000000001</v>
      </c>
      <c r="AG16" s="45">
        <v>1.454</v>
      </c>
      <c r="AH16" s="45">
        <v>1.7070000000000001</v>
      </c>
      <c r="AI16" s="45">
        <v>2.1859999999999999</v>
      </c>
      <c r="AJ16" s="45">
        <v>2.681</v>
      </c>
      <c r="AK16" s="49">
        <v>3.121</v>
      </c>
      <c r="AL16" s="50">
        <v>3.669</v>
      </c>
      <c r="AM16" s="45">
        <v>4.1459999999999999</v>
      </c>
      <c r="AN16" s="45">
        <v>4.8150000000000004</v>
      </c>
      <c r="AO16" s="45">
        <v>5.45</v>
      </c>
      <c r="AP16" s="45">
        <v>6.2290000000000001</v>
      </c>
      <c r="AQ16" s="45">
        <v>6.9690000000000003</v>
      </c>
      <c r="AR16" s="45">
        <v>8.1440000000000001</v>
      </c>
      <c r="AS16" s="45">
        <v>9.7829999999999995</v>
      </c>
      <c r="AT16" s="45">
        <v>11.89</v>
      </c>
      <c r="AU16" s="45">
        <v>13.694000000000001</v>
      </c>
      <c r="AV16" s="45">
        <v>15.805</v>
      </c>
      <c r="AW16" s="49">
        <v>17.353000000000002</v>
      </c>
      <c r="AX16" s="45">
        <v>19.427</v>
      </c>
      <c r="AY16" s="45">
        <v>25.596</v>
      </c>
      <c r="AZ16" s="45">
        <v>26.675000000000001</v>
      </c>
      <c r="BA16" s="45">
        <v>27.686</v>
      </c>
      <c r="BB16" s="45">
        <v>28.856000000000002</v>
      </c>
      <c r="BC16" s="45">
        <v>30.077000000000002</v>
      </c>
      <c r="BD16" s="45">
        <v>31.099</v>
      </c>
      <c r="BE16" s="45">
        <v>32.238</v>
      </c>
      <c r="BF16" s="45">
        <v>33.601999999999997</v>
      </c>
      <c r="BG16" s="45">
        <v>34.972999999999999</v>
      </c>
      <c r="BH16" s="45">
        <v>36.171999999999997</v>
      </c>
      <c r="BI16" s="49">
        <v>37.15</v>
      </c>
      <c r="BJ16" s="45">
        <v>38.067999999999998</v>
      </c>
      <c r="BK16" s="45">
        <v>39.154000000000003</v>
      </c>
      <c r="BL16" s="45">
        <v>40.268000000000001</v>
      </c>
      <c r="BM16" s="45">
        <v>41.366999999999997</v>
      </c>
      <c r="BN16" s="45">
        <v>42.468000000000004</v>
      </c>
      <c r="BO16" s="45">
        <v>43.582000000000001</v>
      </c>
      <c r="BP16" s="45">
        <v>44.698999999999998</v>
      </c>
      <c r="BQ16" s="45">
        <v>46.607999999999997</v>
      </c>
      <c r="BR16" s="45">
        <v>50.621000000000002</v>
      </c>
      <c r="BS16" s="45">
        <v>51.173000000000002</v>
      </c>
      <c r="BT16" s="45">
        <v>51.738999999999997</v>
      </c>
      <c r="BU16" s="49">
        <v>52.182000000000002</v>
      </c>
      <c r="BV16" s="45">
        <v>52.679000000000002</v>
      </c>
      <c r="BW16" s="45">
        <v>53.104999999999997</v>
      </c>
      <c r="BX16" s="45">
        <v>53.646999999999998</v>
      </c>
      <c r="BY16" s="45">
        <v>54.215000000000003</v>
      </c>
      <c r="BZ16" s="45">
        <v>54.838000000000001</v>
      </c>
      <c r="CA16" s="45">
        <v>55.567999999999998</v>
      </c>
      <c r="CB16" s="45">
        <v>56.152000000000001</v>
      </c>
      <c r="CC16" s="45">
        <v>57.045000000000002</v>
      </c>
      <c r="CD16" s="45">
        <v>58.844000000000001</v>
      </c>
      <c r="CE16" s="45">
        <v>58.892000000000003</v>
      </c>
      <c r="CF16" s="45">
        <v>59.024999999999999</v>
      </c>
      <c r="CG16" s="49">
        <v>59.146999999999998</v>
      </c>
      <c r="CH16" s="45">
        <v>59.232999999999997</v>
      </c>
      <c r="CI16" s="45">
        <v>59.392000000000003</v>
      </c>
      <c r="CJ16" s="45">
        <v>59.881999999999998</v>
      </c>
      <c r="CK16" s="45">
        <v>59.898000000000003</v>
      </c>
      <c r="CL16" s="45">
        <v>59.902000000000001</v>
      </c>
      <c r="CM16" s="45">
        <v>59.902000000000001</v>
      </c>
      <c r="CN16" s="45">
        <v>59.905999999999999</v>
      </c>
      <c r="CO16" s="45">
        <v>59.93</v>
      </c>
      <c r="CP16" s="45">
        <v>59.948</v>
      </c>
      <c r="CQ16" s="45">
        <v>59.948</v>
      </c>
      <c r="CR16" s="45">
        <v>59.965000000000003</v>
      </c>
      <c r="CS16" s="49">
        <v>59.969000000000001</v>
      </c>
      <c r="CT16" s="45">
        <v>59.976999999999997</v>
      </c>
      <c r="CU16" s="45">
        <v>60.024999999999999</v>
      </c>
      <c r="CV16" s="45">
        <v>60.076999999999998</v>
      </c>
      <c r="CW16" s="45">
        <v>60.125999999999998</v>
      </c>
      <c r="CX16" s="45">
        <v>60.155999999999999</v>
      </c>
      <c r="CY16" s="45">
        <v>60.189</v>
      </c>
      <c r="CZ16" s="45">
        <v>60.231999999999999</v>
      </c>
      <c r="DA16" s="45">
        <v>60.280999999999999</v>
      </c>
      <c r="DB16" s="45">
        <v>60.311</v>
      </c>
      <c r="DC16" s="45">
        <v>60.319000000000003</v>
      </c>
      <c r="DD16" s="45">
        <v>60.331000000000003</v>
      </c>
      <c r="DE16" s="49">
        <v>60.354999999999997</v>
      </c>
      <c r="DF16" s="45">
        <v>60.378</v>
      </c>
      <c r="DG16" s="45">
        <v>60.406999999999996</v>
      </c>
      <c r="DH16" s="45">
        <v>60.427</v>
      </c>
      <c r="DI16" s="45">
        <v>60.436</v>
      </c>
      <c r="DJ16" s="45">
        <v>60.448</v>
      </c>
      <c r="DK16" s="45">
        <v>60.476999999999997</v>
      </c>
      <c r="DL16" s="45">
        <v>60.508000000000003</v>
      </c>
      <c r="DM16" s="45">
        <v>60.524999999999999</v>
      </c>
      <c r="DN16" s="45">
        <v>60.555999999999997</v>
      </c>
      <c r="DO16" s="45">
        <v>60.567999999999998</v>
      </c>
      <c r="DP16" s="45">
        <v>60.576999999999998</v>
      </c>
      <c r="DQ16" s="49">
        <v>60.591000000000001</v>
      </c>
      <c r="DR16" s="45">
        <v>60.621000000000002</v>
      </c>
      <c r="DS16" s="45">
        <v>60.671999999999997</v>
      </c>
      <c r="DT16" s="45">
        <v>60.695999999999998</v>
      </c>
      <c r="DU16" s="45">
        <v>60.7</v>
      </c>
      <c r="DV16" s="45">
        <v>60.7</v>
      </c>
      <c r="DW16" s="45">
        <v>60.75</v>
      </c>
      <c r="DX16" s="45">
        <v>60.802</v>
      </c>
      <c r="DY16" s="45">
        <v>60.837000000000003</v>
      </c>
      <c r="DZ16" s="45">
        <v>60.889000000000003</v>
      </c>
      <c r="EA16" s="45">
        <v>60.902999999999999</v>
      </c>
      <c r="EB16" s="45">
        <v>60.954999999999998</v>
      </c>
      <c r="EC16" s="49">
        <v>60.98</v>
      </c>
      <c r="ED16" s="45">
        <v>61.006999999999998</v>
      </c>
      <c r="EE16" s="45">
        <v>61.054000000000002</v>
      </c>
      <c r="EF16" s="45">
        <v>61.122999999999998</v>
      </c>
      <c r="EG16" s="45">
        <v>61.210999999999999</v>
      </c>
      <c r="EH16" s="45">
        <v>61.366</v>
      </c>
      <c r="EI16" s="45">
        <v>61.52</v>
      </c>
      <c r="EJ16" s="45">
        <v>61.604999999999997</v>
      </c>
      <c r="EK16" s="45">
        <v>61.765000000000001</v>
      </c>
      <c r="EL16" s="45">
        <v>62.009</v>
      </c>
      <c r="EM16" s="45">
        <v>62.12</v>
      </c>
      <c r="EN16" s="45">
        <v>62.478000000000002</v>
      </c>
      <c r="EO16" s="82">
        <v>62.628999999999998</v>
      </c>
      <c r="EP16" s="45">
        <v>63.048000000000002</v>
      </c>
      <c r="EQ16" s="45">
        <v>63.277999999999999</v>
      </c>
      <c r="ER16" s="45">
        <v>63.66</v>
      </c>
      <c r="ES16" s="45">
        <v>64.055000000000007</v>
      </c>
      <c r="ET16" s="45">
        <v>64.766000000000005</v>
      </c>
      <c r="EU16" s="45">
        <v>65.399000000000001</v>
      </c>
      <c r="EV16" s="45">
        <v>65.965999999999994</v>
      </c>
      <c r="EW16" s="45">
        <v>66.597999999999999</v>
      </c>
      <c r="EX16" s="45">
        <v>67.442999999999998</v>
      </c>
      <c r="EY16" s="45">
        <v>68.215999999999994</v>
      </c>
      <c r="EZ16" s="45">
        <v>69.332999999999998</v>
      </c>
      <c r="FA16" s="82">
        <v>70.006</v>
      </c>
      <c r="FB16" s="45">
        <v>70.951999999999998</v>
      </c>
      <c r="FC16" s="45">
        <v>71.674999999999997</v>
      </c>
      <c r="FD16" s="45">
        <v>72.33</v>
      </c>
      <c r="FE16" s="45">
        <v>72.787000000000006</v>
      </c>
      <c r="FF16" s="45">
        <v>73.510000000000005</v>
      </c>
      <c r="FG16" s="45">
        <v>74.308999999999997</v>
      </c>
      <c r="FH16" s="45">
        <v>75.022000000000006</v>
      </c>
      <c r="FI16" s="45">
        <v>75.888999999999996</v>
      </c>
      <c r="FJ16" s="45">
        <v>76.566999999999993</v>
      </c>
      <c r="FK16" s="155">
        <v>77.284000000000006</v>
      </c>
      <c r="FL16" s="155">
        <v>77.951999999999998</v>
      </c>
      <c r="FM16" s="155">
        <v>78.411000000000001</v>
      </c>
      <c r="FN16" s="69">
        <v>78.878</v>
      </c>
      <c r="FO16" s="155">
        <v>79.44</v>
      </c>
      <c r="FP16" s="155">
        <v>79.799000000000007</v>
      </c>
      <c r="FQ16" s="155">
        <v>80.387</v>
      </c>
      <c r="FR16" s="155">
        <v>81.027000000000001</v>
      </c>
      <c r="FS16" s="155">
        <v>81.798000000000002</v>
      </c>
      <c r="FT16" s="155">
        <v>82.534000000000006</v>
      </c>
      <c r="FU16" s="178">
        <v>83.325999999999993</v>
      </c>
      <c r="FV16" s="178">
        <v>83.965000000000003</v>
      </c>
      <c r="FW16" s="178">
        <v>84.622</v>
      </c>
      <c r="FX16" s="178">
        <v>85.316999999999993</v>
      </c>
      <c r="FY16" s="180">
        <v>85.626000000000005</v>
      </c>
      <c r="FZ16" s="178">
        <v>86.215000000000003</v>
      </c>
      <c r="GA16" s="178">
        <v>86.787999999999997</v>
      </c>
      <c r="GB16" s="178">
        <v>87.644999999999996</v>
      </c>
      <c r="GC16" s="178">
        <v>88.388000000000005</v>
      </c>
      <c r="GD16" s="178">
        <v>89.644000000000005</v>
      </c>
      <c r="GE16" s="178">
        <v>90.778000000000006</v>
      </c>
      <c r="GF16" s="178">
        <v>91.664000000000001</v>
      </c>
      <c r="GG16" s="178">
        <v>92.686999999999998</v>
      </c>
      <c r="GH16" s="178">
        <v>93.744</v>
      </c>
      <c r="GI16" s="178">
        <v>94.893000000000001</v>
      </c>
      <c r="GJ16" s="178">
        <v>95.966999999999999</v>
      </c>
      <c r="GK16" s="180">
        <v>96.632999999999996</v>
      </c>
      <c r="GL16" s="178">
        <v>97.635999999999996</v>
      </c>
      <c r="GM16" s="178">
        <v>98.662999999999997</v>
      </c>
      <c r="GN16" s="178">
        <v>99.956000000000003</v>
      </c>
      <c r="GO16" s="178">
        <v>101.554</v>
      </c>
    </row>
    <row r="17" spans="1:197" s="1" customFormat="1" ht="20.149999999999999" customHeight="1" x14ac:dyDescent="0.35">
      <c r="A17" s="31" t="s">
        <v>1625</v>
      </c>
      <c r="B17" s="45">
        <v>0.217</v>
      </c>
      <c r="C17" s="45">
        <v>0.217</v>
      </c>
      <c r="D17" s="45">
        <v>0.25</v>
      </c>
      <c r="E17" s="45">
        <v>0.25</v>
      </c>
      <c r="F17" s="45">
        <v>0.25</v>
      </c>
      <c r="G17" s="45">
        <v>0.26200000000000001</v>
      </c>
      <c r="H17" s="45">
        <v>0.27700000000000002</v>
      </c>
      <c r="I17" s="45">
        <v>0.27700000000000002</v>
      </c>
      <c r="J17" s="45">
        <v>0.27700000000000002</v>
      </c>
      <c r="K17" s="45">
        <v>0.27700000000000002</v>
      </c>
      <c r="L17" s="45">
        <v>0.27700000000000002</v>
      </c>
      <c r="M17" s="49">
        <v>0.27700000000000002</v>
      </c>
      <c r="N17" s="50">
        <v>0.27700000000000002</v>
      </c>
      <c r="O17" s="45">
        <v>0.27700000000000002</v>
      </c>
      <c r="P17" s="45">
        <v>0.27700000000000002</v>
      </c>
      <c r="Q17" s="45">
        <v>0.27700000000000002</v>
      </c>
      <c r="R17" s="45">
        <v>0.27700000000000002</v>
      </c>
      <c r="S17" s="45">
        <v>0.27700000000000002</v>
      </c>
      <c r="T17" s="45">
        <v>0.27700000000000002</v>
      </c>
      <c r="U17" s="45">
        <v>0.27700000000000002</v>
      </c>
      <c r="V17" s="45">
        <v>0.27700000000000002</v>
      </c>
      <c r="W17" s="45">
        <v>0.29699999999999999</v>
      </c>
      <c r="X17" s="45">
        <v>0.29699999999999999</v>
      </c>
      <c r="Y17" s="49">
        <v>0.307</v>
      </c>
      <c r="Z17" s="50">
        <v>0.307</v>
      </c>
      <c r="AA17" s="45">
        <v>0.34799999999999998</v>
      </c>
      <c r="AB17" s="45">
        <v>0.38800000000000001</v>
      </c>
      <c r="AC17" s="45">
        <v>0.40799999999999997</v>
      </c>
      <c r="AD17" s="45">
        <v>0.40799999999999997</v>
      </c>
      <c r="AE17" s="45">
        <v>0.40799999999999997</v>
      </c>
      <c r="AF17" s="45">
        <v>0.40799999999999997</v>
      </c>
      <c r="AG17" s="45">
        <v>0.49099999999999999</v>
      </c>
      <c r="AH17" s="45">
        <v>0.54200000000000004</v>
      </c>
      <c r="AI17" s="45">
        <v>0.67300000000000004</v>
      </c>
      <c r="AJ17" s="45">
        <v>0.89300000000000002</v>
      </c>
      <c r="AK17" s="49">
        <v>0.98599999999999999</v>
      </c>
      <c r="AL17" s="50">
        <v>1.125</v>
      </c>
      <c r="AM17" s="45">
        <v>1.2</v>
      </c>
      <c r="AN17" s="45">
        <v>1.33</v>
      </c>
      <c r="AO17" s="45">
        <v>1.409</v>
      </c>
      <c r="AP17" s="45">
        <v>1.7350000000000001</v>
      </c>
      <c r="AQ17" s="45">
        <v>2.1520000000000001</v>
      </c>
      <c r="AR17" s="45">
        <v>2.544</v>
      </c>
      <c r="AS17" s="45">
        <v>3.3479999999999999</v>
      </c>
      <c r="AT17" s="45">
        <v>3.7559999999999998</v>
      </c>
      <c r="AU17" s="45">
        <v>4.2629999999999999</v>
      </c>
      <c r="AV17" s="45">
        <v>5.141</v>
      </c>
      <c r="AW17" s="49">
        <v>5.8049999999999997</v>
      </c>
      <c r="AX17" s="45">
        <v>6.9489999999999998</v>
      </c>
      <c r="AY17" s="45">
        <v>10.959</v>
      </c>
      <c r="AZ17" s="45">
        <v>11.295</v>
      </c>
      <c r="BA17" s="45">
        <v>11.76</v>
      </c>
      <c r="BB17" s="45">
        <v>12.656000000000001</v>
      </c>
      <c r="BC17" s="45">
        <v>13.215999999999999</v>
      </c>
      <c r="BD17" s="45">
        <v>13.746</v>
      </c>
      <c r="BE17" s="45">
        <v>14.12</v>
      </c>
      <c r="BF17" s="45">
        <v>14.744</v>
      </c>
      <c r="BG17" s="45">
        <v>15.169</v>
      </c>
      <c r="BH17" s="45">
        <v>15.662000000000001</v>
      </c>
      <c r="BI17" s="49">
        <v>16.146999999999998</v>
      </c>
      <c r="BJ17" s="45">
        <v>16.981000000000002</v>
      </c>
      <c r="BK17" s="45">
        <v>18.204999999999998</v>
      </c>
      <c r="BL17" s="45">
        <v>20.013000000000002</v>
      </c>
      <c r="BM17" s="45">
        <v>21.024000000000001</v>
      </c>
      <c r="BN17" s="45">
        <v>21.792999999999999</v>
      </c>
      <c r="BO17" s="45">
        <v>22.95</v>
      </c>
      <c r="BP17" s="45">
        <v>23.696999999999999</v>
      </c>
      <c r="BQ17" s="45">
        <v>25.457000000000001</v>
      </c>
      <c r="BR17" s="45">
        <v>31.257999999999999</v>
      </c>
      <c r="BS17" s="45">
        <v>31.553000000000001</v>
      </c>
      <c r="BT17" s="45">
        <v>31.757999999999999</v>
      </c>
      <c r="BU17" s="49">
        <v>31.937000000000001</v>
      </c>
      <c r="BV17" s="45">
        <v>32.161999999999999</v>
      </c>
      <c r="BW17" s="45">
        <v>32.356000000000002</v>
      </c>
      <c r="BX17" s="45">
        <v>32.69</v>
      </c>
      <c r="BY17" s="45">
        <v>32.917999999999999</v>
      </c>
      <c r="BZ17" s="45">
        <v>33.335999999999999</v>
      </c>
      <c r="CA17" s="45">
        <v>33.953000000000003</v>
      </c>
      <c r="CB17" s="45">
        <v>34.661000000000001</v>
      </c>
      <c r="CC17" s="45">
        <v>35.612000000000002</v>
      </c>
      <c r="CD17" s="45">
        <v>39.152999999999999</v>
      </c>
      <c r="CE17" s="45">
        <v>39.226999999999997</v>
      </c>
      <c r="CF17" s="45">
        <v>39.283000000000001</v>
      </c>
      <c r="CG17" s="49">
        <v>39.354999999999997</v>
      </c>
      <c r="CH17" s="45">
        <v>39.378999999999998</v>
      </c>
      <c r="CI17" s="45">
        <v>39.555999999999997</v>
      </c>
      <c r="CJ17" s="45">
        <v>40.21</v>
      </c>
      <c r="CK17" s="45">
        <v>40.241999999999997</v>
      </c>
      <c r="CL17" s="45">
        <v>40.241999999999997</v>
      </c>
      <c r="CM17" s="45">
        <v>40.292000000000002</v>
      </c>
      <c r="CN17" s="45">
        <v>40.304000000000002</v>
      </c>
      <c r="CO17" s="45">
        <v>40.347999999999999</v>
      </c>
      <c r="CP17" s="45">
        <v>40.347999999999999</v>
      </c>
      <c r="CQ17" s="45">
        <v>40.36</v>
      </c>
      <c r="CR17" s="45">
        <v>40.49</v>
      </c>
      <c r="CS17" s="49">
        <v>40.567</v>
      </c>
      <c r="CT17" s="45">
        <v>40.567</v>
      </c>
      <c r="CU17" s="45">
        <v>40.579000000000001</v>
      </c>
      <c r="CV17" s="45">
        <v>40.579000000000001</v>
      </c>
      <c r="CW17" s="45">
        <v>40.651000000000003</v>
      </c>
      <c r="CX17" s="45">
        <v>40.662999999999997</v>
      </c>
      <c r="CY17" s="45">
        <v>40.674999999999997</v>
      </c>
      <c r="CZ17" s="45">
        <v>40.686999999999998</v>
      </c>
      <c r="DA17" s="45">
        <v>40.805</v>
      </c>
      <c r="DB17" s="45">
        <v>40.817</v>
      </c>
      <c r="DC17" s="45">
        <v>40.826999999999998</v>
      </c>
      <c r="DD17" s="45">
        <v>40.85</v>
      </c>
      <c r="DE17" s="49">
        <v>40.904000000000003</v>
      </c>
      <c r="DF17" s="45">
        <v>40.904000000000003</v>
      </c>
      <c r="DG17" s="45">
        <v>40.966000000000001</v>
      </c>
      <c r="DH17" s="45">
        <v>40.966000000000001</v>
      </c>
      <c r="DI17" s="45">
        <v>40.966000000000001</v>
      </c>
      <c r="DJ17" s="45">
        <v>40.966000000000001</v>
      </c>
      <c r="DK17" s="45">
        <v>41.002000000000002</v>
      </c>
      <c r="DL17" s="45">
        <v>41.002000000000002</v>
      </c>
      <c r="DM17" s="45">
        <v>41.014000000000003</v>
      </c>
      <c r="DN17" s="45">
        <v>41.082000000000001</v>
      </c>
      <c r="DO17" s="45">
        <v>41.128999999999998</v>
      </c>
      <c r="DP17" s="45">
        <v>41.149000000000001</v>
      </c>
      <c r="DQ17" s="49">
        <v>41.161999999999999</v>
      </c>
      <c r="DR17" s="45">
        <v>41.173999999999999</v>
      </c>
      <c r="DS17" s="45">
        <v>41.173999999999999</v>
      </c>
      <c r="DT17" s="45">
        <v>41.186</v>
      </c>
      <c r="DU17" s="45">
        <v>41.198</v>
      </c>
      <c r="DV17" s="45">
        <v>41.198</v>
      </c>
      <c r="DW17" s="45">
        <v>41.219000000000001</v>
      </c>
      <c r="DX17" s="45">
        <v>41.27</v>
      </c>
      <c r="DY17" s="45">
        <v>41.27</v>
      </c>
      <c r="DZ17" s="45">
        <v>41.293999999999997</v>
      </c>
      <c r="EA17" s="45">
        <v>41.293999999999997</v>
      </c>
      <c r="EB17" s="45">
        <v>41.293999999999997</v>
      </c>
      <c r="EC17" s="49">
        <v>41.293999999999997</v>
      </c>
      <c r="ED17" s="45">
        <v>41.304000000000002</v>
      </c>
      <c r="EE17" s="45">
        <v>41.304000000000002</v>
      </c>
      <c r="EF17" s="45">
        <v>41.326000000000001</v>
      </c>
      <c r="EG17" s="45">
        <v>41.393999999999998</v>
      </c>
      <c r="EH17" s="45">
        <v>41.454999999999998</v>
      </c>
      <c r="EI17" s="45">
        <v>41.530999999999999</v>
      </c>
      <c r="EJ17" s="45">
        <v>41.546999999999997</v>
      </c>
      <c r="EK17" s="45">
        <v>41.558</v>
      </c>
      <c r="EL17" s="45">
        <v>41.603000000000002</v>
      </c>
      <c r="EM17" s="45">
        <v>41.673000000000002</v>
      </c>
      <c r="EN17" s="45">
        <v>41.718000000000004</v>
      </c>
      <c r="EO17" s="82">
        <v>41.761000000000003</v>
      </c>
      <c r="EP17" s="45">
        <v>41.828000000000003</v>
      </c>
      <c r="EQ17" s="45">
        <v>41.954000000000001</v>
      </c>
      <c r="ER17" s="45">
        <v>42.094999999999999</v>
      </c>
      <c r="ES17" s="45">
        <v>42.191000000000003</v>
      </c>
      <c r="ET17" s="45">
        <v>42.323999999999998</v>
      </c>
      <c r="EU17" s="45">
        <v>42.511000000000003</v>
      </c>
      <c r="EV17" s="45">
        <v>42.656999999999996</v>
      </c>
      <c r="EW17" s="45">
        <v>42.85</v>
      </c>
      <c r="EX17" s="45">
        <v>43.018999999999998</v>
      </c>
      <c r="EY17" s="45">
        <v>43.448</v>
      </c>
      <c r="EZ17" s="45">
        <v>43.716000000000001</v>
      </c>
      <c r="FA17" s="82">
        <v>43.935000000000002</v>
      </c>
      <c r="FB17" s="45">
        <v>44.195</v>
      </c>
      <c r="FC17" s="45">
        <v>44.591000000000001</v>
      </c>
      <c r="FD17" s="45">
        <v>44.963000000000001</v>
      </c>
      <c r="FE17" s="45">
        <v>45.363</v>
      </c>
      <c r="FF17" s="45">
        <v>45.688000000000002</v>
      </c>
      <c r="FG17" s="45">
        <v>45.917999999999999</v>
      </c>
      <c r="FH17" s="45">
        <v>46.073</v>
      </c>
      <c r="FI17" s="45">
        <v>46.188000000000002</v>
      </c>
      <c r="FJ17" s="45">
        <v>46.466999999999999</v>
      </c>
      <c r="FK17" s="155">
        <v>47.034999999999997</v>
      </c>
      <c r="FL17" s="155">
        <v>47.271999999999998</v>
      </c>
      <c r="FM17" s="155">
        <v>47.49</v>
      </c>
      <c r="FN17" s="69">
        <v>47.613999999999997</v>
      </c>
      <c r="FO17" s="155">
        <v>47.874000000000002</v>
      </c>
      <c r="FP17" s="155">
        <v>48.018999999999998</v>
      </c>
      <c r="FQ17" s="155">
        <v>48.404000000000003</v>
      </c>
      <c r="FR17" s="155">
        <v>48.533000000000001</v>
      </c>
      <c r="FS17" s="155">
        <v>48.692999999999998</v>
      </c>
      <c r="FT17" s="155">
        <v>48.859000000000002</v>
      </c>
      <c r="FU17" s="178">
        <v>48.975000000000001</v>
      </c>
      <c r="FV17" s="178">
        <v>49.054000000000002</v>
      </c>
      <c r="FW17" s="178">
        <v>49.127000000000002</v>
      </c>
      <c r="FX17" s="178">
        <v>49.256</v>
      </c>
      <c r="FY17" s="180">
        <v>49.347000000000001</v>
      </c>
      <c r="FZ17" s="178">
        <v>49.432000000000002</v>
      </c>
      <c r="GA17" s="178">
        <v>49.637999999999998</v>
      </c>
      <c r="GB17" s="178">
        <v>49.720999999999997</v>
      </c>
      <c r="GC17" s="178">
        <v>49.933999999999997</v>
      </c>
      <c r="GD17" s="178">
        <v>50.204000000000001</v>
      </c>
      <c r="GE17" s="178">
        <v>50.545999999999999</v>
      </c>
      <c r="GF17" s="178">
        <v>50.777999999999999</v>
      </c>
      <c r="GG17" s="178">
        <v>51.006</v>
      </c>
      <c r="GH17" s="178">
        <v>51.207000000000001</v>
      </c>
      <c r="GI17" s="178">
        <v>51.610999999999997</v>
      </c>
      <c r="GJ17" s="178">
        <v>51.942</v>
      </c>
      <c r="GK17" s="180">
        <v>52.076999999999998</v>
      </c>
      <c r="GL17" s="178">
        <v>52.289000000000001</v>
      </c>
      <c r="GM17" s="178">
        <v>52.478000000000002</v>
      </c>
      <c r="GN17" s="178">
        <v>52.674999999999997</v>
      </c>
      <c r="GO17" s="178">
        <v>52.784999999999997</v>
      </c>
    </row>
    <row r="18" spans="1:197" s="1" customFormat="1" ht="20.149999999999999" customHeight="1" x14ac:dyDescent="0.35">
      <c r="A18" s="31" t="s">
        <v>1627</v>
      </c>
      <c r="B18" s="45">
        <v>0</v>
      </c>
      <c r="C18" s="45">
        <v>0</v>
      </c>
      <c r="D18" s="45">
        <v>0</v>
      </c>
      <c r="E18" s="45">
        <v>0</v>
      </c>
      <c r="F18" s="45">
        <v>0</v>
      </c>
      <c r="G18" s="45">
        <v>0</v>
      </c>
      <c r="H18" s="45">
        <v>0</v>
      </c>
      <c r="I18" s="45">
        <v>0</v>
      </c>
      <c r="J18" s="45">
        <v>0</v>
      </c>
      <c r="K18" s="45">
        <v>0</v>
      </c>
      <c r="L18" s="45">
        <v>0</v>
      </c>
      <c r="M18" s="49">
        <v>0</v>
      </c>
      <c r="N18" s="50">
        <v>0</v>
      </c>
      <c r="O18" s="45">
        <v>0</v>
      </c>
      <c r="P18" s="45">
        <v>0</v>
      </c>
      <c r="Q18" s="45">
        <v>0</v>
      </c>
      <c r="R18" s="45">
        <v>0</v>
      </c>
      <c r="S18" s="45">
        <v>0</v>
      </c>
      <c r="T18" s="45">
        <v>0</v>
      </c>
      <c r="U18" s="45">
        <v>0</v>
      </c>
      <c r="V18" s="45">
        <v>0</v>
      </c>
      <c r="W18" s="45">
        <v>0</v>
      </c>
      <c r="X18" s="45">
        <v>0</v>
      </c>
      <c r="Y18" s="49">
        <v>0</v>
      </c>
      <c r="Z18" s="50">
        <v>0</v>
      </c>
      <c r="AA18" s="45">
        <v>0</v>
      </c>
      <c r="AB18" s="45">
        <v>0</v>
      </c>
      <c r="AC18" s="45">
        <v>0</v>
      </c>
      <c r="AD18" s="45">
        <v>0</v>
      </c>
      <c r="AE18" s="45">
        <v>0</v>
      </c>
      <c r="AF18" s="45">
        <v>0</v>
      </c>
      <c r="AG18" s="45">
        <v>0</v>
      </c>
      <c r="AH18" s="45">
        <v>0</v>
      </c>
      <c r="AI18" s="45">
        <v>0.05</v>
      </c>
      <c r="AJ18" s="45">
        <v>0.255</v>
      </c>
      <c r="AK18" s="49">
        <v>0.255</v>
      </c>
      <c r="AL18" s="50">
        <v>0.255</v>
      </c>
      <c r="AM18" s="45">
        <v>0.255</v>
      </c>
      <c r="AN18" s="45">
        <v>0.255</v>
      </c>
      <c r="AO18" s="45">
        <v>0.255</v>
      </c>
      <c r="AP18" s="45">
        <v>0.255</v>
      </c>
      <c r="AQ18" s="45">
        <v>0.255</v>
      </c>
      <c r="AR18" s="45">
        <v>0.255</v>
      </c>
      <c r="AS18" s="45">
        <v>0.255</v>
      </c>
      <c r="AT18" s="45">
        <v>0.255</v>
      </c>
      <c r="AU18" s="45">
        <v>0.255</v>
      </c>
      <c r="AV18" s="45">
        <v>0.45500000000000002</v>
      </c>
      <c r="AW18" s="49">
        <v>0.45500000000000002</v>
      </c>
      <c r="AX18" s="45">
        <v>0.60499999999999998</v>
      </c>
      <c r="AY18" s="45">
        <v>0.85499999999999998</v>
      </c>
      <c r="AZ18" s="45">
        <v>1.0049999999999999</v>
      </c>
      <c r="BA18" s="45">
        <v>1.0049999999999999</v>
      </c>
      <c r="BB18" s="45">
        <v>1.3979999999999999</v>
      </c>
      <c r="BC18" s="45">
        <v>1.6479999999999999</v>
      </c>
      <c r="BD18" s="45">
        <v>2.266</v>
      </c>
      <c r="BE18" s="45">
        <v>2.3660000000000001</v>
      </c>
      <c r="BF18" s="45">
        <v>2.4159999999999999</v>
      </c>
      <c r="BG18" s="45">
        <v>2.6160000000000001</v>
      </c>
      <c r="BH18" s="45">
        <v>2.6659999999999999</v>
      </c>
      <c r="BI18" s="49">
        <v>4.1239999999999997</v>
      </c>
      <c r="BJ18" s="45">
        <v>4.3739999999999997</v>
      </c>
      <c r="BK18" s="45">
        <v>4.3739999999999997</v>
      </c>
      <c r="BL18" s="45">
        <v>4.7240000000000002</v>
      </c>
      <c r="BM18" s="45">
        <v>4.8739999999999997</v>
      </c>
      <c r="BN18" s="45">
        <v>8.8070000000000004</v>
      </c>
      <c r="BO18" s="45">
        <v>8.9570000000000007</v>
      </c>
      <c r="BP18" s="45">
        <v>9.157</v>
      </c>
      <c r="BQ18" s="45">
        <v>9.8569999999999993</v>
      </c>
      <c r="BR18" s="45">
        <v>10.606999999999999</v>
      </c>
      <c r="BS18" s="45">
        <v>10.757</v>
      </c>
      <c r="BT18" s="45">
        <v>10.757</v>
      </c>
      <c r="BU18" s="49">
        <v>10.907</v>
      </c>
      <c r="BV18" s="45">
        <v>10.907</v>
      </c>
      <c r="BW18" s="45">
        <v>11.037000000000001</v>
      </c>
      <c r="BX18" s="45">
        <v>11.037000000000001</v>
      </c>
      <c r="BY18" s="45">
        <v>11.286</v>
      </c>
      <c r="BZ18" s="45">
        <v>16.085999999999999</v>
      </c>
      <c r="CA18" s="45">
        <v>16.135999999999999</v>
      </c>
      <c r="CB18" s="45">
        <v>16.385999999999999</v>
      </c>
      <c r="CC18" s="45">
        <v>16.436</v>
      </c>
      <c r="CD18" s="45">
        <v>16.436</v>
      </c>
      <c r="CE18" s="45">
        <v>16.436</v>
      </c>
      <c r="CF18" s="45">
        <v>16.436</v>
      </c>
      <c r="CG18" s="49">
        <v>16.436</v>
      </c>
      <c r="CH18" s="45">
        <v>17.055</v>
      </c>
      <c r="CI18" s="45">
        <v>17.600000000000001</v>
      </c>
      <c r="CJ18" s="45">
        <v>19.867000000000001</v>
      </c>
      <c r="CK18" s="45">
        <v>19.867000000000001</v>
      </c>
      <c r="CL18" s="45">
        <v>19.917000000000002</v>
      </c>
      <c r="CM18" s="45">
        <v>19.917000000000002</v>
      </c>
      <c r="CN18" s="45">
        <v>19.917000000000002</v>
      </c>
      <c r="CO18" s="45">
        <v>19.917000000000002</v>
      </c>
      <c r="CP18" s="45">
        <v>19.917000000000002</v>
      </c>
      <c r="CQ18" s="45">
        <v>19.917000000000002</v>
      </c>
      <c r="CR18" s="45">
        <v>19.917000000000002</v>
      </c>
      <c r="CS18" s="49">
        <v>19.917000000000002</v>
      </c>
      <c r="CT18" s="45">
        <v>19.917000000000002</v>
      </c>
      <c r="CU18" s="45">
        <v>19.917000000000002</v>
      </c>
      <c r="CV18" s="45">
        <v>30.077999999999999</v>
      </c>
      <c r="CW18" s="45">
        <v>30.077999999999999</v>
      </c>
      <c r="CX18" s="45">
        <v>30.077999999999999</v>
      </c>
      <c r="CY18" s="45">
        <v>30.077999999999999</v>
      </c>
      <c r="CZ18" s="45">
        <v>30.077999999999999</v>
      </c>
      <c r="DA18" s="45">
        <v>30.077999999999999</v>
      </c>
      <c r="DB18" s="45">
        <v>30.077999999999999</v>
      </c>
      <c r="DC18" s="45">
        <v>30.077999999999999</v>
      </c>
      <c r="DD18" s="45">
        <v>30.077999999999999</v>
      </c>
      <c r="DE18" s="49">
        <v>30.077999999999999</v>
      </c>
      <c r="DF18" s="45">
        <v>30.077999999999999</v>
      </c>
      <c r="DG18" s="45">
        <v>30.077999999999999</v>
      </c>
      <c r="DH18" s="45">
        <v>30.077999999999999</v>
      </c>
      <c r="DI18" s="45">
        <v>30.077999999999999</v>
      </c>
      <c r="DJ18" s="45">
        <v>30.077999999999999</v>
      </c>
      <c r="DK18" s="45">
        <v>30.077999999999999</v>
      </c>
      <c r="DL18" s="45">
        <v>30.077999999999999</v>
      </c>
      <c r="DM18" s="45">
        <v>30.077999999999999</v>
      </c>
      <c r="DN18" s="45">
        <v>30.077999999999999</v>
      </c>
      <c r="DO18" s="45">
        <v>30.077999999999999</v>
      </c>
      <c r="DP18" s="45">
        <v>30.077999999999999</v>
      </c>
      <c r="DQ18" s="49">
        <v>30.077999999999999</v>
      </c>
      <c r="DR18" s="45">
        <v>30.077999999999999</v>
      </c>
      <c r="DS18" s="45">
        <v>30.077999999999999</v>
      </c>
      <c r="DT18" s="45">
        <v>30.077999999999999</v>
      </c>
      <c r="DU18" s="45">
        <v>30.077999999999999</v>
      </c>
      <c r="DV18" s="45">
        <v>30.077999999999999</v>
      </c>
      <c r="DW18" s="45">
        <v>30.077999999999999</v>
      </c>
      <c r="DX18" s="45">
        <v>30.077999999999999</v>
      </c>
      <c r="DY18" s="45">
        <v>30.178000000000001</v>
      </c>
      <c r="DZ18" s="45">
        <v>30.178000000000001</v>
      </c>
      <c r="EA18" s="45">
        <v>30.178000000000001</v>
      </c>
      <c r="EB18" s="45">
        <v>30.178000000000001</v>
      </c>
      <c r="EC18" s="49">
        <v>30.178000000000001</v>
      </c>
      <c r="ED18" s="45">
        <v>30.178000000000001</v>
      </c>
      <c r="EE18" s="45">
        <v>30.178000000000001</v>
      </c>
      <c r="EF18" s="45">
        <v>30.178000000000001</v>
      </c>
      <c r="EG18" s="45">
        <v>30.178000000000001</v>
      </c>
      <c r="EH18" s="45">
        <v>30.178000000000001</v>
      </c>
      <c r="EI18" s="45">
        <v>30.178000000000001</v>
      </c>
      <c r="EJ18" s="45">
        <v>30.178000000000001</v>
      </c>
      <c r="EK18" s="45">
        <v>30.178000000000001</v>
      </c>
      <c r="EL18" s="45">
        <v>30.178000000000001</v>
      </c>
      <c r="EM18" s="45">
        <v>30.178000000000001</v>
      </c>
      <c r="EN18" s="45">
        <v>30.178000000000001</v>
      </c>
      <c r="EO18" s="82">
        <v>30.178000000000001</v>
      </c>
      <c r="EP18" s="45">
        <v>30.178000000000001</v>
      </c>
      <c r="EQ18" s="45">
        <v>30.178000000000001</v>
      </c>
      <c r="ER18" s="45">
        <v>30.228000000000002</v>
      </c>
      <c r="ES18" s="45">
        <v>30.228000000000002</v>
      </c>
      <c r="ET18" s="45">
        <v>30.277999999999999</v>
      </c>
      <c r="EU18" s="45">
        <v>30.277999999999999</v>
      </c>
      <c r="EV18" s="45">
        <v>30.277999999999999</v>
      </c>
      <c r="EW18" s="45">
        <v>30.277999999999999</v>
      </c>
      <c r="EX18" s="45">
        <v>30.277999999999999</v>
      </c>
      <c r="EY18" s="45">
        <v>30.277999999999999</v>
      </c>
      <c r="EZ18" s="45">
        <v>30.277999999999999</v>
      </c>
      <c r="FA18" s="82">
        <v>30.277999999999999</v>
      </c>
      <c r="FB18" s="45">
        <v>30.277999999999999</v>
      </c>
      <c r="FC18" s="45">
        <v>30.277999999999999</v>
      </c>
      <c r="FD18" s="45">
        <v>30.277999999999999</v>
      </c>
      <c r="FE18" s="45">
        <v>30.277999999999999</v>
      </c>
      <c r="FF18" s="45">
        <v>30.277999999999999</v>
      </c>
      <c r="FG18" s="45">
        <v>30.277999999999999</v>
      </c>
      <c r="FH18" s="45">
        <v>30.277999999999999</v>
      </c>
      <c r="FI18" s="45">
        <v>30.277999999999999</v>
      </c>
      <c r="FJ18" s="45">
        <v>30.327999999999999</v>
      </c>
      <c r="FK18" s="155">
        <v>30.628</v>
      </c>
      <c r="FL18" s="155">
        <v>30.628</v>
      </c>
      <c r="FM18" s="155">
        <v>30.628</v>
      </c>
      <c r="FN18" s="69">
        <v>30.628</v>
      </c>
      <c r="FO18" s="155">
        <v>30.628</v>
      </c>
      <c r="FP18" s="155">
        <v>30.628</v>
      </c>
      <c r="FQ18" s="155">
        <v>30.628</v>
      </c>
      <c r="FR18" s="155">
        <v>30.628</v>
      </c>
      <c r="FS18" s="155">
        <v>30.628</v>
      </c>
      <c r="FT18" s="155">
        <v>30.678000000000001</v>
      </c>
      <c r="FU18" s="178">
        <v>30.678000000000001</v>
      </c>
      <c r="FV18" s="178">
        <v>30.678000000000001</v>
      </c>
      <c r="FW18" s="178">
        <v>30.678000000000001</v>
      </c>
      <c r="FX18" s="178">
        <v>30.678000000000001</v>
      </c>
      <c r="FY18" s="180">
        <v>30.895</v>
      </c>
      <c r="FZ18" s="178">
        <v>30.895</v>
      </c>
      <c r="GA18" s="178">
        <v>30.895</v>
      </c>
      <c r="GB18" s="178">
        <v>30.895</v>
      </c>
      <c r="GC18" s="178">
        <v>30.895</v>
      </c>
      <c r="GD18" s="178">
        <v>30.895</v>
      </c>
      <c r="GE18" s="178">
        <v>30.895</v>
      </c>
      <c r="GF18" s="178">
        <v>30.945</v>
      </c>
      <c r="GG18" s="178">
        <v>30.995000000000001</v>
      </c>
      <c r="GH18" s="178">
        <v>30.995000000000001</v>
      </c>
      <c r="GI18" s="178">
        <v>30.995000000000001</v>
      </c>
      <c r="GJ18" s="178">
        <v>30.995000000000001</v>
      </c>
      <c r="GK18" s="180">
        <v>30.995000000000001</v>
      </c>
      <c r="GL18" s="178">
        <v>30.995000000000001</v>
      </c>
      <c r="GM18" s="178">
        <v>31.045000000000002</v>
      </c>
      <c r="GN18" s="178">
        <v>31.045000000000002</v>
      </c>
      <c r="GO18" s="178">
        <v>31.045000000000002</v>
      </c>
    </row>
    <row r="19" spans="1:197" s="1" customFormat="1" ht="20.149999999999999" customHeight="1" x14ac:dyDescent="0.35">
      <c r="A19" s="31" t="s">
        <v>1624</v>
      </c>
      <c r="B19" s="45">
        <v>0</v>
      </c>
      <c r="C19" s="45">
        <v>0</v>
      </c>
      <c r="D19" s="45">
        <v>0</v>
      </c>
      <c r="E19" s="45">
        <v>0</v>
      </c>
      <c r="F19" s="45">
        <v>0</v>
      </c>
      <c r="G19" s="45">
        <v>0</v>
      </c>
      <c r="H19" s="45">
        <v>0</v>
      </c>
      <c r="I19" s="45">
        <v>0</v>
      </c>
      <c r="J19" s="45">
        <v>0</v>
      </c>
      <c r="K19" s="45">
        <v>0</v>
      </c>
      <c r="L19" s="45">
        <v>0</v>
      </c>
      <c r="M19" s="49">
        <v>0</v>
      </c>
      <c r="N19" s="50">
        <v>0</v>
      </c>
      <c r="O19" s="45">
        <v>0</v>
      </c>
      <c r="P19" s="45">
        <v>0</v>
      </c>
      <c r="Q19" s="45">
        <v>0</v>
      </c>
      <c r="R19" s="45">
        <v>0</v>
      </c>
      <c r="S19" s="45">
        <v>0</v>
      </c>
      <c r="T19" s="45">
        <v>0</v>
      </c>
      <c r="U19" s="45">
        <v>0</v>
      </c>
      <c r="V19" s="45">
        <v>0</v>
      </c>
      <c r="W19" s="45">
        <v>0</v>
      </c>
      <c r="X19" s="45">
        <v>0</v>
      </c>
      <c r="Y19" s="49">
        <v>0</v>
      </c>
      <c r="Z19" s="50">
        <v>0</v>
      </c>
      <c r="AA19" s="45">
        <v>0</v>
      </c>
      <c r="AB19" s="45">
        <v>0</v>
      </c>
      <c r="AC19" s="45">
        <v>0</v>
      </c>
      <c r="AD19" s="45">
        <v>0</v>
      </c>
      <c r="AE19" s="45">
        <v>0</v>
      </c>
      <c r="AF19" s="45">
        <v>0</v>
      </c>
      <c r="AG19" s="45">
        <v>0</v>
      </c>
      <c r="AH19" s="45">
        <v>0</v>
      </c>
      <c r="AI19" s="45">
        <v>0</v>
      </c>
      <c r="AJ19" s="45">
        <v>0</v>
      </c>
      <c r="AK19" s="49">
        <v>0</v>
      </c>
      <c r="AL19" s="50">
        <v>0</v>
      </c>
      <c r="AM19" s="45">
        <v>0</v>
      </c>
      <c r="AN19" s="45">
        <v>0</v>
      </c>
      <c r="AO19" s="45">
        <v>0</v>
      </c>
      <c r="AP19" s="45">
        <v>0</v>
      </c>
      <c r="AQ19" s="45">
        <v>0</v>
      </c>
      <c r="AR19" s="45">
        <v>0</v>
      </c>
      <c r="AS19" s="45">
        <v>0</v>
      </c>
      <c r="AT19" s="45">
        <v>0</v>
      </c>
      <c r="AU19" s="45">
        <v>0</v>
      </c>
      <c r="AV19" s="45">
        <v>0</v>
      </c>
      <c r="AW19" s="49">
        <v>0</v>
      </c>
      <c r="AX19" s="45">
        <v>0</v>
      </c>
      <c r="AY19" s="45">
        <v>0</v>
      </c>
      <c r="AZ19" s="45">
        <v>0</v>
      </c>
      <c r="BA19" s="45">
        <v>0</v>
      </c>
      <c r="BB19" s="45">
        <v>0</v>
      </c>
      <c r="BC19" s="45">
        <v>0</v>
      </c>
      <c r="BD19" s="45">
        <v>0</v>
      </c>
      <c r="BE19" s="45">
        <v>0</v>
      </c>
      <c r="BF19" s="45">
        <v>0</v>
      </c>
      <c r="BG19" s="45">
        <v>0</v>
      </c>
      <c r="BH19" s="45">
        <v>0</v>
      </c>
      <c r="BI19" s="49">
        <v>0</v>
      </c>
      <c r="BJ19" s="45">
        <v>0</v>
      </c>
      <c r="BK19" s="45">
        <v>0</v>
      </c>
      <c r="BL19" s="45">
        <v>0</v>
      </c>
      <c r="BM19" s="45">
        <v>0</v>
      </c>
      <c r="BN19" s="45">
        <v>0</v>
      </c>
      <c r="BO19" s="45">
        <v>0</v>
      </c>
      <c r="BP19" s="45">
        <v>0</v>
      </c>
      <c r="BQ19" s="45">
        <v>0</v>
      </c>
      <c r="BR19" s="45">
        <v>0</v>
      </c>
      <c r="BS19" s="45">
        <v>0</v>
      </c>
      <c r="BT19" s="45">
        <v>0</v>
      </c>
      <c r="BU19" s="49">
        <v>0</v>
      </c>
      <c r="BV19" s="45">
        <v>0</v>
      </c>
      <c r="BW19" s="45">
        <v>0</v>
      </c>
      <c r="BX19" s="45">
        <v>0</v>
      </c>
      <c r="BY19" s="45">
        <v>5.1260000000000003</v>
      </c>
      <c r="BZ19" s="45">
        <v>5.1260000000000003</v>
      </c>
      <c r="CA19" s="45">
        <v>5.1260000000000003</v>
      </c>
      <c r="CB19" s="45">
        <v>5.1260000000000003</v>
      </c>
      <c r="CC19" s="45">
        <v>5.1260000000000003</v>
      </c>
      <c r="CD19" s="45">
        <v>5.1260000000000003</v>
      </c>
      <c r="CE19" s="45">
        <v>5.1260000000000003</v>
      </c>
      <c r="CF19" s="45">
        <v>5.1260000000000003</v>
      </c>
      <c r="CG19" s="49">
        <v>5.1260000000000003</v>
      </c>
      <c r="CH19" s="45">
        <v>5.1260000000000003</v>
      </c>
      <c r="CI19" s="45">
        <v>31.606999999999999</v>
      </c>
      <c r="CJ19" s="45">
        <v>65.807000000000002</v>
      </c>
      <c r="CK19" s="45">
        <v>65.807000000000002</v>
      </c>
      <c r="CL19" s="45">
        <v>65.807000000000002</v>
      </c>
      <c r="CM19" s="45">
        <v>65.807000000000002</v>
      </c>
      <c r="CN19" s="45">
        <v>65.807000000000002</v>
      </c>
      <c r="CO19" s="45">
        <v>65.807000000000002</v>
      </c>
      <c r="CP19" s="45">
        <v>65.807000000000002</v>
      </c>
      <c r="CQ19" s="45">
        <v>65.807000000000002</v>
      </c>
      <c r="CR19" s="45">
        <v>65.807000000000002</v>
      </c>
      <c r="CS19" s="49">
        <v>77.766999999999996</v>
      </c>
      <c r="CT19" s="45">
        <v>77.766999999999996</v>
      </c>
      <c r="CU19" s="45">
        <v>84.266999999999996</v>
      </c>
      <c r="CV19" s="45">
        <v>98.468999999999994</v>
      </c>
      <c r="CW19" s="45">
        <v>111.46899999999999</v>
      </c>
      <c r="CX19" s="45">
        <v>117.96899999999999</v>
      </c>
      <c r="CY19" s="45">
        <v>117.96899999999999</v>
      </c>
      <c r="CZ19" s="45">
        <v>117.96899999999999</v>
      </c>
      <c r="DA19" s="45">
        <v>117.96899999999999</v>
      </c>
      <c r="DB19" s="45">
        <v>117.96899999999999</v>
      </c>
      <c r="DC19" s="45">
        <v>117.96899999999999</v>
      </c>
      <c r="DD19" s="45">
        <v>117.96899999999999</v>
      </c>
      <c r="DE19" s="49">
        <v>117.96899999999999</v>
      </c>
      <c r="DF19" s="45">
        <v>117.96899999999999</v>
      </c>
      <c r="DG19" s="45">
        <v>117.96899999999999</v>
      </c>
      <c r="DH19" s="45">
        <v>117.96899999999999</v>
      </c>
      <c r="DI19" s="45">
        <v>117.96899999999999</v>
      </c>
      <c r="DJ19" s="45">
        <v>117.96899999999999</v>
      </c>
      <c r="DK19" s="45">
        <v>117.96899999999999</v>
      </c>
      <c r="DL19" s="45">
        <v>117.96899999999999</v>
      </c>
      <c r="DM19" s="45">
        <v>117.96899999999999</v>
      </c>
      <c r="DN19" s="45">
        <v>117.96899999999999</v>
      </c>
      <c r="DO19" s="45">
        <v>117.96899999999999</v>
      </c>
      <c r="DP19" s="45">
        <v>117.96899999999999</v>
      </c>
      <c r="DQ19" s="49">
        <v>117.96899999999999</v>
      </c>
      <c r="DR19" s="45">
        <v>117.96899999999999</v>
      </c>
      <c r="DS19" s="45">
        <v>117.96899999999999</v>
      </c>
      <c r="DT19" s="45">
        <v>117.96899999999999</v>
      </c>
      <c r="DU19" s="45">
        <v>117.96899999999999</v>
      </c>
      <c r="DV19" s="45">
        <v>117.96899999999999</v>
      </c>
      <c r="DW19" s="45">
        <v>117.96899999999999</v>
      </c>
      <c r="DX19" s="45">
        <v>117.96899999999999</v>
      </c>
      <c r="DY19" s="45">
        <v>117.96899999999999</v>
      </c>
      <c r="DZ19" s="45">
        <v>117.96899999999999</v>
      </c>
      <c r="EA19" s="45">
        <v>117.96899999999999</v>
      </c>
      <c r="EB19" s="45">
        <v>117.96899999999999</v>
      </c>
      <c r="EC19" s="49">
        <v>117.96899999999999</v>
      </c>
      <c r="ED19" s="45">
        <v>117.96899999999999</v>
      </c>
      <c r="EE19" s="45">
        <v>117.96899999999999</v>
      </c>
      <c r="EF19" s="45">
        <v>117.96899999999999</v>
      </c>
      <c r="EG19" s="45">
        <v>117.96899999999999</v>
      </c>
      <c r="EH19" s="45">
        <v>117.96899999999999</v>
      </c>
      <c r="EI19" s="45">
        <v>117.96899999999999</v>
      </c>
      <c r="EJ19" s="45">
        <v>117.96899999999999</v>
      </c>
      <c r="EK19" s="45">
        <v>117.96899999999999</v>
      </c>
      <c r="EL19" s="45">
        <v>117.96899999999999</v>
      </c>
      <c r="EM19" s="45">
        <v>117.96899999999999</v>
      </c>
      <c r="EN19" s="45">
        <v>117.96899999999999</v>
      </c>
      <c r="EO19" s="82">
        <v>117.96899999999999</v>
      </c>
      <c r="EP19" s="45">
        <v>117.96899999999999</v>
      </c>
      <c r="EQ19" s="45">
        <v>117.96899999999999</v>
      </c>
      <c r="ER19" s="45">
        <v>117.96899999999999</v>
      </c>
      <c r="ES19" s="45">
        <v>117.96899999999999</v>
      </c>
      <c r="ET19" s="45">
        <v>117.96899999999999</v>
      </c>
      <c r="EU19" s="45">
        <v>117.96899999999999</v>
      </c>
      <c r="EV19" s="45">
        <v>117.96899999999999</v>
      </c>
      <c r="EW19" s="45">
        <v>117.96899999999999</v>
      </c>
      <c r="EX19" s="45">
        <v>117.96899999999999</v>
      </c>
      <c r="EY19" s="45">
        <v>117.96899999999999</v>
      </c>
      <c r="EZ19" s="45">
        <v>117.96899999999999</v>
      </c>
      <c r="FA19" s="82">
        <v>117.96899999999999</v>
      </c>
      <c r="FB19" s="45">
        <v>117.96899999999999</v>
      </c>
      <c r="FC19" s="45">
        <v>117.96899999999999</v>
      </c>
      <c r="FD19" s="45">
        <v>117.96899999999999</v>
      </c>
      <c r="FE19" s="45">
        <v>117.96899999999999</v>
      </c>
      <c r="FF19" s="45">
        <v>117.96899999999999</v>
      </c>
      <c r="FG19" s="45">
        <v>117.96899999999999</v>
      </c>
      <c r="FH19" s="45">
        <v>117.96899999999999</v>
      </c>
      <c r="FI19" s="45">
        <v>117.96899999999999</v>
      </c>
      <c r="FJ19" s="45">
        <v>117.96899999999999</v>
      </c>
      <c r="FK19" s="155">
        <v>117.96899999999999</v>
      </c>
      <c r="FL19" s="155">
        <v>117.96899999999999</v>
      </c>
      <c r="FM19" s="155">
        <v>117.96899999999999</v>
      </c>
      <c r="FN19" s="69">
        <v>117.96899999999999</v>
      </c>
      <c r="FO19" s="155">
        <v>117.96899999999999</v>
      </c>
      <c r="FP19" s="155">
        <v>117.96899999999999</v>
      </c>
      <c r="FQ19" s="155">
        <v>117.96899999999999</v>
      </c>
      <c r="FR19" s="155">
        <v>117.96899999999999</v>
      </c>
      <c r="FS19" s="155">
        <v>117.96899999999999</v>
      </c>
      <c r="FT19" s="155">
        <v>117.96899999999999</v>
      </c>
      <c r="FU19" s="178">
        <v>117.96899999999999</v>
      </c>
      <c r="FV19" s="178">
        <v>117.96899999999999</v>
      </c>
      <c r="FW19" s="178">
        <v>117.96899999999999</v>
      </c>
      <c r="FX19" s="178">
        <v>117.96899999999999</v>
      </c>
      <c r="FY19" s="180">
        <v>117.96899999999999</v>
      </c>
      <c r="FZ19" s="178">
        <v>117.96899999999999</v>
      </c>
      <c r="GA19" s="178">
        <v>117.96899999999999</v>
      </c>
      <c r="GB19" s="178">
        <v>117.96899999999999</v>
      </c>
      <c r="GC19" s="178">
        <v>117.96899999999999</v>
      </c>
      <c r="GD19" s="178">
        <v>117.96899999999999</v>
      </c>
      <c r="GE19" s="178">
        <v>117.96899999999999</v>
      </c>
      <c r="GF19" s="178">
        <v>117.96899999999999</v>
      </c>
      <c r="GG19" s="178">
        <v>117.96899999999999</v>
      </c>
      <c r="GH19" s="178">
        <v>117.96899999999999</v>
      </c>
      <c r="GI19" s="178">
        <v>117.96899999999999</v>
      </c>
      <c r="GJ19" s="178">
        <v>117.96899999999999</v>
      </c>
      <c r="GK19" s="180">
        <v>117.96899999999999</v>
      </c>
      <c r="GL19" s="178">
        <v>117.96899999999999</v>
      </c>
      <c r="GM19" s="178">
        <v>117.96899999999999</v>
      </c>
      <c r="GN19" s="178">
        <v>117.96899999999999</v>
      </c>
      <c r="GO19" s="178">
        <v>117.96899999999999</v>
      </c>
    </row>
    <row r="20" spans="1:197" s="1" customFormat="1" ht="20.149999999999999" customHeight="1" x14ac:dyDescent="0.4">
      <c r="A20" s="31" t="s">
        <v>1628</v>
      </c>
      <c r="B20" s="46">
        <v>0</v>
      </c>
      <c r="C20" s="46">
        <v>0</v>
      </c>
      <c r="D20" s="46">
        <v>0</v>
      </c>
      <c r="E20" s="46">
        <v>0</v>
      </c>
      <c r="F20" s="46">
        <v>0</v>
      </c>
      <c r="G20" s="46">
        <v>0</v>
      </c>
      <c r="H20" s="46">
        <v>0</v>
      </c>
      <c r="I20" s="46">
        <v>0</v>
      </c>
      <c r="J20" s="46">
        <v>0</v>
      </c>
      <c r="K20" s="46">
        <v>0</v>
      </c>
      <c r="L20" s="46">
        <v>0</v>
      </c>
      <c r="M20" s="48">
        <v>0</v>
      </c>
      <c r="N20" s="47">
        <v>0</v>
      </c>
      <c r="O20" s="46">
        <v>0</v>
      </c>
      <c r="P20" s="46">
        <v>0</v>
      </c>
      <c r="Q20" s="46">
        <v>0</v>
      </c>
      <c r="R20" s="46">
        <v>0</v>
      </c>
      <c r="S20" s="46">
        <v>0</v>
      </c>
      <c r="T20" s="46">
        <v>0</v>
      </c>
      <c r="U20" s="46">
        <v>0</v>
      </c>
      <c r="V20" s="46">
        <v>0</v>
      </c>
      <c r="W20" s="46">
        <v>0</v>
      </c>
      <c r="X20" s="46">
        <v>0</v>
      </c>
      <c r="Y20" s="48">
        <v>0</v>
      </c>
      <c r="Z20" s="47">
        <v>0</v>
      </c>
      <c r="AA20" s="46">
        <v>0</v>
      </c>
      <c r="AB20" s="46">
        <v>0</v>
      </c>
      <c r="AC20" s="46">
        <v>0</v>
      </c>
      <c r="AD20" s="46">
        <v>0</v>
      </c>
      <c r="AE20" s="46">
        <v>0</v>
      </c>
      <c r="AF20" s="46">
        <v>0</v>
      </c>
      <c r="AG20" s="46">
        <v>0</v>
      </c>
      <c r="AH20" s="46">
        <v>0</v>
      </c>
      <c r="AI20" s="46">
        <v>0</v>
      </c>
      <c r="AJ20" s="46">
        <v>0</v>
      </c>
      <c r="AK20" s="48">
        <v>0</v>
      </c>
      <c r="AL20" s="47">
        <v>0</v>
      </c>
      <c r="AM20" s="46">
        <v>0</v>
      </c>
      <c r="AN20" s="46">
        <v>0</v>
      </c>
      <c r="AO20" s="46">
        <v>0</v>
      </c>
      <c r="AP20" s="46">
        <v>0</v>
      </c>
      <c r="AQ20" s="46">
        <v>0</v>
      </c>
      <c r="AR20" s="46">
        <v>0</v>
      </c>
      <c r="AS20" s="46">
        <v>0</v>
      </c>
      <c r="AT20" s="46">
        <v>0</v>
      </c>
      <c r="AU20" s="46">
        <v>0</v>
      </c>
      <c r="AV20" s="46">
        <v>0</v>
      </c>
      <c r="AW20" s="48">
        <v>0</v>
      </c>
      <c r="AX20" s="46">
        <v>0</v>
      </c>
      <c r="AY20" s="46">
        <v>0</v>
      </c>
      <c r="AZ20" s="46">
        <v>0</v>
      </c>
      <c r="BA20" s="46">
        <v>0</v>
      </c>
      <c r="BB20" s="46">
        <v>0</v>
      </c>
      <c r="BC20" s="46">
        <v>0</v>
      </c>
      <c r="BD20" s="46">
        <v>0</v>
      </c>
      <c r="BE20" s="46">
        <v>0</v>
      </c>
      <c r="BF20" s="46">
        <v>0</v>
      </c>
      <c r="BG20" s="46">
        <v>0</v>
      </c>
      <c r="BH20" s="46">
        <v>0</v>
      </c>
      <c r="BI20" s="48">
        <v>0</v>
      </c>
      <c r="BJ20" s="46">
        <v>0</v>
      </c>
      <c r="BK20" s="46">
        <v>0</v>
      </c>
      <c r="BL20" s="46">
        <v>0</v>
      </c>
      <c r="BM20" s="46">
        <v>0</v>
      </c>
      <c r="BN20" s="46">
        <v>0</v>
      </c>
      <c r="BO20" s="46">
        <v>0</v>
      </c>
      <c r="BP20" s="46">
        <v>0</v>
      </c>
      <c r="BQ20" s="46">
        <v>0</v>
      </c>
      <c r="BR20" s="46">
        <v>0</v>
      </c>
      <c r="BS20" s="46">
        <v>0</v>
      </c>
      <c r="BT20" s="46">
        <v>0</v>
      </c>
      <c r="BU20" s="48">
        <v>0</v>
      </c>
      <c r="BV20" s="46">
        <v>0</v>
      </c>
      <c r="BW20" s="46">
        <v>0</v>
      </c>
      <c r="BX20" s="46">
        <v>0</v>
      </c>
      <c r="BY20" s="46">
        <v>0</v>
      </c>
      <c r="BZ20" s="46">
        <v>0</v>
      </c>
      <c r="CA20" s="46">
        <v>0</v>
      </c>
      <c r="CB20" s="46">
        <v>0</v>
      </c>
      <c r="CC20" s="46">
        <v>0</v>
      </c>
      <c r="CD20" s="46">
        <v>0</v>
      </c>
      <c r="CE20" s="46">
        <v>0</v>
      </c>
      <c r="CF20" s="46">
        <v>0</v>
      </c>
      <c r="CG20" s="48">
        <v>0</v>
      </c>
      <c r="CH20" s="45">
        <v>0</v>
      </c>
      <c r="CI20" s="45">
        <v>0</v>
      </c>
      <c r="CJ20" s="45">
        <v>45.753</v>
      </c>
      <c r="CK20" s="45">
        <v>45.753</v>
      </c>
      <c r="CL20" s="45">
        <v>45.753</v>
      </c>
      <c r="CM20" s="45">
        <v>45.753</v>
      </c>
      <c r="CN20" s="45">
        <v>45.753</v>
      </c>
      <c r="CO20" s="45">
        <v>45.753</v>
      </c>
      <c r="CP20" s="45">
        <v>45.753</v>
      </c>
      <c r="CQ20" s="45">
        <v>45.753</v>
      </c>
      <c r="CR20" s="45">
        <v>45.753</v>
      </c>
      <c r="CS20" s="49">
        <v>45.753</v>
      </c>
      <c r="CT20" s="45">
        <v>72.852999999999994</v>
      </c>
      <c r="CU20" s="45">
        <v>72.852999999999994</v>
      </c>
      <c r="CV20" s="45">
        <v>72.852999999999994</v>
      </c>
      <c r="CW20" s="45">
        <v>72.852999999999994</v>
      </c>
      <c r="CX20" s="45">
        <v>72.852999999999994</v>
      </c>
      <c r="CY20" s="45">
        <v>72.852999999999994</v>
      </c>
      <c r="CZ20" s="45">
        <v>72.852999999999994</v>
      </c>
      <c r="DA20" s="45">
        <v>72.852999999999994</v>
      </c>
      <c r="DB20" s="45">
        <v>72.852999999999994</v>
      </c>
      <c r="DC20" s="45">
        <v>72.852999999999994</v>
      </c>
      <c r="DD20" s="46">
        <v>72.852999999999994</v>
      </c>
      <c r="DE20" s="48">
        <v>72.852999999999994</v>
      </c>
      <c r="DF20" s="45">
        <v>72.852999999999994</v>
      </c>
      <c r="DG20" s="45">
        <v>72.852999999999994</v>
      </c>
      <c r="DH20" s="46">
        <v>72.852999999999994</v>
      </c>
      <c r="DI20" s="45">
        <v>72.852999999999994</v>
      </c>
      <c r="DJ20" s="45">
        <v>72.852999999999994</v>
      </c>
      <c r="DK20" s="45">
        <v>72.852999999999994</v>
      </c>
      <c r="DL20" s="45">
        <v>72.852999999999994</v>
      </c>
      <c r="DM20" s="45">
        <v>72.852999999999994</v>
      </c>
      <c r="DN20" s="45">
        <v>72.852999999999994</v>
      </c>
      <c r="DO20" s="45">
        <v>72.852999999999994</v>
      </c>
      <c r="DP20" s="45">
        <v>72.852999999999994</v>
      </c>
      <c r="DQ20" s="48">
        <v>72.852999999999994</v>
      </c>
      <c r="DR20" s="45">
        <v>72.852999999999994</v>
      </c>
      <c r="DS20" s="45">
        <v>72.852999999999994</v>
      </c>
      <c r="DT20" s="45">
        <v>72.852999999999994</v>
      </c>
      <c r="DU20" s="45">
        <v>72.852999999999994</v>
      </c>
      <c r="DV20" s="45">
        <v>72.852999999999994</v>
      </c>
      <c r="DW20" s="45">
        <v>72.852999999999994</v>
      </c>
      <c r="DX20" s="45">
        <v>72.852999999999994</v>
      </c>
      <c r="DY20" s="45">
        <v>72.852999999999994</v>
      </c>
      <c r="DZ20" s="45">
        <v>72.852999999999994</v>
      </c>
      <c r="EA20" s="45">
        <v>72.852999999999994</v>
      </c>
      <c r="EB20" s="45">
        <v>72.852999999999994</v>
      </c>
      <c r="EC20" s="49">
        <v>72.852999999999994</v>
      </c>
      <c r="ED20" s="45">
        <v>72.852999999999994</v>
      </c>
      <c r="EE20" s="45">
        <v>72.852999999999994</v>
      </c>
      <c r="EF20" s="45">
        <v>72.852999999999994</v>
      </c>
      <c r="EG20" s="45">
        <v>72.852999999999994</v>
      </c>
      <c r="EH20" s="45">
        <v>72.852999999999994</v>
      </c>
      <c r="EI20" s="45">
        <v>72.852999999999994</v>
      </c>
      <c r="EJ20" s="45">
        <v>72.852999999999994</v>
      </c>
      <c r="EK20" s="45">
        <v>72.852999999999994</v>
      </c>
      <c r="EL20" s="45">
        <v>72.852999999999994</v>
      </c>
      <c r="EM20" s="45">
        <v>72.852999999999994</v>
      </c>
      <c r="EN20" s="45">
        <v>72.852999999999994</v>
      </c>
      <c r="EO20" s="82">
        <v>72.852999999999994</v>
      </c>
      <c r="EP20" s="45">
        <v>72.852999999999994</v>
      </c>
      <c r="EQ20" s="45">
        <v>72.852999999999994</v>
      </c>
      <c r="ER20" s="45">
        <v>72.852999999999994</v>
      </c>
      <c r="ES20" s="45">
        <v>72.852999999999994</v>
      </c>
      <c r="ET20" s="45">
        <v>72.852999999999994</v>
      </c>
      <c r="EU20" s="45">
        <v>72.852999999999994</v>
      </c>
      <c r="EV20" s="45">
        <v>72.852999999999994</v>
      </c>
      <c r="EW20" s="45">
        <v>72.852999999999994</v>
      </c>
      <c r="EX20" s="45">
        <v>72.852999999999994</v>
      </c>
      <c r="EY20" s="45">
        <v>72.852999999999994</v>
      </c>
      <c r="EZ20" s="45">
        <v>72.852999999999994</v>
      </c>
      <c r="FA20" s="82">
        <v>72.852999999999994</v>
      </c>
      <c r="FB20" s="45">
        <v>72.852999999999994</v>
      </c>
      <c r="FC20" s="45">
        <v>72.852999999999994</v>
      </c>
      <c r="FD20" s="45">
        <v>72.852999999999994</v>
      </c>
      <c r="FE20" s="45">
        <v>72.852999999999994</v>
      </c>
      <c r="FF20" s="45">
        <v>72.852999999999994</v>
      </c>
      <c r="FG20" s="45">
        <v>72.852999999999994</v>
      </c>
      <c r="FH20" s="45">
        <v>72.852999999999994</v>
      </c>
      <c r="FI20" s="45">
        <v>72.852999999999994</v>
      </c>
      <c r="FJ20" s="45">
        <v>72.852999999999994</v>
      </c>
      <c r="FK20" s="155">
        <v>72.852999999999994</v>
      </c>
      <c r="FL20" s="155">
        <v>72.852999999999994</v>
      </c>
      <c r="FM20" s="155">
        <v>72.852999999999994</v>
      </c>
      <c r="FN20" s="69">
        <v>72.852999999999994</v>
      </c>
      <c r="FO20" s="155">
        <v>72.852999999999994</v>
      </c>
      <c r="FP20" s="155">
        <v>72.852999999999994</v>
      </c>
      <c r="FQ20" s="155">
        <v>72.852999999999994</v>
      </c>
      <c r="FR20" s="155">
        <v>72.852999999999994</v>
      </c>
      <c r="FS20" s="155">
        <v>72.852999999999994</v>
      </c>
      <c r="FT20" s="155">
        <v>72.852999999999994</v>
      </c>
      <c r="FU20" s="178">
        <v>72.852999999999994</v>
      </c>
      <c r="FV20" s="178">
        <v>72.852999999999994</v>
      </c>
      <c r="FW20" s="178">
        <v>72.852999999999994</v>
      </c>
      <c r="FX20" s="178">
        <v>72.852999999999994</v>
      </c>
      <c r="FY20" s="180">
        <v>72.852999999999994</v>
      </c>
      <c r="FZ20" s="178">
        <v>72.852999999999994</v>
      </c>
      <c r="GA20" s="178">
        <v>72.852999999999994</v>
      </c>
      <c r="GB20" s="178">
        <v>72.852999999999994</v>
      </c>
      <c r="GC20" s="178">
        <v>72.852999999999994</v>
      </c>
      <c r="GD20" s="178">
        <v>72.852999999999994</v>
      </c>
      <c r="GE20" s="178">
        <v>72.852999999999994</v>
      </c>
      <c r="GF20" s="178">
        <v>72.852999999999994</v>
      </c>
      <c r="GG20" s="178">
        <v>72.852999999999994</v>
      </c>
      <c r="GH20" s="178">
        <v>72.852999999999994</v>
      </c>
      <c r="GI20" s="178">
        <v>72.852999999999994</v>
      </c>
      <c r="GJ20" s="178">
        <v>72.852999999999994</v>
      </c>
      <c r="GK20" s="180">
        <v>72.852999999999994</v>
      </c>
      <c r="GL20" s="178">
        <v>72.852999999999994</v>
      </c>
      <c r="GM20" s="178">
        <v>72.852999999999994</v>
      </c>
      <c r="GN20" s="178">
        <v>72.852999999999994</v>
      </c>
      <c r="GO20" s="178">
        <v>72.852999999999994</v>
      </c>
    </row>
    <row r="21" spans="1:197" s="25" customFormat="1" ht="20.149999999999999" customHeight="1" thickBot="1" x14ac:dyDescent="0.4">
      <c r="A21" s="32" t="s">
        <v>267</v>
      </c>
      <c r="B21" s="51">
        <f>SUM(B15:B20)</f>
        <v>1.046</v>
      </c>
      <c r="C21" s="52">
        <f t="shared" ref="C21:BN21" si="4">SUM(C15:C20)</f>
        <v>1.046</v>
      </c>
      <c r="D21" s="52">
        <f t="shared" si="4"/>
        <v>1.0860000000000001</v>
      </c>
      <c r="E21" s="52">
        <f t="shared" si="4"/>
        <v>1.099</v>
      </c>
      <c r="F21" s="52">
        <f t="shared" si="4"/>
        <v>1.105</v>
      </c>
      <c r="G21" s="52">
        <f t="shared" si="4"/>
        <v>1.133</v>
      </c>
      <c r="H21" s="52">
        <f t="shared" si="4"/>
        <v>1.1520000000000001</v>
      </c>
      <c r="I21" s="52">
        <f t="shared" si="4"/>
        <v>1.155</v>
      </c>
      <c r="J21" s="52">
        <f t="shared" si="4"/>
        <v>1.1560000000000001</v>
      </c>
      <c r="K21" s="52">
        <f t="shared" si="4"/>
        <v>1.167</v>
      </c>
      <c r="L21" s="52">
        <f t="shared" si="4"/>
        <v>1.1859999999999999</v>
      </c>
      <c r="M21" s="53">
        <f t="shared" si="4"/>
        <v>1.198</v>
      </c>
      <c r="N21" s="52">
        <f t="shared" si="4"/>
        <v>1.198</v>
      </c>
      <c r="O21" s="52">
        <f t="shared" si="4"/>
        <v>1.2070000000000001</v>
      </c>
      <c r="P21" s="52">
        <f t="shared" si="4"/>
        <v>1.2210000000000001</v>
      </c>
      <c r="Q21" s="52">
        <f t="shared" si="4"/>
        <v>1.23</v>
      </c>
      <c r="R21" s="52">
        <f t="shared" si="4"/>
        <v>1.2829999999999999</v>
      </c>
      <c r="S21" s="52">
        <f t="shared" si="4"/>
        <v>1.3260000000000001</v>
      </c>
      <c r="T21" s="52">
        <f t="shared" si="4"/>
        <v>1.343</v>
      </c>
      <c r="U21" s="52">
        <f t="shared" si="4"/>
        <v>1.3759999999999999</v>
      </c>
      <c r="V21" s="52">
        <f t="shared" si="4"/>
        <v>1.4260000000000002</v>
      </c>
      <c r="W21" s="52">
        <f t="shared" si="4"/>
        <v>1.5359999999999998</v>
      </c>
      <c r="X21" s="52">
        <f t="shared" si="4"/>
        <v>1.6529999999999998</v>
      </c>
      <c r="Y21" s="53">
        <f t="shared" si="4"/>
        <v>1.823</v>
      </c>
      <c r="Z21" s="52">
        <f t="shared" si="4"/>
        <v>2.0070000000000001</v>
      </c>
      <c r="AA21" s="52">
        <f t="shared" si="4"/>
        <v>2.0909999999999997</v>
      </c>
      <c r="AB21" s="52">
        <f t="shared" si="4"/>
        <v>2.226</v>
      </c>
      <c r="AC21" s="52">
        <f t="shared" si="4"/>
        <v>2.3180000000000001</v>
      </c>
      <c r="AD21" s="52">
        <f t="shared" si="4"/>
        <v>2.3979999999999997</v>
      </c>
      <c r="AE21" s="52">
        <f t="shared" si="4"/>
        <v>2.444</v>
      </c>
      <c r="AF21" s="52">
        <f t="shared" si="4"/>
        <v>2.5459999999999998</v>
      </c>
      <c r="AG21" s="52">
        <f t="shared" si="4"/>
        <v>2.992</v>
      </c>
      <c r="AH21" s="52">
        <f t="shared" si="4"/>
        <v>3.4409999999999998</v>
      </c>
      <c r="AI21" s="52">
        <f t="shared" si="4"/>
        <v>4.2469999999999999</v>
      </c>
      <c r="AJ21" s="52">
        <f t="shared" si="4"/>
        <v>5.3029999999999999</v>
      </c>
      <c r="AK21" s="53">
        <f t="shared" si="4"/>
        <v>5.93</v>
      </c>
      <c r="AL21" s="52">
        <f t="shared" si="4"/>
        <v>6.8069999999999995</v>
      </c>
      <c r="AM21" s="52">
        <f t="shared" si="4"/>
        <v>7.5129999999999999</v>
      </c>
      <c r="AN21" s="52">
        <f t="shared" si="4"/>
        <v>8.4510000000000023</v>
      </c>
      <c r="AO21" s="52">
        <f t="shared" si="4"/>
        <v>9.2680000000000007</v>
      </c>
      <c r="AP21" s="52">
        <f t="shared" si="4"/>
        <v>10.535</v>
      </c>
      <c r="AQ21" s="52">
        <f t="shared" si="4"/>
        <v>11.774000000000003</v>
      </c>
      <c r="AR21" s="52">
        <f t="shared" si="4"/>
        <v>13.545000000000002</v>
      </c>
      <c r="AS21" s="52">
        <f t="shared" si="4"/>
        <v>16.278999999999996</v>
      </c>
      <c r="AT21" s="52">
        <f t="shared" si="4"/>
        <v>19.079000000000001</v>
      </c>
      <c r="AU21" s="52">
        <f t="shared" si="4"/>
        <v>21.702000000000002</v>
      </c>
      <c r="AV21" s="52">
        <f t="shared" si="4"/>
        <v>25.132999999999996</v>
      </c>
      <c r="AW21" s="54">
        <f t="shared" si="4"/>
        <v>27.605999999999998</v>
      </c>
      <c r="AX21" s="52">
        <f t="shared" si="4"/>
        <v>31.162000000000003</v>
      </c>
      <c r="AY21" s="52">
        <f t="shared" si="4"/>
        <v>41.815999999999995</v>
      </c>
      <c r="AZ21" s="52">
        <f t="shared" si="4"/>
        <v>43.695</v>
      </c>
      <c r="BA21" s="52">
        <f t="shared" si="4"/>
        <v>45.463999999999999</v>
      </c>
      <c r="BB21" s="52">
        <f t="shared" si="4"/>
        <v>48.369</v>
      </c>
      <c r="BC21" s="52">
        <f t="shared" si="4"/>
        <v>50.948000000000008</v>
      </c>
      <c r="BD21" s="52">
        <f t="shared" si="4"/>
        <v>53.718000000000004</v>
      </c>
      <c r="BE21" s="52">
        <f t="shared" si="4"/>
        <v>55.921999999999997</v>
      </c>
      <c r="BF21" s="52">
        <f t="shared" si="4"/>
        <v>58.585999999999991</v>
      </c>
      <c r="BG21" s="52">
        <f t="shared" si="4"/>
        <v>61.149000000000001</v>
      </c>
      <c r="BH21" s="52">
        <f t="shared" si="4"/>
        <v>63.488999999999997</v>
      </c>
      <c r="BI21" s="54">
        <f t="shared" si="4"/>
        <v>66.841999999999999</v>
      </c>
      <c r="BJ21" s="52">
        <f t="shared" si="4"/>
        <v>69.258999999999986</v>
      </c>
      <c r="BK21" s="52">
        <f t="shared" si="4"/>
        <v>71.989999999999995</v>
      </c>
      <c r="BL21" s="52">
        <f t="shared" si="4"/>
        <v>75.652000000000001</v>
      </c>
      <c r="BM21" s="52">
        <f t="shared" si="4"/>
        <v>78.305999999999997</v>
      </c>
      <c r="BN21" s="52">
        <f t="shared" si="4"/>
        <v>84.625000000000014</v>
      </c>
      <c r="BO21" s="52">
        <f t="shared" ref="BO21:DZ21" si="5">SUM(BO15:BO20)</f>
        <v>87.588999999999999</v>
      </c>
      <c r="BP21" s="52">
        <f t="shared" si="5"/>
        <v>90.200999999999993</v>
      </c>
      <c r="BQ21" s="52">
        <f t="shared" si="5"/>
        <v>95.283999999999992</v>
      </c>
      <c r="BR21" s="52">
        <f t="shared" si="5"/>
        <v>107.08</v>
      </c>
      <c r="BS21" s="52">
        <f t="shared" si="5"/>
        <v>108.679</v>
      </c>
      <c r="BT21" s="52">
        <f t="shared" si="5"/>
        <v>110.19499999999999</v>
      </c>
      <c r="BU21" s="54">
        <f t="shared" si="5"/>
        <v>111.738</v>
      </c>
      <c r="BV21" s="52">
        <f t="shared" si="5"/>
        <v>113.33800000000001</v>
      </c>
      <c r="BW21" s="52">
        <f t="shared" si="5"/>
        <v>114.93200000000002</v>
      </c>
      <c r="BX21" s="52">
        <f t="shared" si="5"/>
        <v>116.72499999999999</v>
      </c>
      <c r="BY21" s="52">
        <f t="shared" si="5"/>
        <v>123.45100000000002</v>
      </c>
      <c r="BZ21" s="52">
        <f t="shared" si="5"/>
        <v>129.50800000000001</v>
      </c>
      <c r="CA21" s="52">
        <f t="shared" si="5"/>
        <v>131.11500000000001</v>
      </c>
      <c r="CB21" s="52">
        <f t="shared" si="5"/>
        <v>133.02600000000001</v>
      </c>
      <c r="CC21" s="52">
        <f t="shared" si="5"/>
        <v>135.28700000000001</v>
      </c>
      <c r="CD21" s="52">
        <f t="shared" si="5"/>
        <v>142.39500000000001</v>
      </c>
      <c r="CE21" s="52">
        <f t="shared" si="5"/>
        <v>142.55700000000002</v>
      </c>
      <c r="CF21" s="52">
        <f t="shared" si="5"/>
        <v>142.82599999999999</v>
      </c>
      <c r="CG21" s="54">
        <f t="shared" si="5"/>
        <v>143.071</v>
      </c>
      <c r="CH21" s="52">
        <f t="shared" si="5"/>
        <v>143.90800000000002</v>
      </c>
      <c r="CI21" s="52">
        <f t="shared" si="5"/>
        <v>171.59899999999999</v>
      </c>
      <c r="CJ21" s="52">
        <f t="shared" si="5"/>
        <v>255.709</v>
      </c>
      <c r="CK21" s="52">
        <f t="shared" si="5"/>
        <v>255.78299999999996</v>
      </c>
      <c r="CL21" s="52">
        <f t="shared" si="5"/>
        <v>255.875</v>
      </c>
      <c r="CM21" s="52">
        <f t="shared" si="5"/>
        <v>256.07900000000001</v>
      </c>
      <c r="CN21" s="52">
        <f t="shared" si="5"/>
        <v>256.12900000000002</v>
      </c>
      <c r="CO21" s="52">
        <f t="shared" si="5"/>
        <v>256.24099999999999</v>
      </c>
      <c r="CP21" s="52">
        <f t="shared" si="5"/>
        <v>256.33</v>
      </c>
      <c r="CQ21" s="52">
        <f t="shared" si="5"/>
        <v>256.41000000000003</v>
      </c>
      <c r="CR21" s="52">
        <f t="shared" si="5"/>
        <v>256.63400000000001</v>
      </c>
      <c r="CS21" s="54">
        <f t="shared" si="5"/>
        <v>268.709</v>
      </c>
      <c r="CT21" s="52">
        <f t="shared" si="5"/>
        <v>295.851</v>
      </c>
      <c r="CU21" s="52">
        <f t="shared" si="5"/>
        <v>302.43700000000001</v>
      </c>
      <c r="CV21" s="52">
        <f t="shared" si="5"/>
        <v>326.88099999999997</v>
      </c>
      <c r="CW21" s="52">
        <f t="shared" si="5"/>
        <v>340.02000000000004</v>
      </c>
      <c r="CX21" s="52">
        <f t="shared" si="5"/>
        <v>346.59199999999998</v>
      </c>
      <c r="CY21" s="52">
        <f t="shared" si="5"/>
        <v>346.661</v>
      </c>
      <c r="CZ21" s="52">
        <f t="shared" si="5"/>
        <v>346.72700000000003</v>
      </c>
      <c r="DA21" s="52">
        <f t="shared" si="5"/>
        <v>346.91699999999997</v>
      </c>
      <c r="DB21" s="52">
        <f t="shared" si="5"/>
        <v>346.96700000000004</v>
      </c>
      <c r="DC21" s="52">
        <f t="shared" si="5"/>
        <v>347.10899999999998</v>
      </c>
      <c r="DD21" s="52">
        <f t="shared" si="5"/>
        <v>347.214</v>
      </c>
      <c r="DE21" s="54">
        <f t="shared" si="5"/>
        <v>347.3</v>
      </c>
      <c r="DF21" s="52">
        <f t="shared" si="5"/>
        <v>347.42500000000001</v>
      </c>
      <c r="DG21" s="52">
        <f t="shared" si="5"/>
        <v>347.59300000000002</v>
      </c>
      <c r="DH21" s="52">
        <f t="shared" si="5"/>
        <v>347.642</v>
      </c>
      <c r="DI21" s="52">
        <f t="shared" si="5"/>
        <v>347.67400000000004</v>
      </c>
      <c r="DJ21" s="52">
        <f t="shared" si="5"/>
        <v>347.72800000000001</v>
      </c>
      <c r="DK21" s="52">
        <f t="shared" si="5"/>
        <v>347.83300000000003</v>
      </c>
      <c r="DL21" s="52">
        <f t="shared" si="5"/>
        <v>347.90500000000003</v>
      </c>
      <c r="DM21" s="52">
        <f t="shared" si="5"/>
        <v>347.983</v>
      </c>
      <c r="DN21" s="52">
        <f t="shared" si="5"/>
        <v>348.154</v>
      </c>
      <c r="DO21" s="52">
        <f t="shared" si="5"/>
        <v>348.25</v>
      </c>
      <c r="DP21" s="52">
        <f t="shared" si="5"/>
        <v>348.30799999999999</v>
      </c>
      <c r="DQ21" s="54">
        <f t="shared" si="5"/>
        <v>348.34300000000002</v>
      </c>
      <c r="DR21" s="52">
        <f t="shared" si="5"/>
        <v>348.41300000000001</v>
      </c>
      <c r="DS21" s="52">
        <f t="shared" si="5"/>
        <v>348.48700000000002</v>
      </c>
      <c r="DT21" s="52">
        <f t="shared" si="5"/>
        <v>348.54500000000002</v>
      </c>
      <c r="DU21" s="52">
        <f t="shared" si="5"/>
        <v>348.56099999999998</v>
      </c>
      <c r="DV21" s="52">
        <f t="shared" si="5"/>
        <v>348.565</v>
      </c>
      <c r="DW21" s="52">
        <f t="shared" si="5"/>
        <v>348.66900000000004</v>
      </c>
      <c r="DX21" s="52">
        <f t="shared" si="5"/>
        <v>348.77600000000001</v>
      </c>
      <c r="DY21" s="52">
        <f t="shared" si="5"/>
        <v>348.96100000000001</v>
      </c>
      <c r="DZ21" s="52">
        <f t="shared" si="5"/>
        <v>349.08699999999999</v>
      </c>
      <c r="EA21" s="52">
        <f t="shared" ref="EA21:GL21" si="6">SUM(EA15:EA20)</f>
        <v>349.13600000000002</v>
      </c>
      <c r="EB21" s="52">
        <f t="shared" si="6"/>
        <v>349.20499999999998</v>
      </c>
      <c r="EC21" s="54">
        <f t="shared" si="6"/>
        <v>349.22999999999996</v>
      </c>
      <c r="ED21" s="52">
        <f>SUM(ED15:ED20)</f>
        <v>349.33699999999999</v>
      </c>
      <c r="EE21" s="52">
        <f t="shared" si="6"/>
        <v>349.399</v>
      </c>
      <c r="EF21" s="52">
        <f t="shared" si="6"/>
        <v>349.517</v>
      </c>
      <c r="EG21" s="52">
        <f t="shared" si="6"/>
        <v>349.69800000000004</v>
      </c>
      <c r="EH21" s="52">
        <f t="shared" si="6"/>
        <v>349.947</v>
      </c>
      <c r="EI21" s="52">
        <f t="shared" si="6"/>
        <v>350.245</v>
      </c>
      <c r="EJ21" s="52">
        <f t="shared" si="6"/>
        <v>350.38900000000001</v>
      </c>
      <c r="EK21" s="52">
        <f t="shared" si="6"/>
        <v>350.63</v>
      </c>
      <c r="EL21" s="52">
        <f t="shared" si="6"/>
        <v>351.03399999999999</v>
      </c>
      <c r="EM21" s="52">
        <f t="shared" si="6"/>
        <v>351.30199999999996</v>
      </c>
      <c r="EN21" s="52">
        <f t="shared" si="6"/>
        <v>351.81299999999999</v>
      </c>
      <c r="EO21" s="53">
        <f t="shared" si="6"/>
        <v>352.04699999999997</v>
      </c>
      <c r="EP21" s="52">
        <f t="shared" si="6"/>
        <v>352.608</v>
      </c>
      <c r="EQ21" s="52">
        <f t="shared" si="6"/>
        <v>353.02799999999996</v>
      </c>
      <c r="ER21" s="52">
        <f t="shared" si="6"/>
        <v>353.62799999999999</v>
      </c>
      <c r="ES21" s="52">
        <f t="shared" si="6"/>
        <v>354.14000000000004</v>
      </c>
      <c r="ET21" s="52">
        <f t="shared" si="6"/>
        <v>355.11700000000002</v>
      </c>
      <c r="EU21" s="52">
        <f t="shared" si="6"/>
        <v>355.97700000000003</v>
      </c>
      <c r="EV21" s="52">
        <f t="shared" si="6"/>
        <v>356.75299999999999</v>
      </c>
      <c r="EW21" s="52">
        <f t="shared" si="6"/>
        <v>357.64799999999997</v>
      </c>
      <c r="EX21" s="52">
        <f t="shared" si="6"/>
        <v>358.75700000000001</v>
      </c>
      <c r="EY21" s="52">
        <f t="shared" si="6"/>
        <v>360.017</v>
      </c>
      <c r="EZ21" s="52">
        <f t="shared" si="6"/>
        <v>361.47700000000003</v>
      </c>
      <c r="FA21" s="53">
        <f t="shared" si="6"/>
        <v>362.41199999999998</v>
      </c>
      <c r="FB21" s="52">
        <f t="shared" si="6"/>
        <v>363.666</v>
      </c>
      <c r="FC21" s="52">
        <f t="shared" si="6"/>
        <v>364.84899999999999</v>
      </c>
      <c r="FD21" s="52">
        <f t="shared" si="6"/>
        <v>365.91799999999995</v>
      </c>
      <c r="FE21" s="52">
        <f t="shared" si="6"/>
        <v>366.81</v>
      </c>
      <c r="FF21" s="52">
        <f t="shared" si="6"/>
        <v>367.90000000000003</v>
      </c>
      <c r="FG21" s="52">
        <f t="shared" si="6"/>
        <v>368.96300000000002</v>
      </c>
      <c r="FH21" s="52">
        <f t="shared" si="6"/>
        <v>369.87200000000001</v>
      </c>
      <c r="FI21" s="52">
        <f t="shared" si="6"/>
        <v>370.91399999999999</v>
      </c>
      <c r="FJ21" s="52">
        <f t="shared" si="6"/>
        <v>372.00799999999998</v>
      </c>
      <c r="FK21" s="157">
        <f t="shared" si="6"/>
        <v>373.66300000000001</v>
      </c>
      <c r="FL21" s="157">
        <f t="shared" si="6"/>
        <v>374.62099999999998</v>
      </c>
      <c r="FM21" s="157">
        <f t="shared" si="6"/>
        <v>375.32</v>
      </c>
      <c r="FN21" s="125">
        <f t="shared" si="6"/>
        <v>375.95299999999997</v>
      </c>
      <c r="FO21" s="157">
        <f t="shared" si="6"/>
        <v>376.89300000000003</v>
      </c>
      <c r="FP21" s="157">
        <f t="shared" si="6"/>
        <v>377.44</v>
      </c>
      <c r="FQ21" s="157">
        <f t="shared" si="6"/>
        <v>378.61</v>
      </c>
      <c r="FR21" s="157">
        <f t="shared" si="6"/>
        <v>379.483</v>
      </c>
      <c r="FS21" s="157">
        <f t="shared" si="6"/>
        <v>380.61199999999997</v>
      </c>
      <c r="FT21" s="157">
        <f t="shared" si="6"/>
        <v>381.69099999999997</v>
      </c>
      <c r="FU21" s="157">
        <f t="shared" si="6"/>
        <v>382.73499999999996</v>
      </c>
      <c r="FV21" s="157">
        <f t="shared" si="6"/>
        <v>383.601</v>
      </c>
      <c r="FW21" s="157">
        <f t="shared" si="6"/>
        <v>384.56</v>
      </c>
      <c r="FX21" s="157">
        <f t="shared" si="6"/>
        <v>385.726</v>
      </c>
      <c r="FY21" s="191">
        <f t="shared" si="6"/>
        <v>386.41700000000003</v>
      </c>
      <c r="FZ21" s="157">
        <f t="shared" si="6"/>
        <v>387.18099999999998</v>
      </c>
      <c r="GA21" s="157">
        <f t="shared" si="6"/>
        <v>388.13500000000005</v>
      </c>
      <c r="GB21" s="157">
        <f t="shared" si="6"/>
        <v>389.32</v>
      </c>
      <c r="GC21" s="157">
        <f t="shared" si="6"/>
        <v>390.42500000000001</v>
      </c>
      <c r="GD21" s="157">
        <f t="shared" si="6"/>
        <v>392.30700000000002</v>
      </c>
      <c r="GE21" s="157">
        <f t="shared" si="6"/>
        <v>394.03800000000001</v>
      </c>
      <c r="GF21" s="157">
        <f t="shared" si="6"/>
        <v>395.34800000000001</v>
      </c>
      <c r="GG21" s="157">
        <f t="shared" si="6"/>
        <v>396.84499999999997</v>
      </c>
      <c r="GH21" s="157">
        <f t="shared" si="6"/>
        <v>398.21600000000001</v>
      </c>
      <c r="GI21" s="157">
        <f t="shared" si="6"/>
        <v>400.02000000000004</v>
      </c>
      <c r="GJ21" s="157">
        <f t="shared" si="6"/>
        <v>401.73600000000005</v>
      </c>
      <c r="GK21" s="191">
        <f t="shared" si="6"/>
        <v>402.66699999999997</v>
      </c>
      <c r="GL21" s="157">
        <f t="shared" si="6"/>
        <v>404.08600000000001</v>
      </c>
      <c r="GM21" s="157">
        <f t="shared" ref="GM21:GO21" si="7">SUM(GM15:GM20)</f>
        <v>405.56400000000002</v>
      </c>
      <c r="GN21" s="157">
        <f t="shared" si="7"/>
        <v>407.37400000000002</v>
      </c>
      <c r="GO21" s="157">
        <f t="shared" si="7"/>
        <v>409.34699999999998</v>
      </c>
    </row>
    <row r="22" spans="1:197" s="30" customFormat="1" ht="20.149999999999999" customHeight="1" thickTop="1" x14ac:dyDescent="0.35">
      <c r="A22" s="26" t="s">
        <v>269</v>
      </c>
      <c r="B22" s="45"/>
      <c r="C22" s="45"/>
      <c r="D22" s="45"/>
      <c r="E22" s="45"/>
      <c r="F22" s="45"/>
      <c r="G22" s="45"/>
      <c r="H22" s="45"/>
      <c r="I22" s="45"/>
      <c r="J22" s="45"/>
      <c r="K22" s="45"/>
      <c r="L22" s="45"/>
      <c r="M22" s="49"/>
      <c r="N22" s="50"/>
      <c r="O22" s="45"/>
      <c r="P22" s="45"/>
      <c r="Q22" s="45"/>
      <c r="R22" s="45"/>
      <c r="S22" s="45"/>
      <c r="T22" s="45"/>
      <c r="U22" s="45"/>
      <c r="V22" s="45"/>
      <c r="W22" s="45"/>
      <c r="X22" s="45"/>
      <c r="Y22" s="49"/>
      <c r="Z22" s="50"/>
      <c r="AA22" s="45"/>
      <c r="AB22" s="45"/>
      <c r="AC22" s="45"/>
      <c r="AD22" s="45"/>
      <c r="AE22" s="45"/>
      <c r="AF22" s="45"/>
      <c r="AG22" s="45"/>
      <c r="AH22" s="45"/>
      <c r="AI22" s="45"/>
      <c r="AJ22" s="45"/>
      <c r="AK22" s="49"/>
      <c r="AL22" s="50"/>
      <c r="AM22" s="45"/>
      <c r="AN22" s="45"/>
      <c r="AO22" s="45"/>
      <c r="AP22" s="45"/>
      <c r="AQ22" s="45"/>
      <c r="AR22" s="45"/>
      <c r="AS22" s="45"/>
      <c r="AT22" s="45"/>
      <c r="AU22" s="45"/>
      <c r="AV22" s="45"/>
      <c r="AW22" s="49"/>
      <c r="AX22" s="45"/>
      <c r="AY22" s="45"/>
      <c r="AZ22" s="45"/>
      <c r="BA22" s="45"/>
      <c r="BB22" s="45"/>
      <c r="BC22" s="45"/>
      <c r="BD22" s="45"/>
      <c r="BE22" s="45"/>
      <c r="BF22" s="45"/>
      <c r="BG22" s="45"/>
      <c r="BH22" s="45"/>
      <c r="BI22" s="49"/>
      <c r="BJ22" s="45"/>
      <c r="BK22" s="45"/>
      <c r="BL22" s="45"/>
      <c r="BM22" s="45"/>
      <c r="BN22" s="45"/>
      <c r="BO22" s="45"/>
      <c r="BP22" s="45"/>
      <c r="BQ22" s="45"/>
      <c r="BR22" s="45"/>
      <c r="BS22" s="45"/>
      <c r="BT22" s="45"/>
      <c r="BU22" s="49"/>
      <c r="BV22" s="45"/>
      <c r="BW22" s="45"/>
      <c r="BX22" s="45"/>
      <c r="BY22" s="45"/>
      <c r="BZ22" s="45"/>
      <c r="CA22" s="45"/>
      <c r="CB22" s="45"/>
      <c r="CC22" s="45"/>
      <c r="CD22" s="45"/>
      <c r="CE22" s="45"/>
      <c r="CF22" s="45"/>
      <c r="CG22" s="49"/>
      <c r="CH22" s="45"/>
      <c r="CI22" s="45"/>
      <c r="CJ22" s="45"/>
      <c r="CK22" s="45"/>
      <c r="CL22" s="45"/>
      <c r="CM22" s="45"/>
      <c r="CN22" s="45"/>
      <c r="CO22" s="45"/>
      <c r="CP22" s="45"/>
      <c r="CQ22" s="45"/>
      <c r="CR22" s="45"/>
      <c r="CS22" s="49"/>
      <c r="CT22" s="45"/>
      <c r="CU22" s="45"/>
      <c r="CV22" s="45"/>
      <c r="CW22" s="45"/>
      <c r="CX22" s="45"/>
      <c r="CY22" s="45"/>
      <c r="CZ22" s="45"/>
      <c r="DA22" s="45"/>
      <c r="DB22" s="45"/>
      <c r="DC22" s="45"/>
      <c r="DD22" s="45"/>
      <c r="DE22" s="49"/>
      <c r="DF22" s="45"/>
      <c r="DG22" s="45"/>
      <c r="DH22" s="45"/>
      <c r="DI22" s="45"/>
      <c r="DJ22" s="45"/>
      <c r="DK22" s="45"/>
      <c r="DL22" s="45"/>
      <c r="DM22" s="45"/>
      <c r="DN22" s="45"/>
      <c r="DO22" s="45"/>
      <c r="DP22" s="45"/>
      <c r="DQ22" s="49"/>
      <c r="DR22" s="45"/>
      <c r="DS22" s="45"/>
      <c r="DT22" s="45"/>
      <c r="DU22" s="45"/>
      <c r="DV22" s="45"/>
      <c r="DW22" s="45"/>
      <c r="DX22" s="45"/>
      <c r="DY22" s="45"/>
      <c r="DZ22" s="45"/>
      <c r="EA22" s="45"/>
      <c r="EB22" s="45"/>
      <c r="EC22" s="49"/>
      <c r="ED22" s="45"/>
      <c r="EE22" s="45"/>
      <c r="EF22" s="45"/>
      <c r="EG22" s="45"/>
      <c r="EH22" s="45"/>
      <c r="EI22" s="45"/>
      <c r="EJ22" s="45"/>
      <c r="EK22" s="45"/>
      <c r="EL22" s="45"/>
      <c r="EM22" s="45"/>
      <c r="EN22" s="45"/>
      <c r="EO22" s="82"/>
      <c r="EP22" s="45"/>
      <c r="EQ22" s="45"/>
      <c r="ER22" s="45"/>
      <c r="ES22" s="45"/>
      <c r="ET22" s="45"/>
      <c r="EU22" s="45"/>
      <c r="EV22" s="45"/>
      <c r="EW22" s="45"/>
      <c r="EX22" s="45"/>
      <c r="EY22" s="45"/>
      <c r="EZ22" s="45"/>
      <c r="FA22" s="82"/>
      <c r="FB22" s="45"/>
      <c r="FC22" s="45"/>
      <c r="FD22" s="45"/>
      <c r="FE22" s="45"/>
      <c r="FF22" s="45"/>
      <c r="FG22" s="45"/>
      <c r="FH22" s="45"/>
      <c r="FI22" s="45"/>
      <c r="FJ22" s="45"/>
      <c r="FK22" s="155"/>
      <c r="FL22" s="155"/>
      <c r="FM22" s="155"/>
      <c r="FN22" s="69"/>
      <c r="FO22" s="155"/>
      <c r="FP22" s="155"/>
      <c r="FQ22" s="155"/>
      <c r="FR22" s="155"/>
      <c r="FS22" s="155"/>
      <c r="FT22" s="155"/>
      <c r="FU22" s="177"/>
      <c r="FV22" s="177"/>
      <c r="FW22" s="177"/>
      <c r="FX22" s="177"/>
      <c r="FY22" s="193"/>
      <c r="FZ22" s="177"/>
      <c r="GA22" s="178"/>
      <c r="GB22" s="178"/>
      <c r="GC22" s="178"/>
      <c r="GD22" s="178"/>
      <c r="GE22" s="178"/>
      <c r="GF22" s="178"/>
      <c r="GG22" s="178"/>
      <c r="GH22" s="178"/>
      <c r="GI22" s="178"/>
      <c r="GJ22" s="178"/>
      <c r="GK22" s="193"/>
      <c r="GL22" s="177"/>
      <c r="GM22" s="177"/>
      <c r="GN22" s="177"/>
      <c r="GO22" s="177"/>
    </row>
    <row r="23" spans="1:197" s="1" customFormat="1" ht="20.149999999999999" customHeight="1" x14ac:dyDescent="0.35">
      <c r="A23" s="31" t="s">
        <v>1623</v>
      </c>
      <c r="B23" s="45">
        <v>8.3360000000000003</v>
      </c>
      <c r="C23" s="45">
        <v>9.4689999999999994</v>
      </c>
      <c r="D23" s="45">
        <v>11.361000000000001</v>
      </c>
      <c r="E23" s="45">
        <v>13.592000000000001</v>
      </c>
      <c r="F23" s="45">
        <v>17.041</v>
      </c>
      <c r="G23" s="45">
        <v>21.274000000000001</v>
      </c>
      <c r="H23" s="45">
        <v>26.466000000000001</v>
      </c>
      <c r="I23" s="45">
        <v>31.62</v>
      </c>
      <c r="J23" s="45">
        <v>38.286999999999999</v>
      </c>
      <c r="K23" s="45">
        <v>46.337000000000003</v>
      </c>
      <c r="L23" s="45">
        <v>55.654000000000003</v>
      </c>
      <c r="M23" s="49">
        <v>62.838999999999999</v>
      </c>
      <c r="N23" s="50">
        <v>72.679000000000002</v>
      </c>
      <c r="O23" s="45">
        <v>83.924000000000007</v>
      </c>
      <c r="P23" s="45">
        <v>100.82299999999999</v>
      </c>
      <c r="Q23" s="45">
        <v>116.658</v>
      </c>
      <c r="R23" s="45">
        <v>135.48699999999999</v>
      </c>
      <c r="S23" s="45">
        <v>160.28</v>
      </c>
      <c r="T23" s="45">
        <v>189.06899999999999</v>
      </c>
      <c r="U23" s="45">
        <v>225.47900000000001</v>
      </c>
      <c r="V23" s="45">
        <v>270.238</v>
      </c>
      <c r="W23" s="45">
        <v>321.70999999999998</v>
      </c>
      <c r="X23" s="45">
        <v>466.44799999999998</v>
      </c>
      <c r="Y23" s="49">
        <v>579.11099999999999</v>
      </c>
      <c r="Z23" s="50">
        <v>600.11599999999999</v>
      </c>
      <c r="AA23" s="45">
        <v>706.73199999999997</v>
      </c>
      <c r="AB23" s="45">
        <v>771.81899999999996</v>
      </c>
      <c r="AC23" s="45">
        <v>784.70399999999995</v>
      </c>
      <c r="AD23" s="45">
        <v>808.75099999999998</v>
      </c>
      <c r="AE23" s="45">
        <v>838.54499999999996</v>
      </c>
      <c r="AF23" s="45">
        <v>894.20799999999997</v>
      </c>
      <c r="AG23" s="45">
        <v>903.44600000000003</v>
      </c>
      <c r="AH23" s="45">
        <v>915.06799999999998</v>
      </c>
      <c r="AI23" s="45">
        <v>937.04700000000003</v>
      </c>
      <c r="AJ23" s="45">
        <v>949.94</v>
      </c>
      <c r="AK23" s="49">
        <v>962.84299999999996</v>
      </c>
      <c r="AL23" s="50">
        <v>977.01300000000003</v>
      </c>
      <c r="AM23" s="45">
        <v>991.79</v>
      </c>
      <c r="AN23" s="45">
        <v>1008.111</v>
      </c>
      <c r="AO23" s="45">
        <v>1024.5830000000001</v>
      </c>
      <c r="AP23" s="45">
        <v>1040.6949999999999</v>
      </c>
      <c r="AQ23" s="45">
        <v>1063.01</v>
      </c>
      <c r="AR23" s="45">
        <v>1076.5630000000001</v>
      </c>
      <c r="AS23" s="45">
        <v>1092.1210000000001</v>
      </c>
      <c r="AT23" s="45">
        <v>1107.9069999999999</v>
      </c>
      <c r="AU23" s="45">
        <v>1124.96</v>
      </c>
      <c r="AV23" s="45">
        <v>1143.8399999999999</v>
      </c>
      <c r="AW23" s="49">
        <v>1159.386</v>
      </c>
      <c r="AX23" s="45">
        <v>1175.0360000000001</v>
      </c>
      <c r="AY23" s="45">
        <v>1191.8389999999999</v>
      </c>
      <c r="AZ23" s="45">
        <v>1217.713</v>
      </c>
      <c r="BA23" s="45">
        <v>1232.9100000000001</v>
      </c>
      <c r="BB23" s="45">
        <v>1249.2439999999999</v>
      </c>
      <c r="BC23" s="45">
        <v>1266.546</v>
      </c>
      <c r="BD23" s="45">
        <v>1286.884</v>
      </c>
      <c r="BE23" s="45">
        <v>1306.915</v>
      </c>
      <c r="BF23" s="45">
        <v>1330.8420000000001</v>
      </c>
      <c r="BG23" s="45">
        <v>1355.309</v>
      </c>
      <c r="BH23" s="45">
        <v>1378.2639999999999</v>
      </c>
      <c r="BI23" s="49">
        <v>1401.1890000000001</v>
      </c>
      <c r="BJ23" s="45">
        <v>1417.922</v>
      </c>
      <c r="BK23" s="45">
        <v>1438.155</v>
      </c>
      <c r="BL23" s="45">
        <v>1468.808</v>
      </c>
      <c r="BM23" s="45">
        <v>1489.873</v>
      </c>
      <c r="BN23" s="45">
        <v>1512.2850000000001</v>
      </c>
      <c r="BO23" s="45">
        <v>1544.4359999999999</v>
      </c>
      <c r="BP23" s="45">
        <v>1567.845</v>
      </c>
      <c r="BQ23" s="45">
        <v>1591.4169999999999</v>
      </c>
      <c r="BR23" s="45">
        <v>1630.261</v>
      </c>
      <c r="BS23" s="45">
        <v>1665.1759999999999</v>
      </c>
      <c r="BT23" s="45">
        <v>1711.579</v>
      </c>
      <c r="BU23" s="49">
        <v>1762.576</v>
      </c>
      <c r="BV23" s="45">
        <v>1794.0609999999999</v>
      </c>
      <c r="BW23" s="45">
        <v>1800.884</v>
      </c>
      <c r="BX23" s="45">
        <v>1809.114</v>
      </c>
      <c r="BY23" s="45">
        <v>1815.028</v>
      </c>
      <c r="BZ23" s="45">
        <v>1821.33</v>
      </c>
      <c r="CA23" s="45">
        <v>1828.327</v>
      </c>
      <c r="CB23" s="45">
        <v>1834.2239999999999</v>
      </c>
      <c r="CC23" s="45">
        <v>1839.7449999999999</v>
      </c>
      <c r="CD23" s="45">
        <v>1847.15</v>
      </c>
      <c r="CE23" s="45">
        <v>1851.829</v>
      </c>
      <c r="CF23" s="45">
        <v>1857.481</v>
      </c>
      <c r="CG23" s="49">
        <v>1861.6990000000001</v>
      </c>
      <c r="CH23" s="45">
        <v>1865.7739999999999</v>
      </c>
      <c r="CI23" s="45">
        <v>1870.6590000000001</v>
      </c>
      <c r="CJ23" s="45">
        <v>1877.338</v>
      </c>
      <c r="CK23" s="45">
        <v>1881.596</v>
      </c>
      <c r="CL23" s="45">
        <v>1886.547</v>
      </c>
      <c r="CM23" s="45">
        <v>1891.5640000000001</v>
      </c>
      <c r="CN23" s="45">
        <v>1896.1179999999999</v>
      </c>
      <c r="CO23" s="45">
        <v>1901.635</v>
      </c>
      <c r="CP23" s="45">
        <v>1906.9549999999999</v>
      </c>
      <c r="CQ23" s="45">
        <v>1911.904</v>
      </c>
      <c r="CR23" s="45">
        <v>1917.932</v>
      </c>
      <c r="CS23" s="49">
        <v>1921.9659999999999</v>
      </c>
      <c r="CT23" s="45">
        <v>1926.423</v>
      </c>
      <c r="CU23" s="45">
        <v>1930.5039999999999</v>
      </c>
      <c r="CV23" s="45">
        <v>1935.4559999999999</v>
      </c>
      <c r="CW23" s="45">
        <v>1940.191</v>
      </c>
      <c r="CX23" s="45">
        <v>1945.546</v>
      </c>
      <c r="CY23" s="45">
        <v>1950.9749999999999</v>
      </c>
      <c r="CZ23" s="45">
        <v>1956.2139999999999</v>
      </c>
      <c r="DA23" s="45">
        <v>1962.1949999999999</v>
      </c>
      <c r="DB23" s="45">
        <v>1968.24</v>
      </c>
      <c r="DC23" s="45">
        <v>1975.662</v>
      </c>
      <c r="DD23" s="45">
        <v>1983.443</v>
      </c>
      <c r="DE23" s="49">
        <v>1989.854</v>
      </c>
      <c r="DF23" s="45">
        <v>1999.2760000000001</v>
      </c>
      <c r="DG23" s="45">
        <v>2010.079</v>
      </c>
      <c r="DH23" s="45">
        <v>2034.6469999999999</v>
      </c>
      <c r="DI23" s="45">
        <v>2037.9469999999999</v>
      </c>
      <c r="DJ23" s="45">
        <v>2042.0060000000001</v>
      </c>
      <c r="DK23" s="45">
        <v>2046.3689999999999</v>
      </c>
      <c r="DL23" s="45">
        <v>2050.5590000000002</v>
      </c>
      <c r="DM23" s="45">
        <v>2054.9340000000002</v>
      </c>
      <c r="DN23" s="45">
        <v>2059.7249999999999</v>
      </c>
      <c r="DO23" s="45">
        <v>2064.4940000000001</v>
      </c>
      <c r="DP23" s="45">
        <v>2069.529</v>
      </c>
      <c r="DQ23" s="49">
        <v>2072.7849999999999</v>
      </c>
      <c r="DR23" s="45">
        <v>2077.0439999999999</v>
      </c>
      <c r="DS23" s="45">
        <v>2081.174</v>
      </c>
      <c r="DT23" s="45">
        <v>2085.3760000000002</v>
      </c>
      <c r="DU23" s="45">
        <v>2086.1849999999999</v>
      </c>
      <c r="DV23" s="45">
        <v>2087.4569999999999</v>
      </c>
      <c r="DW23" s="45">
        <v>2090.3159999999998</v>
      </c>
      <c r="DX23" s="45">
        <v>2094.3110000000001</v>
      </c>
      <c r="DY23" s="45">
        <v>2098.5839999999998</v>
      </c>
      <c r="DZ23" s="45">
        <v>2103.9279999999999</v>
      </c>
      <c r="EA23" s="45">
        <v>2109.1529999999998</v>
      </c>
      <c r="EB23" s="45">
        <v>2114.7049999999999</v>
      </c>
      <c r="EC23" s="49">
        <v>2118.8649999999998</v>
      </c>
      <c r="ED23" s="45">
        <v>2124.165</v>
      </c>
      <c r="EE23" s="45">
        <v>2128.8809999999999</v>
      </c>
      <c r="EF23" s="45">
        <v>2135.3389999999999</v>
      </c>
      <c r="EG23" s="45">
        <v>2142.1950000000002</v>
      </c>
      <c r="EH23" s="45">
        <v>2149.4850000000001</v>
      </c>
      <c r="EI23" s="45">
        <v>2156.87</v>
      </c>
      <c r="EJ23" s="45">
        <v>2163.6640000000002</v>
      </c>
      <c r="EK23" s="45">
        <v>2171.15</v>
      </c>
      <c r="EL23" s="45">
        <v>2179.4830000000002</v>
      </c>
      <c r="EM23" s="45">
        <v>2187.018</v>
      </c>
      <c r="EN23" s="45">
        <v>2196.683</v>
      </c>
      <c r="EO23" s="82">
        <v>2203.89</v>
      </c>
      <c r="EP23" s="45">
        <v>2212.4960000000001</v>
      </c>
      <c r="EQ23" s="45">
        <v>2223.4679999999998</v>
      </c>
      <c r="ER23" s="45">
        <v>2238.2530000000002</v>
      </c>
      <c r="ES23" s="45">
        <v>2252.355</v>
      </c>
      <c r="ET23" s="45">
        <v>2267.5749999999998</v>
      </c>
      <c r="EU23" s="45">
        <v>2283.4679999999998</v>
      </c>
      <c r="EV23" s="45">
        <v>2298.0520000000001</v>
      </c>
      <c r="EW23" s="45">
        <v>2314.165</v>
      </c>
      <c r="EX23" s="45">
        <v>2333.4740000000002</v>
      </c>
      <c r="EY23" s="45">
        <v>2350.7950000000001</v>
      </c>
      <c r="EZ23" s="45">
        <v>2369.59</v>
      </c>
      <c r="FA23" s="82">
        <v>2383.54</v>
      </c>
      <c r="FB23" s="45">
        <v>2402.335</v>
      </c>
      <c r="FC23" s="45">
        <v>2422.902</v>
      </c>
      <c r="FD23" s="45">
        <v>2445.8850000000002</v>
      </c>
      <c r="FE23" s="45">
        <v>2464.1590000000001</v>
      </c>
      <c r="FF23" s="45">
        <v>2483.9160000000002</v>
      </c>
      <c r="FG23" s="45">
        <v>2504.3200000000002</v>
      </c>
      <c r="FH23" s="45">
        <v>2522.2089999999998</v>
      </c>
      <c r="FI23" s="45">
        <v>2539.9279999999999</v>
      </c>
      <c r="FJ23" s="45">
        <v>2557.9209999999998</v>
      </c>
      <c r="FK23" s="45">
        <v>2575.3380000000002</v>
      </c>
      <c r="FL23" s="45">
        <v>2593.884</v>
      </c>
      <c r="FM23" s="155">
        <v>2605.6990000000001</v>
      </c>
      <c r="FN23" s="69">
        <v>2621.71</v>
      </c>
      <c r="FO23" s="178">
        <v>2638.922</v>
      </c>
      <c r="FP23" s="178">
        <v>2658.4810000000002</v>
      </c>
      <c r="FQ23" s="178">
        <v>2677.6080000000002</v>
      </c>
      <c r="FR23" s="178">
        <v>2697.6109999999999</v>
      </c>
      <c r="FS23" s="178">
        <v>2717.2979999999998</v>
      </c>
      <c r="FT23" s="178">
        <v>2737.616</v>
      </c>
      <c r="FU23" s="178">
        <v>2757.8119999999999</v>
      </c>
      <c r="FV23" s="178">
        <v>2780.4389999999999</v>
      </c>
      <c r="FW23" s="178">
        <v>2807.2060000000001</v>
      </c>
      <c r="FX23" s="178">
        <v>2835.779</v>
      </c>
      <c r="FY23" s="180">
        <v>2855.01</v>
      </c>
      <c r="FZ23" s="178">
        <v>2880.1120000000001</v>
      </c>
      <c r="GA23" s="178">
        <v>2909.0650000000001</v>
      </c>
      <c r="GB23" s="178">
        <v>2944.7739999999999</v>
      </c>
      <c r="GC23" s="178">
        <v>2971.15</v>
      </c>
      <c r="GD23" s="178">
        <v>3000.623</v>
      </c>
      <c r="GE23" s="178">
        <v>3030.9929999999999</v>
      </c>
      <c r="GF23" s="178">
        <v>3059.5050000000001</v>
      </c>
      <c r="GG23" s="178">
        <v>3084.5250000000001</v>
      </c>
      <c r="GH23" s="178">
        <v>3114.011</v>
      </c>
      <c r="GI23" s="178">
        <v>3147.2820000000002</v>
      </c>
      <c r="GJ23" s="178">
        <v>3177.989</v>
      </c>
      <c r="GK23" s="180">
        <v>3202.404</v>
      </c>
      <c r="GL23" s="178">
        <v>3229.4920000000002</v>
      </c>
      <c r="GM23" s="178">
        <v>3262.8679999999999</v>
      </c>
      <c r="GN23" s="178">
        <v>3303.9430000000002</v>
      </c>
      <c r="GO23" s="178">
        <v>3332.15</v>
      </c>
    </row>
    <row r="24" spans="1:197" s="1" customFormat="1" ht="20.149999999999999" customHeight="1" x14ac:dyDescent="0.35">
      <c r="A24" s="31" t="s">
        <v>1626</v>
      </c>
      <c r="B24" s="45">
        <v>3.153</v>
      </c>
      <c r="C24" s="45">
        <v>3.34</v>
      </c>
      <c r="D24" s="45">
        <v>3.6160000000000001</v>
      </c>
      <c r="E24" s="45">
        <v>3.7989999999999999</v>
      </c>
      <c r="F24" s="45">
        <v>4.1310000000000002</v>
      </c>
      <c r="G24" s="45">
        <v>4.5049999999999999</v>
      </c>
      <c r="H24" s="45">
        <v>4.907</v>
      </c>
      <c r="I24" s="45">
        <v>5.2949999999999999</v>
      </c>
      <c r="J24" s="45">
        <v>5.702</v>
      </c>
      <c r="K24" s="45">
        <v>6.282</v>
      </c>
      <c r="L24" s="45">
        <v>6.8819999999999997</v>
      </c>
      <c r="M24" s="49">
        <v>7.3029999999999999</v>
      </c>
      <c r="N24" s="50">
        <v>8.1159999999999997</v>
      </c>
      <c r="O24" s="45">
        <v>9.0030000000000001</v>
      </c>
      <c r="P24" s="45">
        <v>10.375999999999999</v>
      </c>
      <c r="Q24" s="45">
        <v>12.067</v>
      </c>
      <c r="R24" s="45">
        <v>14.048999999999999</v>
      </c>
      <c r="S24" s="45">
        <v>16.427</v>
      </c>
      <c r="T24" s="45">
        <v>19.640999999999998</v>
      </c>
      <c r="U24" s="45">
        <v>24.981000000000002</v>
      </c>
      <c r="V24" s="45">
        <v>32.279000000000003</v>
      </c>
      <c r="W24" s="45">
        <v>41.695</v>
      </c>
      <c r="X24" s="45">
        <v>71.039000000000001</v>
      </c>
      <c r="Y24" s="49">
        <v>96.933000000000007</v>
      </c>
      <c r="Z24" s="50">
        <v>99.222999999999999</v>
      </c>
      <c r="AA24" s="45">
        <v>126.133</v>
      </c>
      <c r="AB24" s="45">
        <v>136.26300000000001</v>
      </c>
      <c r="AC24" s="45">
        <v>138.28200000000001</v>
      </c>
      <c r="AD24" s="45">
        <v>144.99600000000001</v>
      </c>
      <c r="AE24" s="45">
        <v>155.12</v>
      </c>
      <c r="AF24" s="45">
        <v>181.24</v>
      </c>
      <c r="AG24" s="45">
        <v>183.21799999999999</v>
      </c>
      <c r="AH24" s="45">
        <v>187.047</v>
      </c>
      <c r="AI24" s="45">
        <v>198.334</v>
      </c>
      <c r="AJ24" s="45">
        <v>202.804</v>
      </c>
      <c r="AK24" s="49">
        <v>208.06</v>
      </c>
      <c r="AL24" s="50">
        <v>213.839</v>
      </c>
      <c r="AM24" s="45">
        <v>220.70400000000001</v>
      </c>
      <c r="AN24" s="45">
        <v>229.548</v>
      </c>
      <c r="AO24" s="45">
        <v>239.554</v>
      </c>
      <c r="AP24" s="45">
        <v>250.75700000000001</v>
      </c>
      <c r="AQ24" s="45">
        <v>268.995</v>
      </c>
      <c r="AR24" s="45">
        <v>277.33199999999999</v>
      </c>
      <c r="AS24" s="45">
        <v>287.904</v>
      </c>
      <c r="AT24" s="45">
        <v>300.18099999999998</v>
      </c>
      <c r="AU24" s="45">
        <v>313.137</v>
      </c>
      <c r="AV24" s="45">
        <v>328.61700000000002</v>
      </c>
      <c r="AW24" s="49">
        <v>341.51299999999998</v>
      </c>
      <c r="AX24" s="45">
        <v>354.12799999999999</v>
      </c>
      <c r="AY24" s="45">
        <v>371.75799999999998</v>
      </c>
      <c r="AZ24" s="45">
        <v>396.30700000000002</v>
      </c>
      <c r="BA24" s="45">
        <v>407.72800000000001</v>
      </c>
      <c r="BB24" s="45">
        <v>421.02</v>
      </c>
      <c r="BC24" s="45">
        <v>436.096</v>
      </c>
      <c r="BD24" s="45">
        <v>451.83600000000001</v>
      </c>
      <c r="BE24" s="45">
        <v>466.91500000000002</v>
      </c>
      <c r="BF24" s="45">
        <v>484.15300000000002</v>
      </c>
      <c r="BG24" s="45">
        <v>502.42099999999999</v>
      </c>
      <c r="BH24" s="45">
        <v>520.61300000000006</v>
      </c>
      <c r="BI24" s="49">
        <v>540.47799999999995</v>
      </c>
      <c r="BJ24" s="45">
        <v>549.92399999999998</v>
      </c>
      <c r="BK24" s="45">
        <v>562.26599999999996</v>
      </c>
      <c r="BL24" s="45">
        <v>583.85699999999997</v>
      </c>
      <c r="BM24" s="45">
        <v>596.87900000000002</v>
      </c>
      <c r="BN24" s="45">
        <v>611.62599999999998</v>
      </c>
      <c r="BO24" s="45">
        <v>633.17700000000002</v>
      </c>
      <c r="BP24" s="45">
        <v>646.54300000000001</v>
      </c>
      <c r="BQ24" s="45">
        <v>661.05799999999999</v>
      </c>
      <c r="BR24" s="45">
        <v>687.51800000000003</v>
      </c>
      <c r="BS24" s="45">
        <v>704.39400000000001</v>
      </c>
      <c r="BT24" s="45">
        <v>725.33100000000002</v>
      </c>
      <c r="BU24" s="49">
        <v>752.149</v>
      </c>
      <c r="BV24" s="45">
        <v>765.654</v>
      </c>
      <c r="BW24" s="45">
        <v>768.05499999999995</v>
      </c>
      <c r="BX24" s="45">
        <v>771.81100000000004</v>
      </c>
      <c r="BY24" s="45">
        <v>775.06500000000005</v>
      </c>
      <c r="BZ24" s="45">
        <v>778.33500000000004</v>
      </c>
      <c r="CA24" s="45">
        <v>782.38400000000001</v>
      </c>
      <c r="CB24" s="45">
        <v>785.63400000000001</v>
      </c>
      <c r="CC24" s="45">
        <v>789.13400000000001</v>
      </c>
      <c r="CD24" s="45">
        <v>794.13300000000004</v>
      </c>
      <c r="CE24" s="45">
        <v>796.27200000000005</v>
      </c>
      <c r="CF24" s="45">
        <v>798.73500000000001</v>
      </c>
      <c r="CG24" s="49">
        <v>801.00800000000004</v>
      </c>
      <c r="CH24" s="45">
        <v>802.85400000000004</v>
      </c>
      <c r="CI24" s="45">
        <v>804.87199999999996</v>
      </c>
      <c r="CJ24" s="45">
        <v>808.07899999999995</v>
      </c>
      <c r="CK24" s="45">
        <v>809.976</v>
      </c>
      <c r="CL24" s="45">
        <v>812.529</v>
      </c>
      <c r="CM24" s="45">
        <v>815.44399999999996</v>
      </c>
      <c r="CN24" s="45">
        <v>818.03499999999997</v>
      </c>
      <c r="CO24" s="45">
        <v>820.51300000000003</v>
      </c>
      <c r="CP24" s="45">
        <v>823.53</v>
      </c>
      <c r="CQ24" s="45">
        <v>826.24599999999998</v>
      </c>
      <c r="CR24" s="45">
        <v>829.13300000000004</v>
      </c>
      <c r="CS24" s="49">
        <v>831.54100000000005</v>
      </c>
      <c r="CT24" s="45">
        <v>833.65700000000004</v>
      </c>
      <c r="CU24" s="45">
        <v>836.048</v>
      </c>
      <c r="CV24" s="45">
        <v>839.24900000000002</v>
      </c>
      <c r="CW24" s="45">
        <v>842.19600000000003</v>
      </c>
      <c r="CX24" s="45">
        <v>845.48599999999999</v>
      </c>
      <c r="CY24" s="45">
        <v>849.25599999999997</v>
      </c>
      <c r="CZ24" s="45">
        <v>852.44600000000003</v>
      </c>
      <c r="DA24" s="45">
        <v>855.90300000000002</v>
      </c>
      <c r="DB24" s="45">
        <v>860.221</v>
      </c>
      <c r="DC24" s="45">
        <v>864.24199999999996</v>
      </c>
      <c r="DD24" s="45">
        <v>869.61300000000006</v>
      </c>
      <c r="DE24" s="49">
        <v>874.63599999999997</v>
      </c>
      <c r="DF24" s="45">
        <v>879.86</v>
      </c>
      <c r="DG24" s="45">
        <v>887.726</v>
      </c>
      <c r="DH24" s="45">
        <v>907.83799999999997</v>
      </c>
      <c r="DI24" s="45">
        <v>908.61500000000001</v>
      </c>
      <c r="DJ24" s="45">
        <v>909.92</v>
      </c>
      <c r="DK24" s="45">
        <v>911.61599999999999</v>
      </c>
      <c r="DL24" s="45">
        <v>914.01900000000001</v>
      </c>
      <c r="DM24" s="45">
        <v>916.46100000000001</v>
      </c>
      <c r="DN24" s="45">
        <v>919.78899999999999</v>
      </c>
      <c r="DO24" s="45">
        <v>923.822</v>
      </c>
      <c r="DP24" s="45">
        <v>927.26300000000003</v>
      </c>
      <c r="DQ24" s="49">
        <v>930.03599999999994</v>
      </c>
      <c r="DR24" s="45">
        <v>933.51300000000003</v>
      </c>
      <c r="DS24" s="45">
        <v>937.12199999999996</v>
      </c>
      <c r="DT24" s="45">
        <v>941.07299999999998</v>
      </c>
      <c r="DU24" s="45">
        <v>942.58699999999999</v>
      </c>
      <c r="DV24" s="45">
        <v>945.14099999999996</v>
      </c>
      <c r="DW24" s="45">
        <v>949.87800000000004</v>
      </c>
      <c r="DX24" s="45">
        <v>954.98500000000001</v>
      </c>
      <c r="DY24" s="45">
        <v>959.60900000000004</v>
      </c>
      <c r="DZ24" s="45">
        <v>965.53</v>
      </c>
      <c r="EA24" s="45">
        <v>971.53899999999999</v>
      </c>
      <c r="EB24" s="45">
        <v>977.86500000000001</v>
      </c>
      <c r="EC24" s="49">
        <v>982.54700000000003</v>
      </c>
      <c r="ED24" s="45">
        <v>987.55100000000004</v>
      </c>
      <c r="EE24" s="45">
        <v>993.00599999999997</v>
      </c>
      <c r="EF24" s="45">
        <v>1001.047</v>
      </c>
      <c r="EG24" s="45">
        <v>1008.676</v>
      </c>
      <c r="EH24" s="45">
        <v>1016.2670000000001</v>
      </c>
      <c r="EI24" s="45">
        <v>1024.826</v>
      </c>
      <c r="EJ24" s="45">
        <v>1033.0450000000001</v>
      </c>
      <c r="EK24" s="45">
        <v>1040.502</v>
      </c>
      <c r="EL24" s="45">
        <v>1050.645</v>
      </c>
      <c r="EM24" s="45">
        <v>1060.5640000000001</v>
      </c>
      <c r="EN24" s="45">
        <v>1073.1510000000001</v>
      </c>
      <c r="EO24" s="82">
        <v>1082.3209999999999</v>
      </c>
      <c r="EP24" s="45">
        <v>1094.2090000000001</v>
      </c>
      <c r="EQ24" s="45">
        <v>1107.856</v>
      </c>
      <c r="ER24" s="45">
        <v>1126.8219999999999</v>
      </c>
      <c r="ES24" s="45">
        <v>1147.1659999999999</v>
      </c>
      <c r="ET24" s="45">
        <v>1172.0309999999999</v>
      </c>
      <c r="EU24" s="45">
        <v>1197.087</v>
      </c>
      <c r="EV24" s="45">
        <v>1224.739</v>
      </c>
      <c r="EW24" s="45">
        <v>1255.28</v>
      </c>
      <c r="EX24" s="45">
        <v>1291.6089999999999</v>
      </c>
      <c r="EY24" s="45">
        <v>1330.81</v>
      </c>
      <c r="EZ24" s="45">
        <v>1376.694</v>
      </c>
      <c r="FA24" s="82">
        <v>1412.2639999999999</v>
      </c>
      <c r="FB24" s="45">
        <v>1461.9469999999999</v>
      </c>
      <c r="FC24" s="45">
        <v>1513.701</v>
      </c>
      <c r="FD24" s="45">
        <v>1572.2529999999999</v>
      </c>
      <c r="FE24" s="45">
        <v>1619.7539999999999</v>
      </c>
      <c r="FF24" s="45">
        <v>1673.655</v>
      </c>
      <c r="FG24" s="45">
        <v>1727.183</v>
      </c>
      <c r="FH24" s="45">
        <v>1772.576</v>
      </c>
      <c r="FI24" s="45">
        <v>1819.2570000000001</v>
      </c>
      <c r="FJ24" s="45">
        <v>1863.521</v>
      </c>
      <c r="FK24" s="45">
        <v>1907.8779999999999</v>
      </c>
      <c r="FL24" s="45">
        <v>1951.3009999999999</v>
      </c>
      <c r="FM24" s="155">
        <v>1980.059</v>
      </c>
      <c r="FN24" s="69">
        <v>2015.1610000000001</v>
      </c>
      <c r="FO24" s="178">
        <v>2051.9670000000001</v>
      </c>
      <c r="FP24" s="178">
        <v>2089.0500000000002</v>
      </c>
      <c r="FQ24" s="178">
        <v>2129.252</v>
      </c>
      <c r="FR24" s="178">
        <v>2169.6790000000001</v>
      </c>
      <c r="FS24" s="178">
        <v>2206.2629999999999</v>
      </c>
      <c r="FT24" s="178">
        <v>2245.922</v>
      </c>
      <c r="FU24" s="178">
        <v>2280.9699999999998</v>
      </c>
      <c r="FV24" s="178">
        <v>2318.145</v>
      </c>
      <c r="FW24" s="178">
        <v>2359.989</v>
      </c>
      <c r="FX24" s="178">
        <v>2399.5340000000001</v>
      </c>
      <c r="FY24" s="180">
        <v>2427.9870000000001</v>
      </c>
      <c r="FZ24" s="178">
        <v>2464.134</v>
      </c>
      <c r="GA24" s="178">
        <v>2504.989</v>
      </c>
      <c r="GB24" s="178">
        <v>2553.6469999999999</v>
      </c>
      <c r="GC24" s="178">
        <v>2599.4450000000002</v>
      </c>
      <c r="GD24" s="178">
        <v>2650.0430000000001</v>
      </c>
      <c r="GE24" s="178">
        <v>2700.6460000000002</v>
      </c>
      <c r="GF24" s="178">
        <v>2754.5630000000001</v>
      </c>
      <c r="GG24" s="178">
        <v>2802.8679999999999</v>
      </c>
      <c r="GH24" s="178">
        <v>2857.3919999999998</v>
      </c>
      <c r="GI24" s="178">
        <v>2914.3629999999998</v>
      </c>
      <c r="GJ24" s="178">
        <v>2964.1750000000002</v>
      </c>
      <c r="GK24" s="180">
        <v>3000.2089999999998</v>
      </c>
      <c r="GL24" s="178">
        <v>3040.5050000000001</v>
      </c>
      <c r="GM24" s="178">
        <v>3083.5659999999998</v>
      </c>
      <c r="GN24" s="178">
        <v>3132.7460000000001</v>
      </c>
      <c r="GO24" s="178">
        <v>3184.2919999999999</v>
      </c>
    </row>
    <row r="25" spans="1:197" s="1" customFormat="1" ht="20.149999999999999" customHeight="1" x14ac:dyDescent="0.35">
      <c r="A25" s="31" t="s">
        <v>1625</v>
      </c>
      <c r="B25" s="45">
        <v>2.65</v>
      </c>
      <c r="C25" s="45">
        <v>2.7450000000000001</v>
      </c>
      <c r="D25" s="45">
        <v>3.1110000000000002</v>
      </c>
      <c r="E25" s="45">
        <v>3.3570000000000002</v>
      </c>
      <c r="F25" s="45">
        <v>3.7120000000000002</v>
      </c>
      <c r="G25" s="45">
        <v>3.9449999999999998</v>
      </c>
      <c r="H25" s="45">
        <v>4.0949999999999998</v>
      </c>
      <c r="I25" s="45">
        <v>4.3780000000000001</v>
      </c>
      <c r="J25" s="45">
        <v>4.827</v>
      </c>
      <c r="K25" s="45">
        <v>5.1970000000000001</v>
      </c>
      <c r="L25" s="45">
        <v>5.6909999999999998</v>
      </c>
      <c r="M25" s="49">
        <v>5.9390000000000001</v>
      </c>
      <c r="N25" s="50">
        <v>6.4939999999999998</v>
      </c>
      <c r="O25" s="45">
        <v>7.319</v>
      </c>
      <c r="P25" s="45">
        <v>8.15</v>
      </c>
      <c r="Q25" s="45">
        <v>9.1579999999999995</v>
      </c>
      <c r="R25" s="45">
        <v>10.382</v>
      </c>
      <c r="S25" s="45">
        <v>11.755000000000001</v>
      </c>
      <c r="T25" s="45">
        <v>15.018000000000001</v>
      </c>
      <c r="U25" s="45">
        <v>18.279</v>
      </c>
      <c r="V25" s="45">
        <v>22.56</v>
      </c>
      <c r="W25" s="45">
        <v>26.891999999999999</v>
      </c>
      <c r="X25" s="45">
        <v>49.792000000000002</v>
      </c>
      <c r="Y25" s="49">
        <v>96.597999999999999</v>
      </c>
      <c r="Z25" s="50">
        <v>97.736999999999995</v>
      </c>
      <c r="AA25" s="45">
        <v>134.953</v>
      </c>
      <c r="AB25" s="45">
        <v>161.291</v>
      </c>
      <c r="AC25" s="45">
        <v>162.96700000000001</v>
      </c>
      <c r="AD25" s="45">
        <v>167.358</v>
      </c>
      <c r="AE25" s="45">
        <v>176.64500000000001</v>
      </c>
      <c r="AF25" s="45">
        <v>213.774</v>
      </c>
      <c r="AG25" s="45">
        <v>215.214</v>
      </c>
      <c r="AH25" s="45">
        <v>217.47</v>
      </c>
      <c r="AI25" s="45">
        <v>225.464</v>
      </c>
      <c r="AJ25" s="45">
        <v>228.208</v>
      </c>
      <c r="AK25" s="49">
        <v>231.08</v>
      </c>
      <c r="AL25" s="50">
        <v>234.73099999999999</v>
      </c>
      <c r="AM25" s="45">
        <v>240.57300000000001</v>
      </c>
      <c r="AN25" s="45">
        <v>248.52</v>
      </c>
      <c r="AO25" s="45">
        <v>257.53800000000001</v>
      </c>
      <c r="AP25" s="45">
        <v>265.71800000000002</v>
      </c>
      <c r="AQ25" s="45">
        <v>286.53699999999998</v>
      </c>
      <c r="AR25" s="45">
        <v>291.01</v>
      </c>
      <c r="AS25" s="45">
        <v>298.12700000000001</v>
      </c>
      <c r="AT25" s="45">
        <v>305.36200000000002</v>
      </c>
      <c r="AU25" s="45">
        <v>311.726</v>
      </c>
      <c r="AV25" s="45">
        <v>319.01900000000001</v>
      </c>
      <c r="AW25" s="49">
        <v>326.44299999999998</v>
      </c>
      <c r="AX25" s="45">
        <v>332.81299999999999</v>
      </c>
      <c r="AY25" s="45">
        <v>342.524</v>
      </c>
      <c r="AZ25" s="45">
        <v>364.27100000000002</v>
      </c>
      <c r="BA25" s="45">
        <v>368.35500000000002</v>
      </c>
      <c r="BB25" s="45">
        <v>374.35</v>
      </c>
      <c r="BC25" s="45">
        <v>382.14800000000002</v>
      </c>
      <c r="BD25" s="45">
        <v>389.53300000000002</v>
      </c>
      <c r="BE25" s="45">
        <v>396.47399999999999</v>
      </c>
      <c r="BF25" s="45">
        <v>405.08100000000002</v>
      </c>
      <c r="BG25" s="45">
        <v>413.21</v>
      </c>
      <c r="BH25" s="45">
        <v>421.46600000000001</v>
      </c>
      <c r="BI25" s="49">
        <v>438.46699999999998</v>
      </c>
      <c r="BJ25" s="45">
        <v>442.327</v>
      </c>
      <c r="BK25" s="45">
        <v>449.82</v>
      </c>
      <c r="BL25" s="45">
        <v>462.62599999999998</v>
      </c>
      <c r="BM25" s="45">
        <v>470.05500000000001</v>
      </c>
      <c r="BN25" s="45">
        <v>477.33699999999999</v>
      </c>
      <c r="BO25" s="45">
        <v>488.685</v>
      </c>
      <c r="BP25" s="45">
        <v>498.24900000000002</v>
      </c>
      <c r="BQ25" s="45">
        <v>509.91699999999997</v>
      </c>
      <c r="BR25" s="45">
        <v>537.30999999999995</v>
      </c>
      <c r="BS25" s="45">
        <v>548.63900000000001</v>
      </c>
      <c r="BT25" s="45">
        <v>566.55499999999995</v>
      </c>
      <c r="BU25" s="49">
        <v>616.24400000000003</v>
      </c>
      <c r="BV25" s="45">
        <v>640.15099999999995</v>
      </c>
      <c r="BW25" s="45">
        <v>642.47699999999998</v>
      </c>
      <c r="BX25" s="45">
        <v>647.21799999999996</v>
      </c>
      <c r="BY25" s="45">
        <v>650.11</v>
      </c>
      <c r="BZ25" s="45">
        <v>653.15700000000004</v>
      </c>
      <c r="CA25" s="45">
        <v>657.779</v>
      </c>
      <c r="CB25" s="45">
        <v>662.15599999999995</v>
      </c>
      <c r="CC25" s="45">
        <v>668.27099999999996</v>
      </c>
      <c r="CD25" s="45">
        <v>679.52200000000005</v>
      </c>
      <c r="CE25" s="45">
        <v>682.32899999999995</v>
      </c>
      <c r="CF25" s="45">
        <v>685.32600000000002</v>
      </c>
      <c r="CG25" s="49">
        <v>689.89</v>
      </c>
      <c r="CH25" s="45">
        <v>691.57100000000003</v>
      </c>
      <c r="CI25" s="45">
        <v>694.11400000000003</v>
      </c>
      <c r="CJ25" s="45">
        <v>699.35699999999997</v>
      </c>
      <c r="CK25" s="45">
        <v>702.3</v>
      </c>
      <c r="CL25" s="45">
        <v>705.89499999999998</v>
      </c>
      <c r="CM25" s="45">
        <v>709.88</v>
      </c>
      <c r="CN25" s="45">
        <v>713.64499999999998</v>
      </c>
      <c r="CO25" s="45">
        <v>717.63800000000003</v>
      </c>
      <c r="CP25" s="45">
        <v>722.52099999999996</v>
      </c>
      <c r="CQ25" s="45">
        <v>726.40300000000002</v>
      </c>
      <c r="CR25" s="45">
        <v>731.49099999999999</v>
      </c>
      <c r="CS25" s="49">
        <v>735.44</v>
      </c>
      <c r="CT25" s="45">
        <v>739.53399999999999</v>
      </c>
      <c r="CU25" s="45">
        <v>743.27599999999995</v>
      </c>
      <c r="CV25" s="45">
        <v>748.59100000000001</v>
      </c>
      <c r="CW25" s="45">
        <v>752.03300000000002</v>
      </c>
      <c r="CX25" s="45">
        <v>755.48900000000003</v>
      </c>
      <c r="CY25" s="45">
        <v>760.27200000000005</v>
      </c>
      <c r="CZ25" s="45">
        <v>764.60799999999995</v>
      </c>
      <c r="DA25" s="45">
        <v>769.83699999999999</v>
      </c>
      <c r="DB25" s="45">
        <v>774.35</v>
      </c>
      <c r="DC25" s="45">
        <v>779.40599999999995</v>
      </c>
      <c r="DD25" s="45">
        <v>784.40300000000002</v>
      </c>
      <c r="DE25" s="49">
        <v>790.09299999999996</v>
      </c>
      <c r="DF25" s="45">
        <v>796.42</v>
      </c>
      <c r="DG25" s="45">
        <v>806.48</v>
      </c>
      <c r="DH25" s="45">
        <v>845.21799999999996</v>
      </c>
      <c r="DI25" s="45">
        <v>846.76900000000001</v>
      </c>
      <c r="DJ25" s="45">
        <v>848.37199999999996</v>
      </c>
      <c r="DK25" s="45">
        <v>850.38900000000001</v>
      </c>
      <c r="DL25" s="45">
        <v>852.70500000000004</v>
      </c>
      <c r="DM25" s="45">
        <v>856.00599999999997</v>
      </c>
      <c r="DN25" s="45">
        <v>859.39499999999998</v>
      </c>
      <c r="DO25" s="45">
        <v>862.67</v>
      </c>
      <c r="DP25" s="45">
        <v>866.30100000000004</v>
      </c>
      <c r="DQ25" s="49">
        <v>868.66600000000005</v>
      </c>
      <c r="DR25" s="45">
        <v>872.21299999999997</v>
      </c>
      <c r="DS25" s="45">
        <v>875.90800000000002</v>
      </c>
      <c r="DT25" s="45">
        <v>881.51800000000003</v>
      </c>
      <c r="DU25" s="45">
        <v>882.77200000000005</v>
      </c>
      <c r="DV25" s="45">
        <v>883.79100000000005</v>
      </c>
      <c r="DW25" s="45">
        <v>886.44899999999996</v>
      </c>
      <c r="DX25" s="45">
        <v>889.63699999999994</v>
      </c>
      <c r="DY25" s="45">
        <v>892.21900000000005</v>
      </c>
      <c r="DZ25" s="45">
        <v>896.37599999999998</v>
      </c>
      <c r="EA25" s="45">
        <v>900.14</v>
      </c>
      <c r="EB25" s="45">
        <v>904.39499999999998</v>
      </c>
      <c r="EC25" s="49">
        <v>907.34500000000003</v>
      </c>
      <c r="ED25" s="45">
        <v>910.32799999999997</v>
      </c>
      <c r="EE25" s="45">
        <v>913.80100000000004</v>
      </c>
      <c r="EF25" s="45">
        <v>918.60400000000004</v>
      </c>
      <c r="EG25" s="45">
        <v>922.40700000000004</v>
      </c>
      <c r="EH25" s="45">
        <v>926.23699999999997</v>
      </c>
      <c r="EI25" s="45">
        <v>929.68200000000002</v>
      </c>
      <c r="EJ25" s="45">
        <v>934.43600000000004</v>
      </c>
      <c r="EK25" s="45">
        <v>939.66</v>
      </c>
      <c r="EL25" s="45">
        <v>945.01400000000001</v>
      </c>
      <c r="EM25" s="45">
        <v>950.07600000000002</v>
      </c>
      <c r="EN25" s="45">
        <v>956.61800000000005</v>
      </c>
      <c r="EO25" s="82">
        <v>960.04499999999996</v>
      </c>
      <c r="EP25" s="45">
        <v>964.80200000000002</v>
      </c>
      <c r="EQ25" s="45">
        <v>970.06600000000003</v>
      </c>
      <c r="ER25" s="45">
        <v>978.10900000000004</v>
      </c>
      <c r="ES25" s="45">
        <v>984.06500000000005</v>
      </c>
      <c r="ET25" s="45">
        <v>992.33900000000006</v>
      </c>
      <c r="EU25" s="45">
        <v>999.48099999999999</v>
      </c>
      <c r="EV25" s="45">
        <v>1007.025</v>
      </c>
      <c r="EW25" s="45">
        <v>1015.423</v>
      </c>
      <c r="EX25" s="45">
        <v>1023.921</v>
      </c>
      <c r="EY25" s="45">
        <v>1033.085</v>
      </c>
      <c r="EZ25" s="45">
        <v>1043.9860000000001</v>
      </c>
      <c r="FA25" s="82">
        <v>1052.182</v>
      </c>
      <c r="FB25" s="45">
        <v>1062.8889999999999</v>
      </c>
      <c r="FC25" s="45">
        <v>1076.3579999999999</v>
      </c>
      <c r="FD25" s="45">
        <v>1092.4870000000001</v>
      </c>
      <c r="FE25" s="45">
        <v>1106.6179999999999</v>
      </c>
      <c r="FF25" s="45">
        <v>1124.4670000000001</v>
      </c>
      <c r="FG25" s="45">
        <v>1144.954</v>
      </c>
      <c r="FH25" s="45">
        <v>1162.1110000000001</v>
      </c>
      <c r="FI25" s="45">
        <v>1179.2729999999999</v>
      </c>
      <c r="FJ25" s="45">
        <v>1198.5350000000001</v>
      </c>
      <c r="FK25" s="45">
        <v>1215.365</v>
      </c>
      <c r="FL25" s="45">
        <v>1232.49</v>
      </c>
      <c r="FM25" s="155">
        <v>1243.1400000000001</v>
      </c>
      <c r="FN25" s="69">
        <v>1258.069</v>
      </c>
      <c r="FO25" s="178">
        <v>1271.652</v>
      </c>
      <c r="FP25" s="178">
        <v>1287.508</v>
      </c>
      <c r="FQ25" s="178">
        <v>1303.5999999999999</v>
      </c>
      <c r="FR25" s="178">
        <v>1322.0350000000001</v>
      </c>
      <c r="FS25" s="178">
        <v>1339.32</v>
      </c>
      <c r="FT25" s="178">
        <v>1358.229</v>
      </c>
      <c r="FU25" s="178">
        <v>1376.0920000000001</v>
      </c>
      <c r="FV25" s="178">
        <v>1393.3720000000001</v>
      </c>
      <c r="FW25" s="178">
        <v>1411.0930000000001</v>
      </c>
      <c r="FX25" s="178">
        <v>1429.453</v>
      </c>
      <c r="FY25" s="180">
        <v>1441.95</v>
      </c>
      <c r="FZ25" s="178">
        <v>1459.155</v>
      </c>
      <c r="GA25" s="178">
        <v>1479.6120000000001</v>
      </c>
      <c r="GB25" s="178">
        <v>1501.73</v>
      </c>
      <c r="GC25" s="178">
        <v>1522.837</v>
      </c>
      <c r="GD25" s="178">
        <v>1546.194</v>
      </c>
      <c r="GE25" s="178">
        <v>1568.3</v>
      </c>
      <c r="GF25" s="178">
        <v>1592.1310000000001</v>
      </c>
      <c r="GG25" s="178">
        <v>1613.5820000000001</v>
      </c>
      <c r="GH25" s="178">
        <v>1638.1980000000001</v>
      </c>
      <c r="GI25" s="178">
        <v>1662.32</v>
      </c>
      <c r="GJ25" s="178">
        <v>1683.2539999999999</v>
      </c>
      <c r="GK25" s="180">
        <v>1701.2739999999999</v>
      </c>
      <c r="GL25" s="178">
        <v>1721.7850000000001</v>
      </c>
      <c r="GM25" s="178">
        <v>1745.385</v>
      </c>
      <c r="GN25" s="178">
        <v>1774.473</v>
      </c>
      <c r="GO25" s="178">
        <v>1800.1590000000001</v>
      </c>
    </row>
    <row r="26" spans="1:197" s="1" customFormat="1" ht="20.149999999999999" customHeight="1" x14ac:dyDescent="0.35">
      <c r="A26" s="31" t="s">
        <v>1627</v>
      </c>
      <c r="B26" s="45">
        <v>1.133</v>
      </c>
      <c r="C26" s="45">
        <v>1.133</v>
      </c>
      <c r="D26" s="45">
        <v>1.133</v>
      </c>
      <c r="E26" s="45">
        <v>1.133</v>
      </c>
      <c r="F26" s="45">
        <v>1.3009999999999999</v>
      </c>
      <c r="G26" s="45">
        <v>2.101</v>
      </c>
      <c r="H26" s="45">
        <v>2.2509999999999999</v>
      </c>
      <c r="I26" s="45">
        <v>2.2509999999999999</v>
      </c>
      <c r="J26" s="45">
        <v>2.2509999999999999</v>
      </c>
      <c r="K26" s="45">
        <v>2.6989999999999998</v>
      </c>
      <c r="L26" s="45">
        <v>2.75</v>
      </c>
      <c r="M26" s="49">
        <v>2.8969999999999998</v>
      </c>
      <c r="N26" s="50">
        <v>2.8969999999999998</v>
      </c>
      <c r="O26" s="45">
        <v>3.4209999999999998</v>
      </c>
      <c r="P26" s="45">
        <v>4.2380000000000004</v>
      </c>
      <c r="Q26" s="45">
        <v>10.138999999999999</v>
      </c>
      <c r="R26" s="45">
        <v>11.798</v>
      </c>
      <c r="S26" s="45">
        <v>17.247</v>
      </c>
      <c r="T26" s="45">
        <v>139.82599999999999</v>
      </c>
      <c r="U26" s="45">
        <v>140.78100000000001</v>
      </c>
      <c r="V26" s="45">
        <v>156.404</v>
      </c>
      <c r="W26" s="45">
        <v>212.83099999999999</v>
      </c>
      <c r="X26" s="45">
        <v>214.464</v>
      </c>
      <c r="Y26" s="49">
        <v>222.828</v>
      </c>
      <c r="Z26" s="50">
        <v>222.98699999999999</v>
      </c>
      <c r="AA26" s="45">
        <v>226.87100000000001</v>
      </c>
      <c r="AB26" s="45">
        <v>237.54900000000001</v>
      </c>
      <c r="AC26" s="45">
        <v>238.36199999999999</v>
      </c>
      <c r="AD26" s="45">
        <v>239.48400000000001</v>
      </c>
      <c r="AE26" s="45">
        <v>255.54900000000001</v>
      </c>
      <c r="AF26" s="45">
        <v>332.488</v>
      </c>
      <c r="AG26" s="45">
        <v>335.31599999999997</v>
      </c>
      <c r="AH26" s="45">
        <v>336.98399999999998</v>
      </c>
      <c r="AI26" s="45">
        <v>340.91500000000002</v>
      </c>
      <c r="AJ26" s="45">
        <v>350.21899999999999</v>
      </c>
      <c r="AK26" s="49">
        <v>352.34800000000001</v>
      </c>
      <c r="AL26" s="50">
        <v>358.19799999999998</v>
      </c>
      <c r="AM26" s="45">
        <v>362.66199999999998</v>
      </c>
      <c r="AN26" s="45">
        <v>465.64400000000001</v>
      </c>
      <c r="AO26" s="45">
        <v>492.17200000000003</v>
      </c>
      <c r="AP26" s="45">
        <v>503.91</v>
      </c>
      <c r="AQ26" s="45">
        <v>518.42899999999997</v>
      </c>
      <c r="AR26" s="45">
        <v>533.10599999999999</v>
      </c>
      <c r="AS26" s="45">
        <v>550.12099999999998</v>
      </c>
      <c r="AT26" s="45">
        <v>560.89599999999996</v>
      </c>
      <c r="AU26" s="45">
        <v>573.43600000000004</v>
      </c>
      <c r="AV26" s="45">
        <v>581.77800000000002</v>
      </c>
      <c r="AW26" s="49">
        <v>597.53800000000001</v>
      </c>
      <c r="AX26" s="45">
        <v>611.97</v>
      </c>
      <c r="AY26" s="45">
        <v>631.83399999999995</v>
      </c>
      <c r="AZ26" s="45">
        <v>723.92499999999995</v>
      </c>
      <c r="BA26" s="45">
        <v>739.09699999999998</v>
      </c>
      <c r="BB26" s="45">
        <v>757.50099999999998</v>
      </c>
      <c r="BC26" s="45">
        <v>798.96</v>
      </c>
      <c r="BD26" s="45">
        <v>818.67499999999995</v>
      </c>
      <c r="BE26" s="45">
        <v>834.55799999999999</v>
      </c>
      <c r="BF26" s="45">
        <v>851.37699999999995</v>
      </c>
      <c r="BG26" s="45">
        <v>868.09500000000003</v>
      </c>
      <c r="BH26" s="45">
        <v>886.57600000000002</v>
      </c>
      <c r="BI26" s="49">
        <v>928.45</v>
      </c>
      <c r="BJ26" s="45">
        <v>939.26199999999994</v>
      </c>
      <c r="BK26" s="45">
        <v>958.29899999999998</v>
      </c>
      <c r="BL26" s="45">
        <v>1079.3620000000001</v>
      </c>
      <c r="BM26" s="45">
        <v>1089.9069999999999</v>
      </c>
      <c r="BN26" s="45">
        <v>1116.3689999999999</v>
      </c>
      <c r="BO26" s="45">
        <v>1181.6859999999999</v>
      </c>
      <c r="BP26" s="45">
        <v>1211.729</v>
      </c>
      <c r="BQ26" s="45">
        <v>1249.5809999999999</v>
      </c>
      <c r="BR26" s="45">
        <v>1295.8810000000001</v>
      </c>
      <c r="BS26" s="45">
        <v>1373.204</v>
      </c>
      <c r="BT26" s="45">
        <v>1457.037</v>
      </c>
      <c r="BU26" s="49">
        <v>1957.7750000000001</v>
      </c>
      <c r="BV26" s="45">
        <v>2027.3309999999999</v>
      </c>
      <c r="BW26" s="45">
        <v>2088.5410000000002</v>
      </c>
      <c r="BX26" s="45">
        <v>2605.5169999999998</v>
      </c>
      <c r="BY26" s="45">
        <v>2650.556</v>
      </c>
      <c r="BZ26" s="45">
        <v>2687.2809999999999</v>
      </c>
      <c r="CA26" s="45">
        <v>2839.9119999999998</v>
      </c>
      <c r="CB26" s="45">
        <v>2854.386</v>
      </c>
      <c r="CC26" s="45">
        <v>2882.8910000000001</v>
      </c>
      <c r="CD26" s="45">
        <v>2910.1089999999999</v>
      </c>
      <c r="CE26" s="45">
        <v>2936.0920000000001</v>
      </c>
      <c r="CF26" s="45">
        <v>2967.127</v>
      </c>
      <c r="CG26" s="49">
        <v>3007.6480000000001</v>
      </c>
      <c r="CH26" s="45">
        <v>3016.8589999999999</v>
      </c>
      <c r="CI26" s="45">
        <v>3069.4960000000001</v>
      </c>
      <c r="CJ26" s="45">
        <v>3435.471</v>
      </c>
      <c r="CK26" s="45">
        <v>3445.3969999999999</v>
      </c>
      <c r="CL26" s="45">
        <v>3452.1320000000001</v>
      </c>
      <c r="CM26" s="45">
        <v>3457.3589999999999</v>
      </c>
      <c r="CN26" s="45">
        <v>3466.6410000000001</v>
      </c>
      <c r="CO26" s="45">
        <v>3472.0990000000002</v>
      </c>
      <c r="CP26" s="45">
        <v>3475.674</v>
      </c>
      <c r="CQ26" s="45">
        <v>3478.1149999999998</v>
      </c>
      <c r="CR26" s="45">
        <v>3480.0340000000001</v>
      </c>
      <c r="CS26" s="49">
        <v>3481.17</v>
      </c>
      <c r="CT26" s="45">
        <v>3482.8130000000001</v>
      </c>
      <c r="CU26" s="45">
        <v>3483.569</v>
      </c>
      <c r="CV26" s="45">
        <v>3496.8580000000002</v>
      </c>
      <c r="CW26" s="45">
        <v>3499.6419999999998</v>
      </c>
      <c r="CX26" s="45">
        <v>3503.8670000000002</v>
      </c>
      <c r="CY26" s="45">
        <v>3510.3739999999998</v>
      </c>
      <c r="CZ26" s="45">
        <v>3513.0970000000002</v>
      </c>
      <c r="DA26" s="45">
        <v>3515.5990000000002</v>
      </c>
      <c r="DB26" s="45">
        <v>3518.0129999999999</v>
      </c>
      <c r="DC26" s="45">
        <v>3520.1109999999999</v>
      </c>
      <c r="DD26" s="45">
        <v>3529.0929999999998</v>
      </c>
      <c r="DE26" s="49">
        <v>3537.3969999999999</v>
      </c>
      <c r="DF26" s="45">
        <v>3540.366</v>
      </c>
      <c r="DG26" s="45">
        <v>3543.9540000000002</v>
      </c>
      <c r="DH26" s="45">
        <v>3548.0459999999998</v>
      </c>
      <c r="DI26" s="45">
        <v>3560.701</v>
      </c>
      <c r="DJ26" s="45">
        <v>3561.4090000000001</v>
      </c>
      <c r="DK26" s="45">
        <v>3563.6529999999998</v>
      </c>
      <c r="DL26" s="45">
        <v>3566.2449999999999</v>
      </c>
      <c r="DM26" s="45">
        <v>3573.0059999999999</v>
      </c>
      <c r="DN26" s="45">
        <v>3587.884</v>
      </c>
      <c r="DO26" s="45">
        <v>3589.018</v>
      </c>
      <c r="DP26" s="45">
        <v>3589.7779999999998</v>
      </c>
      <c r="DQ26" s="49">
        <v>3591.404</v>
      </c>
      <c r="DR26" s="45">
        <v>3600.154</v>
      </c>
      <c r="DS26" s="45">
        <v>3600.7539999999999</v>
      </c>
      <c r="DT26" s="45">
        <v>3603.1419999999998</v>
      </c>
      <c r="DU26" s="45">
        <v>3604.5929999999998</v>
      </c>
      <c r="DV26" s="45">
        <v>3604.8470000000002</v>
      </c>
      <c r="DW26" s="45">
        <v>3604.9969999999998</v>
      </c>
      <c r="DX26" s="45">
        <v>3611.8470000000002</v>
      </c>
      <c r="DY26" s="45">
        <v>3612.6970000000001</v>
      </c>
      <c r="DZ26" s="45">
        <v>3613.1970000000001</v>
      </c>
      <c r="EA26" s="45">
        <v>3617.1469999999999</v>
      </c>
      <c r="EB26" s="45">
        <v>3619.0970000000002</v>
      </c>
      <c r="EC26" s="49">
        <v>3622.4470000000001</v>
      </c>
      <c r="ED26" s="45">
        <v>3623.0219999999999</v>
      </c>
      <c r="EE26" s="45">
        <v>3624.8220000000001</v>
      </c>
      <c r="EF26" s="45">
        <v>3625.3719999999998</v>
      </c>
      <c r="EG26" s="45">
        <v>3625.7220000000002</v>
      </c>
      <c r="EH26" s="45">
        <v>3626.8719999999998</v>
      </c>
      <c r="EI26" s="45">
        <v>3628.2719999999999</v>
      </c>
      <c r="EJ26" s="45">
        <v>3634.3919999999998</v>
      </c>
      <c r="EK26" s="45">
        <v>3635.971</v>
      </c>
      <c r="EL26" s="45">
        <v>3643.1660000000002</v>
      </c>
      <c r="EM26" s="45">
        <v>3647.0309999999999</v>
      </c>
      <c r="EN26" s="45">
        <v>3649.5309999999999</v>
      </c>
      <c r="EO26" s="82">
        <v>3653.7150000000001</v>
      </c>
      <c r="EP26" s="45">
        <v>3673.6680000000001</v>
      </c>
      <c r="EQ26" s="45">
        <v>3677.143</v>
      </c>
      <c r="ER26" s="45">
        <v>3683.5149999999999</v>
      </c>
      <c r="ES26" s="45">
        <v>3695.0770000000002</v>
      </c>
      <c r="ET26" s="45">
        <v>3702.4560000000001</v>
      </c>
      <c r="EU26" s="45">
        <v>3706.0810000000001</v>
      </c>
      <c r="EV26" s="45">
        <v>3712.9180000000001</v>
      </c>
      <c r="EW26" s="45">
        <v>3714.28</v>
      </c>
      <c r="EX26" s="45">
        <v>3717.703</v>
      </c>
      <c r="EY26" s="45">
        <v>3723.8850000000002</v>
      </c>
      <c r="EZ26" s="45">
        <v>3729.0129999999999</v>
      </c>
      <c r="FA26" s="82">
        <v>3736.75</v>
      </c>
      <c r="FB26" s="45">
        <v>3739.4250000000002</v>
      </c>
      <c r="FC26" s="45">
        <v>3744.8789999999999</v>
      </c>
      <c r="FD26" s="45">
        <v>3753.4459999999999</v>
      </c>
      <c r="FE26" s="45">
        <v>3758.7339999999999</v>
      </c>
      <c r="FF26" s="45">
        <v>3763.7570000000001</v>
      </c>
      <c r="FG26" s="45">
        <v>3771.2489999999998</v>
      </c>
      <c r="FH26" s="45">
        <v>3780.636</v>
      </c>
      <c r="FI26" s="45">
        <v>3786.0189999999998</v>
      </c>
      <c r="FJ26" s="45">
        <v>3795.34</v>
      </c>
      <c r="FK26" s="45">
        <v>3806.9859999999999</v>
      </c>
      <c r="FL26" s="45">
        <v>3813.0120000000002</v>
      </c>
      <c r="FM26" s="155">
        <v>3816.5940000000001</v>
      </c>
      <c r="FN26" s="69">
        <v>3833.3649999999998</v>
      </c>
      <c r="FO26" s="178">
        <v>3838.5839999999998</v>
      </c>
      <c r="FP26" s="178">
        <v>3849.6080000000002</v>
      </c>
      <c r="FQ26" s="178">
        <v>3852.5889999999999</v>
      </c>
      <c r="FR26" s="178">
        <v>3860.6860000000001</v>
      </c>
      <c r="FS26" s="178">
        <v>3867.8870000000002</v>
      </c>
      <c r="FT26" s="178">
        <v>3876.8789999999999</v>
      </c>
      <c r="FU26" s="178">
        <v>3880.6489999999999</v>
      </c>
      <c r="FV26" s="178">
        <v>3884.3409999999999</v>
      </c>
      <c r="FW26" s="178">
        <v>3889.6080000000002</v>
      </c>
      <c r="FX26" s="178">
        <v>3894.748</v>
      </c>
      <c r="FY26" s="180">
        <v>3895.9650000000001</v>
      </c>
      <c r="FZ26" s="178">
        <v>3897.3910000000001</v>
      </c>
      <c r="GA26" s="178">
        <v>3900.2289999999998</v>
      </c>
      <c r="GB26" s="178">
        <v>3902.4250000000002</v>
      </c>
      <c r="GC26" s="178">
        <v>3903.8249999999998</v>
      </c>
      <c r="GD26" s="178">
        <v>3907.0129999999999</v>
      </c>
      <c r="GE26" s="178">
        <v>3909.4639999999999</v>
      </c>
      <c r="GF26" s="178">
        <v>3914.7139999999999</v>
      </c>
      <c r="GG26" s="178">
        <v>3916.5140000000001</v>
      </c>
      <c r="GH26" s="178">
        <v>3918.6640000000002</v>
      </c>
      <c r="GI26" s="178">
        <v>3921.4639999999999</v>
      </c>
      <c r="GJ26" s="178">
        <v>3922.9639999999999</v>
      </c>
      <c r="GK26" s="180">
        <v>3925.864</v>
      </c>
      <c r="GL26" s="178">
        <v>3926.7139999999999</v>
      </c>
      <c r="GM26" s="178">
        <v>3928.2139999999999</v>
      </c>
      <c r="GN26" s="178">
        <v>3929.8139999999999</v>
      </c>
      <c r="GO26" s="178">
        <v>3931.2139999999999</v>
      </c>
    </row>
    <row r="27" spans="1:197" s="1" customFormat="1" ht="20.149999999999999" customHeight="1" x14ac:dyDescent="0.35">
      <c r="A27" s="31" t="s">
        <v>1624</v>
      </c>
      <c r="B27" s="45">
        <v>0</v>
      </c>
      <c r="C27" s="45">
        <v>0</v>
      </c>
      <c r="D27" s="45">
        <v>0</v>
      </c>
      <c r="E27" s="45">
        <v>0</v>
      </c>
      <c r="F27" s="45">
        <v>0</v>
      </c>
      <c r="G27" s="45">
        <v>0</v>
      </c>
      <c r="H27" s="45">
        <v>0</v>
      </c>
      <c r="I27" s="45">
        <v>0</v>
      </c>
      <c r="J27" s="45">
        <v>0</v>
      </c>
      <c r="K27" s="45">
        <v>0</v>
      </c>
      <c r="L27" s="45">
        <v>0</v>
      </c>
      <c r="M27" s="49">
        <v>0</v>
      </c>
      <c r="N27" s="50">
        <v>0</v>
      </c>
      <c r="O27" s="45">
        <v>0</v>
      </c>
      <c r="P27" s="45">
        <v>0</v>
      </c>
      <c r="Q27" s="45">
        <v>0</v>
      </c>
      <c r="R27" s="45">
        <v>0</v>
      </c>
      <c r="S27" s="45">
        <v>0</v>
      </c>
      <c r="T27" s="45">
        <v>0</v>
      </c>
      <c r="U27" s="45">
        <v>0</v>
      </c>
      <c r="V27" s="45">
        <v>0</v>
      </c>
      <c r="W27" s="45">
        <v>0</v>
      </c>
      <c r="X27" s="45">
        <v>0</v>
      </c>
      <c r="Y27" s="49">
        <v>0</v>
      </c>
      <c r="Z27" s="50">
        <v>6</v>
      </c>
      <c r="AA27" s="45">
        <v>6</v>
      </c>
      <c r="AB27" s="45">
        <v>6</v>
      </c>
      <c r="AC27" s="45">
        <v>6</v>
      </c>
      <c r="AD27" s="45">
        <v>6</v>
      </c>
      <c r="AE27" s="45">
        <v>6</v>
      </c>
      <c r="AF27" s="45">
        <v>6</v>
      </c>
      <c r="AG27" s="45">
        <v>6</v>
      </c>
      <c r="AH27" s="45">
        <v>6</v>
      </c>
      <c r="AI27" s="45">
        <v>6</v>
      </c>
      <c r="AJ27" s="45">
        <v>6</v>
      </c>
      <c r="AK27" s="49">
        <v>6</v>
      </c>
      <c r="AL27" s="50">
        <v>6</v>
      </c>
      <c r="AM27" s="45">
        <v>45.012</v>
      </c>
      <c r="AN27" s="45">
        <v>272.49900000000002</v>
      </c>
      <c r="AO27" s="45">
        <v>272.49900000000002</v>
      </c>
      <c r="AP27" s="45">
        <v>296.28300000000002</v>
      </c>
      <c r="AQ27" s="45">
        <v>349.51299999999998</v>
      </c>
      <c r="AR27" s="45">
        <v>349.51299999999998</v>
      </c>
      <c r="AS27" s="45">
        <v>368.68799999999999</v>
      </c>
      <c r="AT27" s="45">
        <v>368.68799999999999</v>
      </c>
      <c r="AU27" s="45">
        <v>368.68799999999999</v>
      </c>
      <c r="AV27" s="45">
        <v>423.68799999999999</v>
      </c>
      <c r="AW27" s="49">
        <v>445.23200000000003</v>
      </c>
      <c r="AX27" s="45">
        <v>522.36</v>
      </c>
      <c r="AY27" s="45">
        <v>554.51599999999996</v>
      </c>
      <c r="AZ27" s="45">
        <v>1400.913</v>
      </c>
      <c r="BA27" s="45">
        <v>1409.904</v>
      </c>
      <c r="BB27" s="45">
        <v>1460.3620000000001</v>
      </c>
      <c r="BC27" s="45">
        <v>1515.2339999999999</v>
      </c>
      <c r="BD27" s="45">
        <v>1588.1410000000001</v>
      </c>
      <c r="BE27" s="45">
        <v>1594.2139999999999</v>
      </c>
      <c r="BF27" s="45">
        <v>1661.1849999999999</v>
      </c>
      <c r="BG27" s="45">
        <v>1701.164</v>
      </c>
      <c r="BH27" s="45">
        <v>1774.3140000000001</v>
      </c>
      <c r="BI27" s="49">
        <v>1893.9839999999999</v>
      </c>
      <c r="BJ27" s="45">
        <v>1953.204</v>
      </c>
      <c r="BK27" s="45">
        <v>2058.9949999999999</v>
      </c>
      <c r="BL27" s="45">
        <v>3562.9409999999998</v>
      </c>
      <c r="BM27" s="45">
        <v>3562.9409999999998</v>
      </c>
      <c r="BN27" s="45">
        <v>3562.9409999999998</v>
      </c>
      <c r="BO27" s="45">
        <v>3568.5610000000001</v>
      </c>
      <c r="BP27" s="45">
        <v>3579.6120000000001</v>
      </c>
      <c r="BQ27" s="45">
        <v>3613.9259999999999</v>
      </c>
      <c r="BR27" s="45">
        <v>3613.9259999999999</v>
      </c>
      <c r="BS27" s="45">
        <v>3644.4180000000001</v>
      </c>
      <c r="BT27" s="45">
        <v>3686.7640000000001</v>
      </c>
      <c r="BU27" s="49">
        <v>3741.6669999999999</v>
      </c>
      <c r="BV27" s="45">
        <v>3768.7379999999998</v>
      </c>
      <c r="BW27" s="45">
        <v>3801.6080000000002</v>
      </c>
      <c r="BX27" s="45">
        <v>4031.6930000000002</v>
      </c>
      <c r="BY27" s="45">
        <v>4047.4380000000001</v>
      </c>
      <c r="BZ27" s="45">
        <v>4047.4380000000001</v>
      </c>
      <c r="CA27" s="45">
        <v>4099.2790000000005</v>
      </c>
      <c r="CB27" s="45">
        <v>4113.8789999999999</v>
      </c>
      <c r="CC27" s="45">
        <v>4133.2790000000005</v>
      </c>
      <c r="CD27" s="45">
        <v>4133.2790000000005</v>
      </c>
      <c r="CE27" s="45">
        <v>4138.2790000000005</v>
      </c>
      <c r="CF27" s="45">
        <v>4138.2790000000005</v>
      </c>
      <c r="CG27" s="49">
        <v>4163.2790000000005</v>
      </c>
      <c r="CH27" s="45">
        <v>4185.2790000000005</v>
      </c>
      <c r="CI27" s="45">
        <v>4216.76</v>
      </c>
      <c r="CJ27" s="45">
        <v>4350.6000000000004</v>
      </c>
      <c r="CK27" s="45">
        <v>4350.6000000000004</v>
      </c>
      <c r="CL27" s="45">
        <v>4350.6000000000004</v>
      </c>
      <c r="CM27" s="45">
        <v>4350.6000000000004</v>
      </c>
      <c r="CN27" s="45">
        <v>4359.1400000000003</v>
      </c>
      <c r="CO27" s="45">
        <v>4359.1400000000003</v>
      </c>
      <c r="CP27" s="45">
        <v>4359.1400000000003</v>
      </c>
      <c r="CQ27" s="45">
        <v>4369.84</v>
      </c>
      <c r="CR27" s="45">
        <v>4369.84</v>
      </c>
      <c r="CS27" s="49">
        <v>4381.8</v>
      </c>
      <c r="CT27" s="45">
        <v>4381.8</v>
      </c>
      <c r="CU27" s="45">
        <v>4388.3</v>
      </c>
      <c r="CV27" s="45">
        <v>4402.5020000000004</v>
      </c>
      <c r="CW27" s="45">
        <v>4415.5020000000004</v>
      </c>
      <c r="CX27" s="45">
        <v>4422.0020000000004</v>
      </c>
      <c r="CY27" s="45">
        <v>4422.0020000000004</v>
      </c>
      <c r="CZ27" s="45">
        <v>4422.0020000000004</v>
      </c>
      <c r="DA27" s="45">
        <v>4422.0020000000004</v>
      </c>
      <c r="DB27" s="45">
        <v>4422.0020000000004</v>
      </c>
      <c r="DC27" s="45">
        <v>4429.5020000000004</v>
      </c>
      <c r="DD27" s="45">
        <v>4429.5020000000004</v>
      </c>
      <c r="DE27" s="49">
        <v>4434.5020000000004</v>
      </c>
      <c r="DF27" s="45">
        <v>4449.152</v>
      </c>
      <c r="DG27" s="45">
        <v>4449.152</v>
      </c>
      <c r="DH27" s="45">
        <v>4449.152</v>
      </c>
      <c r="DI27" s="45">
        <v>4449.152</v>
      </c>
      <c r="DJ27" s="45">
        <v>4449.152</v>
      </c>
      <c r="DK27" s="45">
        <v>4449.152</v>
      </c>
      <c r="DL27" s="45">
        <v>4456.3519999999999</v>
      </c>
      <c r="DM27" s="45">
        <v>4456.3519999999999</v>
      </c>
      <c r="DN27" s="45">
        <v>4465.5519999999997</v>
      </c>
      <c r="DO27" s="45">
        <v>4465.5519999999997</v>
      </c>
      <c r="DP27" s="45">
        <v>4465.5519999999997</v>
      </c>
      <c r="DQ27" s="49">
        <v>4465.5519999999997</v>
      </c>
      <c r="DR27" s="45">
        <v>4484.8599999999997</v>
      </c>
      <c r="DS27" s="45">
        <v>4489.8599999999997</v>
      </c>
      <c r="DT27" s="45">
        <v>4489.8599999999997</v>
      </c>
      <c r="DU27" s="45">
        <v>4489.8599999999997</v>
      </c>
      <c r="DV27" s="45">
        <v>4498.76</v>
      </c>
      <c r="DW27" s="45">
        <v>4498.76</v>
      </c>
      <c r="DX27" s="45">
        <v>4498.76</v>
      </c>
      <c r="DY27" s="45">
        <v>4503.76</v>
      </c>
      <c r="DZ27" s="45">
        <v>4503.76</v>
      </c>
      <c r="EA27" s="45">
        <v>4503.76</v>
      </c>
      <c r="EB27" s="45">
        <v>4503.76</v>
      </c>
      <c r="EC27" s="49">
        <v>4515.7849999999999</v>
      </c>
      <c r="ED27" s="45">
        <v>4523.7849999999999</v>
      </c>
      <c r="EE27" s="45">
        <v>4523.7849999999999</v>
      </c>
      <c r="EF27" s="45">
        <v>4531.7849999999999</v>
      </c>
      <c r="EG27" s="45">
        <v>4531.7849999999999</v>
      </c>
      <c r="EH27" s="45">
        <v>4538.7849999999999</v>
      </c>
      <c r="EI27" s="45">
        <v>4552.7849999999999</v>
      </c>
      <c r="EJ27" s="45">
        <v>4552.7849999999999</v>
      </c>
      <c r="EK27" s="45">
        <v>4552.7849999999999</v>
      </c>
      <c r="EL27" s="45">
        <v>4552.7849999999999</v>
      </c>
      <c r="EM27" s="45">
        <v>4552.7849999999999</v>
      </c>
      <c r="EN27" s="45">
        <v>4552.7849999999999</v>
      </c>
      <c r="EO27" s="82">
        <v>4552.7849999999999</v>
      </c>
      <c r="EP27" s="45">
        <v>4595.4120000000003</v>
      </c>
      <c r="EQ27" s="45">
        <v>4595.4120000000003</v>
      </c>
      <c r="ER27" s="45">
        <v>4600.4120000000003</v>
      </c>
      <c r="ES27" s="45">
        <v>4600.4120000000003</v>
      </c>
      <c r="ET27" s="45">
        <v>4600.4120000000003</v>
      </c>
      <c r="EU27" s="45">
        <v>4600.4120000000003</v>
      </c>
      <c r="EV27" s="45">
        <v>4615.5820000000003</v>
      </c>
      <c r="EW27" s="45">
        <v>4615.5820000000003</v>
      </c>
      <c r="EX27" s="45">
        <v>4638.5820000000003</v>
      </c>
      <c r="EY27" s="45">
        <v>4638.5820000000003</v>
      </c>
      <c r="EZ27" s="45">
        <v>4638.5820000000003</v>
      </c>
      <c r="FA27" s="82">
        <v>4647.6120000000001</v>
      </c>
      <c r="FB27" s="45">
        <v>4684.6120000000001</v>
      </c>
      <c r="FC27" s="45">
        <v>4694.5119999999997</v>
      </c>
      <c r="FD27" s="45">
        <v>4715.0619999999999</v>
      </c>
      <c r="FE27" s="45">
        <v>4720.0619999999999</v>
      </c>
      <c r="FF27" s="45">
        <v>4720.0619999999999</v>
      </c>
      <c r="FG27" s="45">
        <v>4720.0619999999999</v>
      </c>
      <c r="FH27" s="45">
        <v>4720.0619999999999</v>
      </c>
      <c r="FI27" s="45">
        <v>4720.0619999999999</v>
      </c>
      <c r="FJ27" s="45">
        <v>4729.7520000000004</v>
      </c>
      <c r="FK27" s="45">
        <v>4786.902</v>
      </c>
      <c r="FL27" s="45">
        <v>4806.902</v>
      </c>
      <c r="FM27" s="155">
        <v>4806.902</v>
      </c>
      <c r="FN27" s="69">
        <v>4858.6769999999997</v>
      </c>
      <c r="FO27" s="178">
        <v>4858.6769999999997</v>
      </c>
      <c r="FP27" s="178">
        <v>4928.3109999999997</v>
      </c>
      <c r="FQ27" s="178">
        <v>4984.5609999999997</v>
      </c>
      <c r="FR27" s="178">
        <v>4984.5609999999997</v>
      </c>
      <c r="FS27" s="178">
        <v>5027.951</v>
      </c>
      <c r="FT27" s="178">
        <v>5027.951</v>
      </c>
      <c r="FU27" s="178">
        <v>5027.951</v>
      </c>
      <c r="FV27" s="178">
        <v>5027.951</v>
      </c>
      <c r="FW27" s="178">
        <v>5051.183</v>
      </c>
      <c r="FX27" s="178">
        <v>5051.183</v>
      </c>
      <c r="FY27" s="180">
        <v>5061.183</v>
      </c>
      <c r="FZ27" s="178">
        <v>5124.9589999999998</v>
      </c>
      <c r="GA27" s="178">
        <v>5134.9589999999998</v>
      </c>
      <c r="GB27" s="178">
        <v>5134.9589999999998</v>
      </c>
      <c r="GC27" s="178">
        <v>5134.9589999999998</v>
      </c>
      <c r="GD27" s="178">
        <v>5134.9589999999998</v>
      </c>
      <c r="GE27" s="178">
        <v>5176.9589999999998</v>
      </c>
      <c r="GF27" s="178">
        <v>5176.9589999999998</v>
      </c>
      <c r="GG27" s="178">
        <v>5194.9589999999998</v>
      </c>
      <c r="GH27" s="178">
        <v>5194.9589999999998</v>
      </c>
      <c r="GI27" s="178">
        <v>5201.9089999999997</v>
      </c>
      <c r="GJ27" s="178">
        <v>5201.9089999999997</v>
      </c>
      <c r="GK27" s="180">
        <v>5201.9089999999997</v>
      </c>
      <c r="GL27" s="178">
        <v>5201.9089999999997</v>
      </c>
      <c r="GM27" s="178">
        <v>5201.9089999999997</v>
      </c>
      <c r="GN27" s="178">
        <v>5201.9089999999997</v>
      </c>
      <c r="GO27" s="178">
        <v>5201.9089999999997</v>
      </c>
    </row>
    <row r="28" spans="1:197" s="1" customFormat="1" ht="20.149999999999999" customHeight="1" x14ac:dyDescent="0.4">
      <c r="A28" s="31" t="s">
        <v>1628</v>
      </c>
      <c r="B28" s="87">
        <v>0</v>
      </c>
      <c r="C28" s="87">
        <v>0</v>
      </c>
      <c r="D28" s="87">
        <v>0</v>
      </c>
      <c r="E28" s="87">
        <v>0</v>
      </c>
      <c r="F28" s="87">
        <v>0</v>
      </c>
      <c r="G28" s="87">
        <v>0</v>
      </c>
      <c r="H28" s="87">
        <v>0</v>
      </c>
      <c r="I28" s="87">
        <v>0</v>
      </c>
      <c r="J28" s="87">
        <v>0</v>
      </c>
      <c r="K28" s="87">
        <v>0</v>
      </c>
      <c r="L28" s="87">
        <v>0</v>
      </c>
      <c r="M28" s="88">
        <v>0</v>
      </c>
      <c r="N28" s="86">
        <v>0</v>
      </c>
      <c r="O28" s="87">
        <v>0</v>
      </c>
      <c r="P28" s="87">
        <v>0</v>
      </c>
      <c r="Q28" s="87">
        <v>0</v>
      </c>
      <c r="R28" s="87">
        <v>0</v>
      </c>
      <c r="S28" s="87">
        <v>0</v>
      </c>
      <c r="T28" s="87">
        <v>0</v>
      </c>
      <c r="U28" s="87">
        <v>0</v>
      </c>
      <c r="V28" s="87">
        <v>0</v>
      </c>
      <c r="W28" s="87">
        <v>0</v>
      </c>
      <c r="X28" s="87">
        <v>0</v>
      </c>
      <c r="Y28" s="88">
        <v>0</v>
      </c>
      <c r="Z28" s="87">
        <v>0</v>
      </c>
      <c r="AA28" s="87">
        <v>0</v>
      </c>
      <c r="AB28" s="87">
        <v>0</v>
      </c>
      <c r="AC28" s="87">
        <v>0</v>
      </c>
      <c r="AD28" s="87">
        <v>0</v>
      </c>
      <c r="AE28" s="87">
        <v>0</v>
      </c>
      <c r="AF28" s="87">
        <v>0</v>
      </c>
      <c r="AG28" s="87">
        <v>0</v>
      </c>
      <c r="AH28" s="87">
        <v>0</v>
      </c>
      <c r="AI28" s="87">
        <v>0</v>
      </c>
      <c r="AJ28" s="87">
        <v>0</v>
      </c>
      <c r="AK28" s="87">
        <v>0</v>
      </c>
      <c r="AL28" s="47">
        <v>0</v>
      </c>
      <c r="AM28" s="87">
        <v>0</v>
      </c>
      <c r="AN28" s="161">
        <v>34.47</v>
      </c>
      <c r="AO28" s="161">
        <v>34.47</v>
      </c>
      <c r="AP28" s="161">
        <v>34.47</v>
      </c>
      <c r="AQ28" s="161">
        <v>34.47</v>
      </c>
      <c r="AR28" s="161">
        <v>34.47</v>
      </c>
      <c r="AS28" s="161">
        <v>34.47</v>
      </c>
      <c r="AT28" s="161">
        <v>34.47</v>
      </c>
      <c r="AU28" s="161">
        <v>34.47</v>
      </c>
      <c r="AV28" s="161">
        <v>34.47</v>
      </c>
      <c r="AW28" s="48">
        <v>34.47</v>
      </c>
      <c r="AX28" s="46">
        <v>34.47</v>
      </c>
      <c r="AY28" s="161">
        <v>66.171000000000006</v>
      </c>
      <c r="AZ28" s="161">
        <v>97.760999999999996</v>
      </c>
      <c r="BA28" s="161">
        <v>129.77099999999999</v>
      </c>
      <c r="BB28" s="161">
        <v>129.77099999999999</v>
      </c>
      <c r="BC28" s="161">
        <v>129.77099999999999</v>
      </c>
      <c r="BD28" s="161">
        <v>162.221</v>
      </c>
      <c r="BE28" s="161">
        <v>162.221</v>
      </c>
      <c r="BF28" s="161">
        <v>236.06399999999999</v>
      </c>
      <c r="BG28" s="161">
        <v>296.745</v>
      </c>
      <c r="BH28" s="161">
        <v>296.745</v>
      </c>
      <c r="BI28" s="48">
        <v>383.32100000000003</v>
      </c>
      <c r="BJ28" s="161">
        <v>383.32100000000003</v>
      </c>
      <c r="BK28" s="161">
        <v>383.32100000000003</v>
      </c>
      <c r="BL28" s="161">
        <v>1064.317</v>
      </c>
      <c r="BM28" s="161">
        <v>1064.317</v>
      </c>
      <c r="BN28" s="161">
        <v>1064.317</v>
      </c>
      <c r="BO28" s="161">
        <v>1064.317</v>
      </c>
      <c r="BP28" s="161">
        <v>1064.317</v>
      </c>
      <c r="BQ28" s="161">
        <v>1064.317</v>
      </c>
      <c r="BR28" s="161">
        <v>1064.317</v>
      </c>
      <c r="BS28" s="161">
        <v>1064.317</v>
      </c>
      <c r="BT28" s="161">
        <v>1064.317</v>
      </c>
      <c r="BU28" s="48">
        <v>1064.317</v>
      </c>
      <c r="BV28" s="161">
        <v>1102.317</v>
      </c>
      <c r="BW28" s="161">
        <v>1102.317</v>
      </c>
      <c r="BX28" s="161">
        <v>1507.117</v>
      </c>
      <c r="BY28" s="161">
        <v>1507.117</v>
      </c>
      <c r="BZ28" s="161">
        <v>1507.117</v>
      </c>
      <c r="CA28" s="161">
        <v>1507.117</v>
      </c>
      <c r="CB28" s="161">
        <v>1507.117</v>
      </c>
      <c r="CC28" s="161">
        <v>1507.117</v>
      </c>
      <c r="CD28" s="161">
        <v>1507.117</v>
      </c>
      <c r="CE28" s="161">
        <v>1507.117</v>
      </c>
      <c r="CF28" s="161">
        <v>1507.117</v>
      </c>
      <c r="CG28" s="48">
        <v>1507.117</v>
      </c>
      <c r="CH28" s="161">
        <v>1507.117</v>
      </c>
      <c r="CI28" s="161">
        <v>1507.117</v>
      </c>
      <c r="CJ28" s="161">
        <v>1552.87</v>
      </c>
      <c r="CK28" s="161">
        <v>1552.87</v>
      </c>
      <c r="CL28" s="161">
        <v>1552.87</v>
      </c>
      <c r="CM28" s="161">
        <v>1552.87</v>
      </c>
      <c r="CN28" s="161">
        <v>1552.87</v>
      </c>
      <c r="CO28" s="161">
        <v>1552.87</v>
      </c>
      <c r="CP28" s="161">
        <v>1552.87</v>
      </c>
      <c r="CQ28" s="161">
        <v>1552.87</v>
      </c>
      <c r="CR28" s="161">
        <v>1552.87</v>
      </c>
      <c r="CS28" s="49">
        <v>1552.87</v>
      </c>
      <c r="CT28" s="161">
        <v>1579.97</v>
      </c>
      <c r="CU28" s="161">
        <v>1579.97</v>
      </c>
      <c r="CV28" s="161">
        <v>1579.97</v>
      </c>
      <c r="CW28" s="161">
        <v>1579.97</v>
      </c>
      <c r="CX28" s="161">
        <v>1579.97</v>
      </c>
      <c r="CY28" s="161">
        <v>1579.97</v>
      </c>
      <c r="CZ28" s="161">
        <v>1579.97</v>
      </c>
      <c r="DA28" s="161">
        <v>1579.97</v>
      </c>
      <c r="DB28" s="161">
        <v>1579.97</v>
      </c>
      <c r="DC28" s="161">
        <v>1579.97</v>
      </c>
      <c r="DD28" s="161">
        <v>1579.97</v>
      </c>
      <c r="DE28" s="48">
        <v>1579.97</v>
      </c>
      <c r="DF28" s="161">
        <v>1629.9570000000001</v>
      </c>
      <c r="DG28" s="161">
        <v>1629.9570000000001</v>
      </c>
      <c r="DH28" s="161">
        <v>1629.9570000000001</v>
      </c>
      <c r="DI28" s="161">
        <v>1629.9570000000001</v>
      </c>
      <c r="DJ28" s="161">
        <v>1629.9570000000001</v>
      </c>
      <c r="DK28" s="161">
        <v>1629.9570000000001</v>
      </c>
      <c r="DL28" s="161">
        <v>1629.9570000000001</v>
      </c>
      <c r="DM28" s="161">
        <v>1629.9570000000001</v>
      </c>
      <c r="DN28" s="161">
        <v>1629.9570000000001</v>
      </c>
      <c r="DO28" s="161">
        <v>1629.9570000000001</v>
      </c>
      <c r="DP28" s="161">
        <v>1629.9570000000001</v>
      </c>
      <c r="DQ28" s="48">
        <v>1664.6569999999999</v>
      </c>
      <c r="DR28" s="161">
        <v>1664.6569999999999</v>
      </c>
      <c r="DS28" s="161">
        <v>1664.6569999999999</v>
      </c>
      <c r="DT28" s="161">
        <v>1664.6569999999999</v>
      </c>
      <c r="DU28" s="161">
        <v>1664.6569999999999</v>
      </c>
      <c r="DV28" s="161">
        <v>1664.6569999999999</v>
      </c>
      <c r="DW28" s="161">
        <v>1664.6569999999999</v>
      </c>
      <c r="DX28" s="161">
        <v>1664.6569999999999</v>
      </c>
      <c r="DY28" s="161">
        <v>1707.877</v>
      </c>
      <c r="DZ28" s="161">
        <v>1707.877</v>
      </c>
      <c r="EA28" s="161">
        <v>1707.877</v>
      </c>
      <c r="EB28" s="161">
        <v>1707.877</v>
      </c>
      <c r="EC28" s="49">
        <v>1707.877</v>
      </c>
      <c r="ED28" s="161">
        <v>1757.877</v>
      </c>
      <c r="EE28" s="161">
        <v>1757.877</v>
      </c>
      <c r="EF28" s="161">
        <v>1882.777</v>
      </c>
      <c r="EG28" s="161">
        <v>1932.6769999999999</v>
      </c>
      <c r="EH28" s="161">
        <v>1932.6769999999999</v>
      </c>
      <c r="EI28" s="161">
        <v>1932.6769999999999</v>
      </c>
      <c r="EJ28" s="161">
        <v>1932.6769999999999</v>
      </c>
      <c r="EK28" s="161">
        <v>1932.6769999999999</v>
      </c>
      <c r="EL28" s="161">
        <v>1932.6769999999999</v>
      </c>
      <c r="EM28" s="161">
        <v>1957.6769999999999</v>
      </c>
      <c r="EN28" s="161">
        <v>1957.6769999999999</v>
      </c>
      <c r="EO28" s="82">
        <v>1957.6769999999999</v>
      </c>
      <c r="EP28" s="161">
        <v>1957.6769999999999</v>
      </c>
      <c r="EQ28" s="161">
        <v>1957.6769999999999</v>
      </c>
      <c r="ER28" s="161">
        <v>1957.6769999999999</v>
      </c>
      <c r="ES28" s="161">
        <v>1989.6769999999999</v>
      </c>
      <c r="ET28" s="161">
        <v>1989.6769999999999</v>
      </c>
      <c r="EU28" s="161">
        <v>1989.6769999999999</v>
      </c>
      <c r="EV28" s="161">
        <v>1989.6769999999999</v>
      </c>
      <c r="EW28" s="161">
        <v>1989.6769999999999</v>
      </c>
      <c r="EX28" s="161">
        <v>1989.6769999999999</v>
      </c>
      <c r="EY28" s="161">
        <v>1989.6769999999999</v>
      </c>
      <c r="EZ28" s="161">
        <v>1989.6769999999999</v>
      </c>
      <c r="FA28" s="82">
        <v>2029.6769999999999</v>
      </c>
      <c r="FB28" s="161">
        <v>2054.6770000000001</v>
      </c>
      <c r="FC28" s="161">
        <v>2080.6770000000001</v>
      </c>
      <c r="FD28" s="161">
        <v>2180.5770000000002</v>
      </c>
      <c r="FE28" s="161">
        <v>2180.5770000000002</v>
      </c>
      <c r="FF28" s="161">
        <v>2180.5770000000002</v>
      </c>
      <c r="FG28" s="161">
        <v>2180.5770000000002</v>
      </c>
      <c r="FH28" s="161">
        <v>2180.5770000000002</v>
      </c>
      <c r="FI28" s="161">
        <v>2180.5770000000002</v>
      </c>
      <c r="FJ28" s="161">
        <v>2230.4769999999999</v>
      </c>
      <c r="FK28" s="161">
        <v>2230.4769999999999</v>
      </c>
      <c r="FL28" s="161">
        <v>2230.4769999999999</v>
      </c>
      <c r="FM28" s="161">
        <v>2230.4769999999999</v>
      </c>
      <c r="FN28" s="69">
        <v>2518.1770000000001</v>
      </c>
      <c r="FO28" s="161">
        <v>2594.0770000000002</v>
      </c>
      <c r="FP28" s="161">
        <v>2664.877</v>
      </c>
      <c r="FQ28" s="161">
        <v>2760.817</v>
      </c>
      <c r="FR28" s="161">
        <v>2860.6170000000002</v>
      </c>
      <c r="FS28" s="161">
        <v>2955.6170000000002</v>
      </c>
      <c r="FT28" s="161">
        <v>3012.067</v>
      </c>
      <c r="FU28" s="161">
        <v>3012.067</v>
      </c>
      <c r="FV28" s="161">
        <v>3012.067</v>
      </c>
      <c r="FW28" s="161">
        <v>3263.9670000000001</v>
      </c>
      <c r="FX28" s="161">
        <v>3313.8670000000002</v>
      </c>
      <c r="FY28" s="194">
        <v>3348.8670000000002</v>
      </c>
      <c r="FZ28" s="161">
        <v>3562.527</v>
      </c>
      <c r="GA28" s="161">
        <v>3625.527</v>
      </c>
      <c r="GB28" s="161">
        <v>3775.2269999999999</v>
      </c>
      <c r="GC28" s="161">
        <v>3875.127</v>
      </c>
      <c r="GD28" s="161">
        <v>3975.0169999999998</v>
      </c>
      <c r="GE28" s="161">
        <v>4064.9169999999999</v>
      </c>
      <c r="GF28" s="161">
        <v>4522.817</v>
      </c>
      <c r="GG28" s="161">
        <v>4600.7169999999996</v>
      </c>
      <c r="GH28" s="161">
        <v>4668.4170000000004</v>
      </c>
      <c r="GI28" s="161">
        <v>4763.4170000000004</v>
      </c>
      <c r="GJ28" s="161">
        <v>4763.4170000000004</v>
      </c>
      <c r="GK28" s="194">
        <v>4763.4170000000004</v>
      </c>
      <c r="GL28" s="161">
        <v>4808.4170000000004</v>
      </c>
      <c r="GM28" s="161">
        <v>4808.4170000000004</v>
      </c>
      <c r="GN28" s="161">
        <v>4808.4170000000004</v>
      </c>
      <c r="GO28" s="161">
        <v>4808.4170000000004</v>
      </c>
    </row>
    <row r="29" spans="1:197" s="1" customFormat="1" ht="20.149999999999999" customHeight="1" x14ac:dyDescent="0.35">
      <c r="A29" s="207" t="s">
        <v>270</v>
      </c>
      <c r="B29" s="47">
        <v>14.6</v>
      </c>
      <c r="C29" s="46">
        <v>14.6</v>
      </c>
      <c r="D29" s="46">
        <v>14.6</v>
      </c>
      <c r="E29" s="46">
        <v>14.6</v>
      </c>
      <c r="F29" s="46">
        <v>14.6</v>
      </c>
      <c r="G29" s="46">
        <v>14.6</v>
      </c>
      <c r="H29" s="46">
        <v>14.6</v>
      </c>
      <c r="I29" s="46">
        <v>14.6</v>
      </c>
      <c r="J29" s="46">
        <v>14.6</v>
      </c>
      <c r="K29" s="46">
        <v>14.6</v>
      </c>
      <c r="L29" s="46">
        <v>14.6</v>
      </c>
      <c r="M29" s="46">
        <v>14.6</v>
      </c>
      <c r="N29" s="47">
        <v>14.6</v>
      </c>
      <c r="O29" s="46">
        <v>14.6</v>
      </c>
      <c r="P29" s="46">
        <v>14.6</v>
      </c>
      <c r="Q29" s="46">
        <v>14.6</v>
      </c>
      <c r="R29" s="46">
        <v>14.6</v>
      </c>
      <c r="S29" s="46">
        <v>14.6</v>
      </c>
      <c r="T29" s="46">
        <v>14.6</v>
      </c>
      <c r="U29" s="46">
        <v>14.6</v>
      </c>
      <c r="V29" s="46">
        <v>14.6</v>
      </c>
      <c r="W29" s="46">
        <v>14.6</v>
      </c>
      <c r="X29" s="46">
        <v>14.6</v>
      </c>
      <c r="Y29" s="48">
        <v>14.6</v>
      </c>
      <c r="Z29" s="46">
        <v>14.6</v>
      </c>
      <c r="AA29" s="46">
        <v>14.6</v>
      </c>
      <c r="AB29" s="46">
        <v>14.6</v>
      </c>
      <c r="AC29" s="46">
        <v>14.6</v>
      </c>
      <c r="AD29" s="46">
        <v>14.6</v>
      </c>
      <c r="AE29" s="46">
        <v>14.6</v>
      </c>
      <c r="AF29" s="46">
        <v>14.6</v>
      </c>
      <c r="AG29" s="46">
        <v>14.6</v>
      </c>
      <c r="AH29" s="46">
        <v>14.6</v>
      </c>
      <c r="AI29" s="46">
        <v>14.6</v>
      </c>
      <c r="AJ29" s="46">
        <v>14.6</v>
      </c>
      <c r="AK29" s="186">
        <v>14.6</v>
      </c>
      <c r="AL29" s="46">
        <v>14.6</v>
      </c>
      <c r="AM29" s="46">
        <v>14.6</v>
      </c>
      <c r="AN29" s="46">
        <v>14.6</v>
      </c>
      <c r="AO29" s="46">
        <v>14.6</v>
      </c>
      <c r="AP29" s="46">
        <v>14.6</v>
      </c>
      <c r="AQ29" s="46">
        <v>14.6</v>
      </c>
      <c r="AR29" s="46">
        <v>14.6</v>
      </c>
      <c r="AS29" s="46">
        <v>14.6</v>
      </c>
      <c r="AT29" s="46">
        <v>14.6</v>
      </c>
      <c r="AU29" s="46">
        <v>14.6</v>
      </c>
      <c r="AV29" s="46">
        <v>14.6</v>
      </c>
      <c r="AW29" s="188">
        <v>14.6</v>
      </c>
      <c r="AX29" s="46">
        <v>14.6</v>
      </c>
      <c r="AY29" s="46">
        <v>14.6</v>
      </c>
      <c r="AZ29" s="46">
        <v>14.6</v>
      </c>
      <c r="BA29" s="46">
        <v>14.6</v>
      </c>
      <c r="BB29" s="46">
        <v>14.6</v>
      </c>
      <c r="BC29" s="46">
        <v>14.6</v>
      </c>
      <c r="BD29" s="46">
        <v>14.6</v>
      </c>
      <c r="BE29" s="46">
        <v>14.6</v>
      </c>
      <c r="BF29" s="46">
        <v>14.6</v>
      </c>
      <c r="BG29" s="46">
        <v>14.6</v>
      </c>
      <c r="BH29" s="46">
        <v>14.6</v>
      </c>
      <c r="BI29" s="188">
        <v>14.6</v>
      </c>
      <c r="BJ29" s="46">
        <v>14.6</v>
      </c>
      <c r="BK29" s="46">
        <v>14.6</v>
      </c>
      <c r="BL29" s="46">
        <v>14.6</v>
      </c>
      <c r="BM29" s="46">
        <v>14.6</v>
      </c>
      <c r="BN29" s="46">
        <v>14.6</v>
      </c>
      <c r="BO29" s="46">
        <v>14.6</v>
      </c>
      <c r="BP29" s="46">
        <v>14.6</v>
      </c>
      <c r="BQ29" s="46">
        <v>14.6</v>
      </c>
      <c r="BR29" s="46">
        <v>14.6</v>
      </c>
      <c r="BS29" s="46">
        <v>14.6</v>
      </c>
      <c r="BT29" s="46">
        <v>14.6</v>
      </c>
      <c r="BU29" s="188">
        <v>14.6</v>
      </c>
      <c r="BV29" s="46">
        <v>14.6</v>
      </c>
      <c r="BW29" s="46">
        <v>14.6</v>
      </c>
      <c r="BX29" s="46">
        <v>14.6</v>
      </c>
      <c r="BY29" s="46">
        <v>14.6</v>
      </c>
      <c r="BZ29" s="46">
        <v>14.6</v>
      </c>
      <c r="CA29" s="46">
        <v>14.6</v>
      </c>
      <c r="CB29" s="46">
        <v>14.6</v>
      </c>
      <c r="CC29" s="46">
        <v>14.6</v>
      </c>
      <c r="CD29" s="46">
        <v>14.6</v>
      </c>
      <c r="CE29" s="46">
        <v>14.6</v>
      </c>
      <c r="CF29" s="46">
        <v>14.6</v>
      </c>
      <c r="CG29" s="188">
        <v>14.6</v>
      </c>
      <c r="CH29" s="46">
        <v>14.6</v>
      </c>
      <c r="CI29" s="46">
        <v>14.6</v>
      </c>
      <c r="CJ29" s="46">
        <v>14.6</v>
      </c>
      <c r="CK29" s="46">
        <v>14.6</v>
      </c>
      <c r="CL29" s="46">
        <v>14.6</v>
      </c>
      <c r="CM29" s="46">
        <v>14.6</v>
      </c>
      <c r="CN29" s="46">
        <v>14.6</v>
      </c>
      <c r="CO29" s="46">
        <v>14.6</v>
      </c>
      <c r="CP29" s="46">
        <v>14.6</v>
      </c>
      <c r="CQ29" s="46">
        <v>14.6</v>
      </c>
      <c r="CR29" s="46">
        <v>14.6</v>
      </c>
      <c r="CS29" s="186">
        <v>14.6</v>
      </c>
      <c r="CT29" s="46">
        <v>14.6</v>
      </c>
      <c r="CU29" s="46">
        <v>14.6</v>
      </c>
      <c r="CV29" s="46">
        <v>14.6</v>
      </c>
      <c r="CW29" s="46">
        <v>14.6</v>
      </c>
      <c r="CX29" s="46">
        <v>14.6</v>
      </c>
      <c r="CY29" s="46">
        <v>14.6</v>
      </c>
      <c r="CZ29" s="46">
        <v>14.6</v>
      </c>
      <c r="DA29" s="46">
        <v>14.6</v>
      </c>
      <c r="DB29" s="46">
        <v>14.6</v>
      </c>
      <c r="DC29" s="46">
        <v>14.6</v>
      </c>
      <c r="DD29" s="46">
        <v>14.6</v>
      </c>
      <c r="DE29" s="188">
        <v>14.6</v>
      </c>
      <c r="DF29" s="46">
        <v>14.6</v>
      </c>
      <c r="DG29" s="46">
        <v>14.6</v>
      </c>
      <c r="DH29" s="46">
        <v>14.6</v>
      </c>
      <c r="DI29" s="46">
        <v>14.6</v>
      </c>
      <c r="DJ29" s="46">
        <v>14.6</v>
      </c>
      <c r="DK29" s="46">
        <v>14.6</v>
      </c>
      <c r="DL29" s="46">
        <v>14.6</v>
      </c>
      <c r="DM29" s="46">
        <v>14.6</v>
      </c>
      <c r="DN29" s="46">
        <v>14.6</v>
      </c>
      <c r="DO29" s="46">
        <v>14.6</v>
      </c>
      <c r="DP29" s="46">
        <v>14.6</v>
      </c>
      <c r="DQ29" s="188">
        <v>14.6</v>
      </c>
      <c r="DR29" s="46">
        <v>14.6</v>
      </c>
      <c r="DS29" s="46">
        <v>14.6</v>
      </c>
      <c r="DT29" s="46">
        <v>14.6</v>
      </c>
      <c r="DU29" s="46">
        <v>14.6</v>
      </c>
      <c r="DV29" s="46">
        <v>14.6</v>
      </c>
      <c r="DW29" s="46">
        <v>14.6</v>
      </c>
      <c r="DX29" s="46">
        <v>14.6</v>
      </c>
      <c r="DY29" s="46">
        <v>14.6</v>
      </c>
      <c r="DZ29" s="46">
        <v>14.6</v>
      </c>
      <c r="EA29" s="46">
        <v>14.6</v>
      </c>
      <c r="EB29" s="46">
        <v>14.6</v>
      </c>
      <c r="EC29" s="186">
        <v>14.6</v>
      </c>
      <c r="ED29" s="46">
        <v>14.6</v>
      </c>
      <c r="EE29" s="46">
        <v>14.6</v>
      </c>
      <c r="EF29" s="46">
        <v>14.6</v>
      </c>
      <c r="EG29" s="46">
        <v>14.6</v>
      </c>
      <c r="EH29" s="46">
        <v>14.6</v>
      </c>
      <c r="EI29" s="46">
        <v>14.6</v>
      </c>
      <c r="EJ29" s="46">
        <v>14.6</v>
      </c>
      <c r="EK29" s="46">
        <v>14.6</v>
      </c>
      <c r="EL29" s="46">
        <v>14.6</v>
      </c>
      <c r="EM29" s="46">
        <v>14.6</v>
      </c>
      <c r="EN29" s="46">
        <v>14.6</v>
      </c>
      <c r="EO29" s="186">
        <v>14.6</v>
      </c>
      <c r="EP29" s="185">
        <v>14.6</v>
      </c>
      <c r="EQ29" s="46">
        <v>14.6</v>
      </c>
      <c r="ER29" s="46">
        <v>14.6</v>
      </c>
      <c r="ES29" s="46">
        <v>14.6</v>
      </c>
      <c r="ET29" s="46">
        <v>14.6</v>
      </c>
      <c r="EU29" s="46">
        <v>14.6</v>
      </c>
      <c r="EV29" s="46">
        <v>14.6</v>
      </c>
      <c r="EW29" s="46">
        <v>14.6</v>
      </c>
      <c r="EX29" s="46">
        <v>14.6</v>
      </c>
      <c r="EY29" s="46">
        <v>14.6</v>
      </c>
      <c r="EZ29" s="46">
        <v>14.6</v>
      </c>
      <c r="FA29" s="184">
        <v>14.6</v>
      </c>
      <c r="FB29" s="185">
        <v>14.6</v>
      </c>
      <c r="FC29" s="46">
        <v>14.6</v>
      </c>
      <c r="FD29" s="46">
        <v>14.6</v>
      </c>
      <c r="FE29" s="46">
        <v>14.6</v>
      </c>
      <c r="FF29" s="46">
        <v>14.6</v>
      </c>
      <c r="FG29" s="46">
        <v>14.6</v>
      </c>
      <c r="FH29" s="46">
        <v>14.6</v>
      </c>
      <c r="FI29" s="46">
        <v>14.6</v>
      </c>
      <c r="FJ29" s="46">
        <v>14.6</v>
      </c>
      <c r="FK29" s="46">
        <v>14.6</v>
      </c>
      <c r="FL29" s="46">
        <v>14.6</v>
      </c>
      <c r="FM29" s="46">
        <v>14.6</v>
      </c>
      <c r="FN29" s="183">
        <v>14.6</v>
      </c>
      <c r="FO29" s="178">
        <v>14.6</v>
      </c>
      <c r="FP29" s="178">
        <v>14.6</v>
      </c>
      <c r="FQ29" s="178">
        <v>14.6</v>
      </c>
      <c r="FR29" s="178">
        <v>14.6</v>
      </c>
      <c r="FS29" s="178">
        <v>14.6</v>
      </c>
      <c r="FT29" s="178">
        <v>14.6</v>
      </c>
      <c r="FU29" s="178">
        <v>14.6</v>
      </c>
      <c r="FV29" s="178">
        <v>14.6</v>
      </c>
      <c r="FW29" s="178">
        <v>14.6</v>
      </c>
      <c r="FX29" s="178">
        <v>14.6</v>
      </c>
      <c r="FY29" s="180">
        <v>14.6</v>
      </c>
      <c r="FZ29" s="178">
        <v>14.6</v>
      </c>
      <c r="GA29" s="178">
        <v>14.6</v>
      </c>
      <c r="GB29" s="178">
        <v>14.6</v>
      </c>
      <c r="GC29" s="178">
        <v>14.6</v>
      </c>
      <c r="GD29" s="178">
        <v>14.6</v>
      </c>
      <c r="GE29" s="178">
        <v>14.6</v>
      </c>
      <c r="GF29" s="178">
        <v>14.6</v>
      </c>
      <c r="GG29" s="178">
        <v>14.6</v>
      </c>
      <c r="GH29" s="178">
        <v>14.6</v>
      </c>
      <c r="GI29" s="178">
        <v>14.6</v>
      </c>
      <c r="GJ29" s="178">
        <v>14.6</v>
      </c>
      <c r="GK29" s="180">
        <v>14.6</v>
      </c>
      <c r="GL29" s="178">
        <v>14.6</v>
      </c>
      <c r="GM29" s="178">
        <v>14.6</v>
      </c>
      <c r="GN29" s="178">
        <v>14.6</v>
      </c>
      <c r="GO29" s="178">
        <v>14.6</v>
      </c>
    </row>
    <row r="30" spans="1:197" s="25" customFormat="1" ht="20.149999999999999" customHeight="1" thickBot="1" x14ac:dyDescent="0.4">
      <c r="A30" s="32" t="s">
        <v>267</v>
      </c>
      <c r="B30" s="51">
        <f>SUM(B23:B29)</f>
        <v>29.872</v>
      </c>
      <c r="C30" s="52">
        <f t="shared" ref="C30:BN30" si="8">SUM(C23:C29)</f>
        <v>31.286999999999999</v>
      </c>
      <c r="D30" s="52">
        <f t="shared" si="8"/>
        <v>33.820999999999998</v>
      </c>
      <c r="E30" s="52">
        <f t="shared" si="8"/>
        <v>36.481000000000002</v>
      </c>
      <c r="F30" s="52">
        <f t="shared" si="8"/>
        <v>40.784999999999997</v>
      </c>
      <c r="G30" s="52">
        <f t="shared" si="8"/>
        <v>46.424999999999997</v>
      </c>
      <c r="H30" s="52">
        <f t="shared" si="8"/>
        <v>52.319000000000003</v>
      </c>
      <c r="I30" s="52">
        <f t="shared" si="8"/>
        <v>58.143999999999998</v>
      </c>
      <c r="J30" s="52">
        <f t="shared" si="8"/>
        <v>65.666999999999987</v>
      </c>
      <c r="K30" s="52">
        <f t="shared" si="8"/>
        <v>75.114999999999995</v>
      </c>
      <c r="L30" s="52">
        <f t="shared" si="8"/>
        <v>85.576999999999998</v>
      </c>
      <c r="M30" s="52">
        <f t="shared" si="8"/>
        <v>93.577999999999989</v>
      </c>
      <c r="N30" s="51">
        <f t="shared" si="8"/>
        <v>104.786</v>
      </c>
      <c r="O30" s="52">
        <f t="shared" si="8"/>
        <v>118.26700000000001</v>
      </c>
      <c r="P30" s="52">
        <f t="shared" si="8"/>
        <v>138.18700000000001</v>
      </c>
      <c r="Q30" s="52">
        <f t="shared" si="8"/>
        <v>162.62199999999999</v>
      </c>
      <c r="R30" s="52">
        <f t="shared" si="8"/>
        <v>186.316</v>
      </c>
      <c r="S30" s="52">
        <f t="shared" si="8"/>
        <v>220.309</v>
      </c>
      <c r="T30" s="52">
        <f t="shared" si="8"/>
        <v>378.154</v>
      </c>
      <c r="U30" s="52">
        <f t="shared" si="8"/>
        <v>424.12000000000006</v>
      </c>
      <c r="V30" s="52">
        <f t="shared" si="8"/>
        <v>496.08100000000002</v>
      </c>
      <c r="W30" s="52">
        <f t="shared" si="8"/>
        <v>617.72799999999995</v>
      </c>
      <c r="X30" s="52">
        <f t="shared" si="8"/>
        <v>816.34299999999996</v>
      </c>
      <c r="Y30" s="52">
        <f t="shared" si="8"/>
        <v>1010.0699999999999</v>
      </c>
      <c r="Z30" s="51">
        <f t="shared" si="8"/>
        <v>1040.6629999999998</v>
      </c>
      <c r="AA30" s="52">
        <f t="shared" si="8"/>
        <v>1215.289</v>
      </c>
      <c r="AB30" s="52">
        <f t="shared" si="8"/>
        <v>1327.5219999999999</v>
      </c>
      <c r="AC30" s="52">
        <f t="shared" si="8"/>
        <v>1344.915</v>
      </c>
      <c r="AD30" s="52">
        <f t="shared" si="8"/>
        <v>1381.1889999999999</v>
      </c>
      <c r="AE30" s="52">
        <f t="shared" si="8"/>
        <v>1446.4589999999998</v>
      </c>
      <c r="AF30" s="52">
        <f t="shared" si="8"/>
        <v>1642.3099999999997</v>
      </c>
      <c r="AG30" s="52">
        <f t="shared" si="8"/>
        <v>1657.7939999999999</v>
      </c>
      <c r="AH30" s="52">
        <f t="shared" si="8"/>
        <v>1677.1689999999999</v>
      </c>
      <c r="AI30" s="52">
        <f t="shared" si="8"/>
        <v>1722.36</v>
      </c>
      <c r="AJ30" s="52">
        <f t="shared" si="8"/>
        <v>1751.7710000000002</v>
      </c>
      <c r="AK30" s="53">
        <f t="shared" si="8"/>
        <v>1774.9309999999998</v>
      </c>
      <c r="AL30" s="52">
        <f t="shared" si="8"/>
        <v>1804.3809999999999</v>
      </c>
      <c r="AM30" s="52">
        <f t="shared" si="8"/>
        <v>1875.3409999999999</v>
      </c>
      <c r="AN30" s="52">
        <f t="shared" si="8"/>
        <v>2273.3919999999998</v>
      </c>
      <c r="AO30" s="52">
        <f t="shared" si="8"/>
        <v>2335.4160000000002</v>
      </c>
      <c r="AP30" s="52">
        <f t="shared" si="8"/>
        <v>2406.4329999999995</v>
      </c>
      <c r="AQ30" s="52">
        <f t="shared" si="8"/>
        <v>2535.5539999999996</v>
      </c>
      <c r="AR30" s="52">
        <f t="shared" si="8"/>
        <v>2576.5939999999996</v>
      </c>
      <c r="AS30" s="52">
        <f t="shared" si="8"/>
        <v>2646.0309999999999</v>
      </c>
      <c r="AT30" s="52">
        <f t="shared" si="8"/>
        <v>2692.1039999999998</v>
      </c>
      <c r="AU30" s="52">
        <f t="shared" si="8"/>
        <v>2741.0169999999998</v>
      </c>
      <c r="AV30" s="52">
        <f t="shared" si="8"/>
        <v>2846.0119999999997</v>
      </c>
      <c r="AW30" s="54">
        <f t="shared" si="8"/>
        <v>2919.1819999999998</v>
      </c>
      <c r="AX30" s="52">
        <f t="shared" si="8"/>
        <v>3045.377</v>
      </c>
      <c r="AY30" s="52">
        <f t="shared" si="8"/>
        <v>3173.2419999999997</v>
      </c>
      <c r="AZ30" s="52">
        <f t="shared" si="8"/>
        <v>4215.4900000000007</v>
      </c>
      <c r="BA30" s="52">
        <f t="shared" si="8"/>
        <v>4302.3650000000007</v>
      </c>
      <c r="BB30" s="52">
        <f t="shared" si="8"/>
        <v>4406.848</v>
      </c>
      <c r="BC30" s="52">
        <f t="shared" si="8"/>
        <v>4543.3550000000005</v>
      </c>
      <c r="BD30" s="52">
        <f t="shared" si="8"/>
        <v>4711.8899999999994</v>
      </c>
      <c r="BE30" s="52">
        <f t="shared" si="8"/>
        <v>4775.8970000000008</v>
      </c>
      <c r="BF30" s="52">
        <f t="shared" si="8"/>
        <v>4983.3020000000006</v>
      </c>
      <c r="BG30" s="52">
        <f t="shared" si="8"/>
        <v>5151.5439999999999</v>
      </c>
      <c r="BH30" s="52">
        <f t="shared" si="8"/>
        <v>5292.5780000000004</v>
      </c>
      <c r="BI30" s="54">
        <f t="shared" si="8"/>
        <v>5600.4889999999996</v>
      </c>
      <c r="BJ30" s="52">
        <f t="shared" si="8"/>
        <v>5700.5599999999995</v>
      </c>
      <c r="BK30" s="52">
        <f t="shared" si="8"/>
        <v>5865.4560000000001</v>
      </c>
      <c r="BL30" s="52">
        <f t="shared" si="8"/>
        <v>8236.5110000000004</v>
      </c>
      <c r="BM30" s="52">
        <f t="shared" si="8"/>
        <v>8288.5720000000001</v>
      </c>
      <c r="BN30" s="52">
        <f t="shared" si="8"/>
        <v>8359.4750000000004</v>
      </c>
      <c r="BO30" s="52">
        <f t="shared" ref="BO30:DZ30" si="9">SUM(BO23:BO29)</f>
        <v>8495.4620000000014</v>
      </c>
      <c r="BP30" s="52">
        <f t="shared" si="9"/>
        <v>8582.8950000000004</v>
      </c>
      <c r="BQ30" s="52">
        <f t="shared" si="9"/>
        <v>8704.8160000000007</v>
      </c>
      <c r="BR30" s="52">
        <f t="shared" si="9"/>
        <v>8843.8130000000001</v>
      </c>
      <c r="BS30" s="52">
        <f t="shared" si="9"/>
        <v>9014.7480000000014</v>
      </c>
      <c r="BT30" s="52">
        <f t="shared" si="9"/>
        <v>9226.1829999999991</v>
      </c>
      <c r="BU30" s="54">
        <f t="shared" si="9"/>
        <v>9909.3279999999995</v>
      </c>
      <c r="BV30" s="52">
        <f t="shared" si="9"/>
        <v>10112.852000000001</v>
      </c>
      <c r="BW30" s="52">
        <f t="shared" si="9"/>
        <v>10218.482000000002</v>
      </c>
      <c r="BX30" s="52">
        <f t="shared" si="9"/>
        <v>11387.07</v>
      </c>
      <c r="BY30" s="52">
        <f t="shared" si="9"/>
        <v>11459.914000000001</v>
      </c>
      <c r="BZ30" s="52">
        <f t="shared" si="9"/>
        <v>11509.258000000002</v>
      </c>
      <c r="CA30" s="52">
        <f t="shared" si="9"/>
        <v>11729.398000000001</v>
      </c>
      <c r="CB30" s="52">
        <f t="shared" si="9"/>
        <v>11771.995999999999</v>
      </c>
      <c r="CC30" s="52">
        <f t="shared" si="9"/>
        <v>11835.037</v>
      </c>
      <c r="CD30" s="52">
        <f t="shared" si="9"/>
        <v>11885.910000000002</v>
      </c>
      <c r="CE30" s="52">
        <f t="shared" si="9"/>
        <v>11926.518000000002</v>
      </c>
      <c r="CF30" s="52">
        <f t="shared" si="9"/>
        <v>11968.665000000001</v>
      </c>
      <c r="CG30" s="54">
        <f t="shared" si="9"/>
        <v>12045.241000000002</v>
      </c>
      <c r="CH30" s="52">
        <f t="shared" si="9"/>
        <v>12084.054</v>
      </c>
      <c r="CI30" s="52">
        <f t="shared" si="9"/>
        <v>12177.618</v>
      </c>
      <c r="CJ30" s="52">
        <f t="shared" si="9"/>
        <v>12738.315000000001</v>
      </c>
      <c r="CK30" s="52">
        <f t="shared" si="9"/>
        <v>12757.339000000002</v>
      </c>
      <c r="CL30" s="52">
        <f t="shared" si="9"/>
        <v>12775.173000000001</v>
      </c>
      <c r="CM30" s="52">
        <f t="shared" si="9"/>
        <v>12792.317000000001</v>
      </c>
      <c r="CN30" s="52">
        <f t="shared" si="9"/>
        <v>12821.049000000001</v>
      </c>
      <c r="CO30" s="52">
        <f t="shared" si="9"/>
        <v>12838.495000000001</v>
      </c>
      <c r="CP30" s="52">
        <f t="shared" si="9"/>
        <v>12855.289999999999</v>
      </c>
      <c r="CQ30" s="52">
        <f t="shared" si="9"/>
        <v>12879.978000000001</v>
      </c>
      <c r="CR30" s="52">
        <f t="shared" si="9"/>
        <v>12895.9</v>
      </c>
      <c r="CS30" s="54">
        <f t="shared" si="9"/>
        <v>12919.387000000001</v>
      </c>
      <c r="CT30" s="52">
        <f t="shared" si="9"/>
        <v>12958.796999999999</v>
      </c>
      <c r="CU30" s="52">
        <f t="shared" si="9"/>
        <v>12976.267</v>
      </c>
      <c r="CV30" s="52">
        <f t="shared" si="9"/>
        <v>13017.226000000001</v>
      </c>
      <c r="CW30" s="52">
        <f t="shared" si="9"/>
        <v>13044.134</v>
      </c>
      <c r="CX30" s="52">
        <f t="shared" si="9"/>
        <v>13066.960000000001</v>
      </c>
      <c r="CY30" s="52">
        <f t="shared" si="9"/>
        <v>13087.449000000001</v>
      </c>
      <c r="CZ30" s="52">
        <f t="shared" si="9"/>
        <v>13102.937</v>
      </c>
      <c r="DA30" s="52">
        <f t="shared" si="9"/>
        <v>13120.106</v>
      </c>
      <c r="DB30" s="52">
        <f t="shared" si="9"/>
        <v>13137.396000000001</v>
      </c>
      <c r="DC30" s="52">
        <f t="shared" si="9"/>
        <v>13163.493</v>
      </c>
      <c r="DD30" s="52">
        <f t="shared" si="9"/>
        <v>13190.624</v>
      </c>
      <c r="DE30" s="54">
        <f t="shared" si="9"/>
        <v>13221.052</v>
      </c>
      <c r="DF30" s="52">
        <f t="shared" si="9"/>
        <v>13309.631000000001</v>
      </c>
      <c r="DG30" s="52">
        <f t="shared" si="9"/>
        <v>13341.948</v>
      </c>
      <c r="DH30" s="52">
        <f t="shared" si="9"/>
        <v>13429.458000000001</v>
      </c>
      <c r="DI30" s="52">
        <f t="shared" si="9"/>
        <v>13447.741000000002</v>
      </c>
      <c r="DJ30" s="52">
        <f t="shared" si="9"/>
        <v>13455.416000000001</v>
      </c>
      <c r="DK30" s="52">
        <f t="shared" si="9"/>
        <v>13465.736000000001</v>
      </c>
      <c r="DL30" s="52">
        <f t="shared" si="9"/>
        <v>13484.437000000002</v>
      </c>
      <c r="DM30" s="52">
        <f t="shared" si="9"/>
        <v>13501.316000000001</v>
      </c>
      <c r="DN30" s="52">
        <f t="shared" si="9"/>
        <v>13536.902</v>
      </c>
      <c r="DO30" s="52">
        <f t="shared" si="9"/>
        <v>13550.113000000001</v>
      </c>
      <c r="DP30" s="52">
        <f t="shared" si="9"/>
        <v>13562.98</v>
      </c>
      <c r="DQ30" s="54">
        <f t="shared" si="9"/>
        <v>13607.699999999999</v>
      </c>
      <c r="DR30" s="52">
        <f t="shared" si="9"/>
        <v>13647.040999999999</v>
      </c>
      <c r="DS30" s="52">
        <f t="shared" si="9"/>
        <v>13664.074999999999</v>
      </c>
      <c r="DT30" s="52">
        <f t="shared" si="9"/>
        <v>13680.226000000001</v>
      </c>
      <c r="DU30" s="52">
        <f t="shared" si="9"/>
        <v>13685.253999999999</v>
      </c>
      <c r="DV30" s="52">
        <f t="shared" si="9"/>
        <v>13699.253000000001</v>
      </c>
      <c r="DW30" s="52">
        <f t="shared" si="9"/>
        <v>13709.656999999999</v>
      </c>
      <c r="DX30" s="52">
        <f t="shared" si="9"/>
        <v>13728.797</v>
      </c>
      <c r="DY30" s="52">
        <f t="shared" si="9"/>
        <v>13789.346000000001</v>
      </c>
      <c r="DZ30" s="52">
        <f t="shared" si="9"/>
        <v>13805.268000000002</v>
      </c>
      <c r="EA30" s="52">
        <f t="shared" ref="EA30:FM30" si="10">SUM(EA23:EA29)</f>
        <v>13824.216</v>
      </c>
      <c r="EB30" s="52">
        <f t="shared" si="10"/>
        <v>13842.299000000001</v>
      </c>
      <c r="EC30" s="54">
        <f t="shared" si="10"/>
        <v>13869.466</v>
      </c>
      <c r="ED30" s="52">
        <f t="shared" si="10"/>
        <v>13941.328</v>
      </c>
      <c r="EE30" s="52">
        <f t="shared" si="10"/>
        <v>13956.772000000001</v>
      </c>
      <c r="EF30" s="52">
        <f t="shared" si="10"/>
        <v>14109.523999999999</v>
      </c>
      <c r="EG30" s="52">
        <f t="shared" si="10"/>
        <v>14178.062</v>
      </c>
      <c r="EH30" s="52">
        <f t="shared" si="10"/>
        <v>14204.923000000001</v>
      </c>
      <c r="EI30" s="52">
        <f t="shared" si="10"/>
        <v>14239.712</v>
      </c>
      <c r="EJ30" s="52">
        <f t="shared" si="10"/>
        <v>14265.599</v>
      </c>
      <c r="EK30" s="52">
        <f t="shared" si="10"/>
        <v>14287.344999999999</v>
      </c>
      <c r="EL30" s="52">
        <f t="shared" si="10"/>
        <v>14318.37</v>
      </c>
      <c r="EM30" s="52">
        <f t="shared" si="10"/>
        <v>14369.751</v>
      </c>
      <c r="EN30" s="52">
        <f t="shared" si="10"/>
        <v>14401.045</v>
      </c>
      <c r="EO30" s="53">
        <f t="shared" si="10"/>
        <v>14425.032999999999</v>
      </c>
      <c r="EP30" s="52">
        <f t="shared" si="10"/>
        <v>14512.864</v>
      </c>
      <c r="EQ30" s="52">
        <f t="shared" si="10"/>
        <v>14546.222</v>
      </c>
      <c r="ER30" s="52">
        <f t="shared" si="10"/>
        <v>14599.388000000001</v>
      </c>
      <c r="ES30" s="52">
        <f t="shared" si="10"/>
        <v>14683.352000000001</v>
      </c>
      <c r="ET30" s="52">
        <f t="shared" si="10"/>
        <v>14739.09</v>
      </c>
      <c r="EU30" s="52">
        <f t="shared" si="10"/>
        <v>14790.806</v>
      </c>
      <c r="EV30" s="52">
        <f t="shared" si="10"/>
        <v>14862.593000000001</v>
      </c>
      <c r="EW30" s="52">
        <f t="shared" si="10"/>
        <v>14919.007</v>
      </c>
      <c r="EX30" s="52">
        <f t="shared" si="10"/>
        <v>15009.566000000001</v>
      </c>
      <c r="EY30" s="52">
        <f t="shared" si="10"/>
        <v>15081.434000000001</v>
      </c>
      <c r="EZ30" s="52">
        <f t="shared" si="10"/>
        <v>15162.142</v>
      </c>
      <c r="FA30" s="53">
        <f t="shared" si="10"/>
        <v>15276.625000000002</v>
      </c>
      <c r="FB30" s="52">
        <f t="shared" si="10"/>
        <v>15420.485000000002</v>
      </c>
      <c r="FC30" s="52">
        <f t="shared" si="10"/>
        <v>15547.628999999999</v>
      </c>
      <c r="FD30" s="52">
        <f t="shared" si="10"/>
        <v>15774.31</v>
      </c>
      <c r="FE30" s="52">
        <f t="shared" si="10"/>
        <v>15864.503999999999</v>
      </c>
      <c r="FF30" s="52">
        <f t="shared" si="10"/>
        <v>15961.034000000001</v>
      </c>
      <c r="FG30" s="52">
        <f t="shared" si="10"/>
        <v>16062.945000000002</v>
      </c>
      <c r="FH30" s="52">
        <f t="shared" si="10"/>
        <v>16152.770999999999</v>
      </c>
      <c r="FI30" s="52">
        <f t="shared" si="10"/>
        <v>16239.715999999999</v>
      </c>
      <c r="FJ30" s="52">
        <f t="shared" si="10"/>
        <v>16390.145999999997</v>
      </c>
      <c r="FK30" s="52">
        <f t="shared" si="10"/>
        <v>16537.545999999998</v>
      </c>
      <c r="FL30" s="157">
        <f t="shared" si="10"/>
        <v>16642.665999999997</v>
      </c>
      <c r="FM30" s="157">
        <f t="shared" si="10"/>
        <v>16697.470999999998</v>
      </c>
      <c r="FN30" s="125">
        <f>(SUM(FN23:FN29))</f>
        <v>17119.758999999998</v>
      </c>
      <c r="FO30" s="157">
        <f>(SUM(FO23:FO29))</f>
        <v>17268.478999999999</v>
      </c>
      <c r="FP30" s="157">
        <f t="shared" ref="FP30:GO30" si="11">(SUM(FP23:FP29))</f>
        <v>17492.434999999998</v>
      </c>
      <c r="FQ30" s="157">
        <f t="shared" si="11"/>
        <v>17723.026999999998</v>
      </c>
      <c r="FR30" s="157">
        <f t="shared" si="11"/>
        <v>17909.788999999997</v>
      </c>
      <c r="FS30" s="157">
        <f t="shared" si="11"/>
        <v>18128.936000000002</v>
      </c>
      <c r="FT30" s="157">
        <f t="shared" si="11"/>
        <v>18273.263999999999</v>
      </c>
      <c r="FU30" s="157">
        <f t="shared" si="11"/>
        <v>18350.140999999996</v>
      </c>
      <c r="FV30" s="157">
        <f t="shared" si="11"/>
        <v>18430.914999999997</v>
      </c>
      <c r="FW30" s="157">
        <f t="shared" si="11"/>
        <v>18797.646000000001</v>
      </c>
      <c r="FX30" s="157">
        <f t="shared" si="11"/>
        <v>18939.163999999997</v>
      </c>
      <c r="FY30" s="191">
        <f t="shared" si="11"/>
        <v>19045.561999999998</v>
      </c>
      <c r="FZ30" s="157">
        <f t="shared" si="11"/>
        <v>19402.877999999997</v>
      </c>
      <c r="GA30" s="157">
        <f t="shared" si="11"/>
        <v>19568.981</v>
      </c>
      <c r="GB30" s="157">
        <f t="shared" si="11"/>
        <v>19827.361999999997</v>
      </c>
      <c r="GC30" s="157">
        <f t="shared" si="11"/>
        <v>20021.942999999999</v>
      </c>
      <c r="GD30" s="157">
        <f t="shared" si="11"/>
        <v>20228.448999999997</v>
      </c>
      <c r="GE30" s="157">
        <f t="shared" si="11"/>
        <v>20465.879000000001</v>
      </c>
      <c r="GF30" s="157">
        <f t="shared" si="11"/>
        <v>21035.288999999997</v>
      </c>
      <c r="GG30" s="157">
        <f t="shared" si="11"/>
        <v>21227.764999999999</v>
      </c>
      <c r="GH30" s="157">
        <f t="shared" si="11"/>
        <v>21406.241000000002</v>
      </c>
      <c r="GI30" s="157">
        <f t="shared" si="11"/>
        <v>21625.355</v>
      </c>
      <c r="GJ30" s="157">
        <f t="shared" si="11"/>
        <v>21728.308000000001</v>
      </c>
      <c r="GK30" s="191">
        <f t="shared" si="11"/>
        <v>21809.676999999996</v>
      </c>
      <c r="GL30" s="157">
        <f t="shared" si="11"/>
        <v>21943.421999999999</v>
      </c>
      <c r="GM30" s="157">
        <f t="shared" si="11"/>
        <v>22044.958999999999</v>
      </c>
      <c r="GN30" s="157">
        <f t="shared" si="11"/>
        <v>22165.902000000002</v>
      </c>
      <c r="GO30" s="157">
        <f t="shared" si="11"/>
        <v>22272.741000000002</v>
      </c>
    </row>
    <row r="31" spans="1:197" s="25" customFormat="1" ht="20.149999999999999" customHeight="1" thickTop="1" x14ac:dyDescent="0.35">
      <c r="A31" s="189" t="s">
        <v>271</v>
      </c>
      <c r="B31" s="87">
        <v>10.222</v>
      </c>
      <c r="C31" s="87">
        <v>11.53</v>
      </c>
      <c r="D31" s="87">
        <v>13.821999999999999</v>
      </c>
      <c r="E31" s="87">
        <v>16.359000000000002</v>
      </c>
      <c r="F31" s="87">
        <v>20.379000000000001</v>
      </c>
      <c r="G31" s="87">
        <v>24.93</v>
      </c>
      <c r="H31" s="87">
        <v>30.547000000000001</v>
      </c>
      <c r="I31" s="87">
        <v>36.151000000000003</v>
      </c>
      <c r="J31" s="87">
        <v>43.375999999999998</v>
      </c>
      <c r="K31" s="87">
        <v>52.075000000000003</v>
      </c>
      <c r="L31" s="87">
        <v>62.179000000000002</v>
      </c>
      <c r="M31" s="187">
        <v>69.760000000000005</v>
      </c>
      <c r="N31" s="87">
        <v>80.492000000000004</v>
      </c>
      <c r="O31" s="87">
        <v>92.831999999999994</v>
      </c>
      <c r="P31" s="87">
        <v>111.121</v>
      </c>
      <c r="Q31" s="87">
        <v>128.696</v>
      </c>
      <c r="R31" s="87">
        <v>150.148</v>
      </c>
      <c r="S31" s="87">
        <v>177.53399999999999</v>
      </c>
      <c r="T31" s="87">
        <v>211.24</v>
      </c>
      <c r="U31" s="87">
        <v>253.804</v>
      </c>
      <c r="V31" s="87">
        <v>309.44499999999999</v>
      </c>
      <c r="W31" s="87">
        <v>371.786</v>
      </c>
      <c r="X31" s="87">
        <v>550.07600000000002</v>
      </c>
      <c r="Y31" s="187">
        <v>705.15200000000004</v>
      </c>
      <c r="Z31" s="87">
        <v>728.88900000000001</v>
      </c>
      <c r="AA31" s="87">
        <v>874.57500000000005</v>
      </c>
      <c r="AB31" s="87">
        <v>960.77300000000002</v>
      </c>
      <c r="AC31" s="87">
        <v>976.25300000000004</v>
      </c>
      <c r="AD31" s="87">
        <v>1008.802</v>
      </c>
      <c r="AE31" s="87">
        <v>1053.221</v>
      </c>
      <c r="AF31" s="87">
        <v>1153.807</v>
      </c>
      <c r="AG31" s="87">
        <v>1165.8689999999999</v>
      </c>
      <c r="AH31" s="87">
        <v>1182.4359999999999</v>
      </c>
      <c r="AI31" s="87">
        <v>1219.4069999999999</v>
      </c>
      <c r="AJ31" s="87">
        <v>1238.549</v>
      </c>
      <c r="AK31" s="187">
        <v>1258.309</v>
      </c>
      <c r="AL31" s="87">
        <v>1279.711</v>
      </c>
      <c r="AM31" s="87">
        <v>1304.3140000000001</v>
      </c>
      <c r="AN31" s="87">
        <v>1333.742</v>
      </c>
      <c r="AO31" s="87">
        <v>1365.3810000000001</v>
      </c>
      <c r="AP31" s="87">
        <v>1396.527</v>
      </c>
      <c r="AQ31" s="87">
        <v>1447.146</v>
      </c>
      <c r="AR31" s="87">
        <v>1470.981</v>
      </c>
      <c r="AS31" s="87">
        <v>1501.3330000000001</v>
      </c>
      <c r="AT31" s="87">
        <v>1532.94</v>
      </c>
      <c r="AU31" s="87">
        <v>1565.9169999999999</v>
      </c>
      <c r="AV31" s="87">
        <v>1604.952</v>
      </c>
      <c r="AW31" s="187">
        <v>1641.8520000000001</v>
      </c>
      <c r="AX31" s="87">
        <v>1674.0509999999999</v>
      </c>
      <c r="AY31" s="87">
        <v>1715.922</v>
      </c>
      <c r="AZ31" s="87">
        <v>1778.4059999999999</v>
      </c>
      <c r="BA31" s="87">
        <v>1807.3630000000001</v>
      </c>
      <c r="BB31" s="87">
        <v>1841.2940000000001</v>
      </c>
      <c r="BC31" s="87">
        <v>1878.463</v>
      </c>
      <c r="BD31" s="87">
        <v>1918.9749999999999</v>
      </c>
      <c r="BE31" s="87">
        <v>1957.866</v>
      </c>
      <c r="BF31" s="87">
        <v>2004.835</v>
      </c>
      <c r="BG31" s="87">
        <v>2052.1280000000002</v>
      </c>
      <c r="BH31" s="87">
        <v>2098.1880000000001</v>
      </c>
      <c r="BI31" s="187">
        <v>2151.9369999999999</v>
      </c>
      <c r="BJ31" s="87">
        <v>2180.6770000000001</v>
      </c>
      <c r="BK31" s="87">
        <v>2218.6849999999999</v>
      </c>
      <c r="BL31" s="87">
        <v>2279.5659999999998</v>
      </c>
      <c r="BM31" s="87">
        <v>2318.366</v>
      </c>
      <c r="BN31" s="87">
        <v>2360.4899999999998</v>
      </c>
      <c r="BO31" s="87">
        <v>2421.4079999999999</v>
      </c>
      <c r="BP31" s="87">
        <v>2463.7579999999998</v>
      </c>
      <c r="BQ31" s="87">
        <v>2509.7159999999999</v>
      </c>
      <c r="BR31" s="87">
        <v>2589.4090000000001</v>
      </c>
      <c r="BS31" s="87">
        <v>2646.8989999999999</v>
      </c>
      <c r="BT31" s="87">
        <v>2719.3850000000002</v>
      </c>
      <c r="BU31" s="187">
        <v>2820.2779999999998</v>
      </c>
      <c r="BV31" s="87">
        <v>2872.3470000000002</v>
      </c>
      <c r="BW31" s="87">
        <v>2880.9180000000001</v>
      </c>
      <c r="BX31" s="87">
        <v>2892.973</v>
      </c>
      <c r="BY31" s="87">
        <v>2901.8629999999998</v>
      </c>
      <c r="BZ31" s="87">
        <v>2911.42</v>
      </c>
      <c r="CA31" s="87">
        <v>2922.2269999999999</v>
      </c>
      <c r="CB31" s="87">
        <v>2931.2289999999998</v>
      </c>
      <c r="CC31" s="87">
        <v>2940.982</v>
      </c>
      <c r="CD31" s="87">
        <v>2954.3389999999999</v>
      </c>
      <c r="CE31" s="87">
        <v>2960.846</v>
      </c>
      <c r="CF31" s="87">
        <v>2968.7069999999999</v>
      </c>
      <c r="CG31" s="187">
        <v>2976.0929999999998</v>
      </c>
      <c r="CH31" s="87">
        <v>2981.5720000000001</v>
      </c>
      <c r="CI31" s="87">
        <v>2988.3249999999998</v>
      </c>
      <c r="CJ31" s="87">
        <v>2998.0970000000002</v>
      </c>
      <c r="CK31" s="87">
        <v>3004.2089999999998</v>
      </c>
      <c r="CL31" s="87">
        <v>3011.1179999999999</v>
      </c>
      <c r="CM31" s="87">
        <v>3018.712</v>
      </c>
      <c r="CN31" s="87">
        <v>3025.5059999999999</v>
      </c>
      <c r="CO31" s="87">
        <v>3033.027</v>
      </c>
      <c r="CP31" s="87">
        <v>3041.1</v>
      </c>
      <c r="CQ31" s="87">
        <v>3048.212</v>
      </c>
      <c r="CR31" s="87">
        <v>3056.462</v>
      </c>
      <c r="CS31" s="187">
        <v>3062.9059999999999</v>
      </c>
      <c r="CT31" s="87">
        <v>3069.4279999999999</v>
      </c>
      <c r="CU31" s="87">
        <v>3075.5320000000002</v>
      </c>
      <c r="CV31" s="87">
        <v>3083.5859999999998</v>
      </c>
      <c r="CW31" s="87">
        <v>3090.5920000000001</v>
      </c>
      <c r="CX31" s="87">
        <v>3098.748</v>
      </c>
      <c r="CY31" s="87">
        <v>3107.5349999999999</v>
      </c>
      <c r="CZ31" s="87">
        <v>3115.75</v>
      </c>
      <c r="DA31" s="87">
        <v>3124.8069999999998</v>
      </c>
      <c r="DB31" s="87">
        <v>3134.88</v>
      </c>
      <c r="DC31" s="87">
        <v>3145.732</v>
      </c>
      <c r="DD31" s="87">
        <v>3158.1669999999999</v>
      </c>
      <c r="DE31" s="187">
        <v>3169.9589999999998</v>
      </c>
      <c r="DF31" s="87">
        <v>3184.5659999999998</v>
      </c>
      <c r="DG31" s="87">
        <v>3203.65</v>
      </c>
      <c r="DH31" s="87">
        <v>3254.6410000000001</v>
      </c>
      <c r="DI31" s="87">
        <v>3256.549</v>
      </c>
      <c r="DJ31" s="87">
        <v>3259.259</v>
      </c>
      <c r="DK31" s="87">
        <v>3262.4470000000001</v>
      </c>
      <c r="DL31" s="87">
        <v>3266.8040000000001</v>
      </c>
      <c r="DM31" s="87">
        <v>3271.154</v>
      </c>
      <c r="DN31" s="87">
        <v>3276.7840000000001</v>
      </c>
      <c r="DO31" s="87">
        <v>3283.0120000000002</v>
      </c>
      <c r="DP31" s="87">
        <v>3288.739</v>
      </c>
      <c r="DQ31" s="187">
        <v>3292.9580000000001</v>
      </c>
      <c r="DR31" s="87">
        <v>3298.7269999999999</v>
      </c>
      <c r="DS31" s="87">
        <v>3304.6640000000002</v>
      </c>
      <c r="DT31" s="87">
        <v>3310.732</v>
      </c>
      <c r="DU31" s="87">
        <v>3312.857</v>
      </c>
      <c r="DV31" s="87">
        <v>3316.2559999999999</v>
      </c>
      <c r="DW31" s="87">
        <v>3322.55</v>
      </c>
      <c r="DX31" s="87">
        <v>3329.71</v>
      </c>
      <c r="DY31" s="87">
        <v>3336.2130000000002</v>
      </c>
      <c r="DZ31" s="87">
        <v>3344.8870000000002</v>
      </c>
      <c r="EA31" s="87">
        <v>3353.605</v>
      </c>
      <c r="EB31" s="87">
        <v>3363.2730000000001</v>
      </c>
      <c r="EC31" s="187">
        <v>3371.6819999999998</v>
      </c>
      <c r="ED31" s="87">
        <v>3381.712</v>
      </c>
      <c r="EE31" s="87">
        <v>3391.163</v>
      </c>
      <c r="EF31" s="87">
        <v>3405.4090000000001</v>
      </c>
      <c r="EG31" s="87">
        <v>3419.3629999999998</v>
      </c>
      <c r="EH31" s="87">
        <v>3433.8820000000001</v>
      </c>
      <c r="EI31" s="87">
        <v>3448.0839999999998</v>
      </c>
      <c r="EJ31" s="87">
        <v>3461.6469999999999</v>
      </c>
      <c r="EK31" s="87">
        <v>3475.05</v>
      </c>
      <c r="EL31" s="87">
        <v>3491.5349999999999</v>
      </c>
      <c r="EM31" s="87">
        <v>3507.1370000000002</v>
      </c>
      <c r="EN31" s="87">
        <v>3526.8380000000002</v>
      </c>
      <c r="EO31" s="89">
        <v>3541.3139999999999</v>
      </c>
      <c r="EP31" s="87">
        <v>3559.85</v>
      </c>
      <c r="EQ31" s="87">
        <v>3581.7280000000001</v>
      </c>
      <c r="ER31" s="87">
        <v>3613.1280000000002</v>
      </c>
      <c r="ES31" s="87">
        <v>3645.145</v>
      </c>
      <c r="ET31" s="87">
        <v>3683.2429999999999</v>
      </c>
      <c r="EU31" s="87">
        <v>3721.9450000000002</v>
      </c>
      <c r="EV31" s="87">
        <v>3761.9520000000002</v>
      </c>
      <c r="EW31" s="87">
        <v>3806.741</v>
      </c>
      <c r="EX31" s="87">
        <v>3861.0050000000001</v>
      </c>
      <c r="EY31" s="87">
        <v>3916.3330000000001</v>
      </c>
      <c r="EZ31" s="87">
        <v>3979.4659999999999</v>
      </c>
      <c r="FA31" s="89">
        <v>4027.9859999999999</v>
      </c>
      <c r="FB31" s="87">
        <v>4096.1149999999998</v>
      </c>
      <c r="FC31" s="87">
        <v>4168.1850000000004</v>
      </c>
      <c r="FD31" s="87">
        <v>4249.74</v>
      </c>
      <c r="FE31" s="87">
        <v>4315.9769999999999</v>
      </c>
      <c r="FF31" s="87">
        <v>4389.1090000000004</v>
      </c>
      <c r="FG31" s="87">
        <v>4463.4080000000004</v>
      </c>
      <c r="FH31" s="87">
        <v>4527.2520000000004</v>
      </c>
      <c r="FI31" s="87">
        <v>4591.0680000000002</v>
      </c>
      <c r="FJ31" s="87">
        <v>4653.9089999999997</v>
      </c>
      <c r="FK31" s="87">
        <v>4715.0119999999997</v>
      </c>
      <c r="FL31" s="161">
        <v>4776.2809999999999</v>
      </c>
      <c r="FM31" s="161">
        <v>4816.72</v>
      </c>
      <c r="FN31" s="170">
        <v>4868.3490000000002</v>
      </c>
      <c r="FO31" s="161">
        <v>4921.817</v>
      </c>
      <c r="FP31" s="161">
        <v>4977.8689999999997</v>
      </c>
      <c r="FQ31" s="161">
        <v>5037.259</v>
      </c>
      <c r="FR31" s="161">
        <v>5098.4369999999999</v>
      </c>
      <c r="FS31" s="161">
        <v>5154.3789999999999</v>
      </c>
      <c r="FT31" s="161">
        <v>5213.6859999999997</v>
      </c>
      <c r="FU31" s="161">
        <v>5268.393</v>
      </c>
      <c r="FV31" s="161">
        <v>5326.4390000000003</v>
      </c>
      <c r="FW31" s="161">
        <v>5392.3969999999999</v>
      </c>
      <c r="FX31" s="161">
        <v>5456.3310000000001</v>
      </c>
      <c r="FY31" s="194">
        <v>5502.1210000000001</v>
      </c>
      <c r="FZ31" s="161">
        <v>5562.4390000000003</v>
      </c>
      <c r="GA31" s="161">
        <v>5628.835</v>
      </c>
      <c r="GB31" s="161">
        <v>5706.732</v>
      </c>
      <c r="GC31" s="161">
        <v>5775.5649999999996</v>
      </c>
      <c r="GD31" s="161">
        <v>5852.643</v>
      </c>
      <c r="GE31" s="161">
        <v>5928.6109999999999</v>
      </c>
      <c r="GF31" s="161">
        <v>6010.0940000000001</v>
      </c>
      <c r="GG31" s="161">
        <v>6082.183</v>
      </c>
      <c r="GH31" s="161">
        <v>6163.7730000000001</v>
      </c>
      <c r="GI31" s="161">
        <v>6249.1679999999997</v>
      </c>
      <c r="GJ31" s="161">
        <v>6324.3620000000001</v>
      </c>
      <c r="GK31" s="194">
        <v>6381.9690000000001</v>
      </c>
      <c r="GL31" s="161">
        <v>6447.1890000000003</v>
      </c>
      <c r="GM31" s="161">
        <v>6519.5730000000003</v>
      </c>
      <c r="GN31" s="161">
        <v>6604.6809999999996</v>
      </c>
      <c r="GO31" s="161">
        <v>6686.3850000000002</v>
      </c>
    </row>
    <row r="32" spans="1:197" customFormat="1" ht="20.149999999999999" customHeight="1" x14ac:dyDescent="0.35">
      <c r="EO32" s="209"/>
      <c r="EP32" s="178"/>
      <c r="ES32" s="178"/>
      <c r="ET32" s="178"/>
      <c r="EU32" s="178"/>
      <c r="EV32" s="178"/>
      <c r="EW32" s="178"/>
      <c r="EX32" s="178"/>
      <c r="EY32" s="178"/>
      <c r="EZ32" s="178"/>
      <c r="FA32" s="210"/>
      <c r="FB32" s="178"/>
      <c r="FC32" s="178"/>
      <c r="FD32" s="178"/>
      <c r="FE32" s="178"/>
      <c r="FF32" s="178"/>
      <c r="FG32" s="178"/>
      <c r="FH32" s="178"/>
      <c r="FI32" s="178"/>
      <c r="FJ32" s="178"/>
      <c r="FK32" s="178"/>
      <c r="FL32" s="178"/>
      <c r="FM32" s="209"/>
      <c r="FN32" s="124"/>
      <c r="FO32" s="178"/>
      <c r="FP32" s="178"/>
      <c r="FQ32" s="178"/>
      <c r="FR32" s="178"/>
      <c r="FS32" s="178"/>
      <c r="FT32" s="178"/>
      <c r="FU32" s="178"/>
      <c r="FV32" s="178"/>
      <c r="FW32" s="178"/>
      <c r="FX32" s="178"/>
      <c r="FY32" s="209"/>
      <c r="FZ32" s="178"/>
      <c r="GA32" s="178"/>
      <c r="GB32" s="178"/>
      <c r="GC32" s="178"/>
      <c r="GD32" s="178"/>
      <c r="GE32" s="178"/>
      <c r="GF32" s="178"/>
      <c r="GG32" s="178"/>
      <c r="GH32" s="178"/>
      <c r="GI32" s="178"/>
      <c r="GJ32" s="178"/>
      <c r="GK32" s="209"/>
      <c r="GL32" s="178"/>
      <c r="GM32" s="178"/>
      <c r="GN32" s="178"/>
      <c r="GO32" s="178"/>
    </row>
    <row r="33" spans="1:197" customFormat="1" ht="30.65" customHeight="1" x14ac:dyDescent="0.35">
      <c r="A33" s="21" t="s">
        <v>272</v>
      </c>
      <c r="B33" s="22" t="s">
        <v>76</v>
      </c>
      <c r="C33" s="23" t="s">
        <v>77</v>
      </c>
      <c r="D33" s="23" t="s">
        <v>78</v>
      </c>
      <c r="E33" s="23" t="s">
        <v>79</v>
      </c>
      <c r="F33" s="23" t="s">
        <v>80</v>
      </c>
      <c r="G33" s="23" t="s">
        <v>81</v>
      </c>
      <c r="H33" s="23" t="s">
        <v>82</v>
      </c>
      <c r="I33" s="23" t="s">
        <v>83</v>
      </c>
      <c r="J33" s="23" t="s">
        <v>84</v>
      </c>
      <c r="K33" s="23" t="s">
        <v>85</v>
      </c>
      <c r="L33" s="23" t="s">
        <v>86</v>
      </c>
      <c r="M33" s="23" t="s">
        <v>87</v>
      </c>
      <c r="N33" s="22" t="s">
        <v>88</v>
      </c>
      <c r="O33" s="23" t="s">
        <v>89</v>
      </c>
      <c r="P33" s="23" t="s">
        <v>90</v>
      </c>
      <c r="Q33" s="23" t="s">
        <v>91</v>
      </c>
      <c r="R33" s="23" t="s">
        <v>92</v>
      </c>
      <c r="S33" s="23" t="s">
        <v>93</v>
      </c>
      <c r="T33" s="23" t="s">
        <v>94</v>
      </c>
      <c r="U33" s="23" t="s">
        <v>95</v>
      </c>
      <c r="V33" s="23" t="s">
        <v>96</v>
      </c>
      <c r="W33" s="23" t="s">
        <v>97</v>
      </c>
      <c r="X33" s="23" t="s">
        <v>98</v>
      </c>
      <c r="Y33" s="23" t="s">
        <v>99</v>
      </c>
      <c r="Z33" s="22" t="s">
        <v>100</v>
      </c>
      <c r="AA33" s="23" t="s">
        <v>101</v>
      </c>
      <c r="AB33" s="23" t="s">
        <v>102</v>
      </c>
      <c r="AC33" s="23" t="s">
        <v>103</v>
      </c>
      <c r="AD33" s="23" t="s">
        <v>104</v>
      </c>
      <c r="AE33" s="23" t="s">
        <v>105</v>
      </c>
      <c r="AF33" s="23" t="s">
        <v>106</v>
      </c>
      <c r="AG33" s="23" t="s">
        <v>107</v>
      </c>
      <c r="AH33" s="23" t="s">
        <v>108</v>
      </c>
      <c r="AI33" s="23" t="s">
        <v>109</v>
      </c>
      <c r="AJ33" s="23" t="s">
        <v>110</v>
      </c>
      <c r="AK33" s="23" t="s">
        <v>111</v>
      </c>
      <c r="AL33" s="22" t="s">
        <v>112</v>
      </c>
      <c r="AM33" s="23" t="s">
        <v>113</v>
      </c>
      <c r="AN33" s="23" t="s">
        <v>114</v>
      </c>
      <c r="AO33" s="23" t="s">
        <v>115</v>
      </c>
      <c r="AP33" s="23" t="s">
        <v>116</v>
      </c>
      <c r="AQ33" s="23" t="s">
        <v>117</v>
      </c>
      <c r="AR33" s="23" t="s">
        <v>118</v>
      </c>
      <c r="AS33" s="23" t="s">
        <v>119</v>
      </c>
      <c r="AT33" s="23" t="s">
        <v>120</v>
      </c>
      <c r="AU33" s="23" t="s">
        <v>121</v>
      </c>
      <c r="AV33" s="23" t="s">
        <v>122</v>
      </c>
      <c r="AW33" s="24" t="s">
        <v>123</v>
      </c>
      <c r="AX33" s="23" t="s">
        <v>124</v>
      </c>
      <c r="AY33" s="23" t="s">
        <v>125</v>
      </c>
      <c r="AZ33" s="23" t="s">
        <v>126</v>
      </c>
      <c r="BA33" s="23" t="s">
        <v>127</v>
      </c>
      <c r="BB33" s="23" t="s">
        <v>128</v>
      </c>
      <c r="BC33" s="23" t="s">
        <v>129</v>
      </c>
      <c r="BD33" s="23" t="s">
        <v>130</v>
      </c>
      <c r="BE33" s="23" t="s">
        <v>131</v>
      </c>
      <c r="BF33" s="23" t="s">
        <v>132</v>
      </c>
      <c r="BG33" s="23" t="s">
        <v>133</v>
      </c>
      <c r="BH33" s="23" t="s">
        <v>134</v>
      </c>
      <c r="BI33" s="24" t="s">
        <v>135</v>
      </c>
      <c r="BJ33" s="23" t="s">
        <v>136</v>
      </c>
      <c r="BK33" s="23" t="s">
        <v>137</v>
      </c>
      <c r="BL33" s="23" t="s">
        <v>138</v>
      </c>
      <c r="BM33" s="23" t="s">
        <v>139</v>
      </c>
      <c r="BN33" s="23" t="s">
        <v>140</v>
      </c>
      <c r="BO33" s="23" t="s">
        <v>141</v>
      </c>
      <c r="BP33" s="23" t="s">
        <v>142</v>
      </c>
      <c r="BQ33" s="23" t="s">
        <v>143</v>
      </c>
      <c r="BR33" s="23" t="s">
        <v>144</v>
      </c>
      <c r="BS33" s="23" t="s">
        <v>145</v>
      </c>
      <c r="BT33" s="23" t="s">
        <v>146</v>
      </c>
      <c r="BU33" s="24" t="s">
        <v>147</v>
      </c>
      <c r="BV33" s="23" t="s">
        <v>148</v>
      </c>
      <c r="BW33" s="23" t="s">
        <v>149</v>
      </c>
      <c r="BX33" s="23" t="s">
        <v>150</v>
      </c>
      <c r="BY33" s="23" t="s">
        <v>151</v>
      </c>
      <c r="BZ33" s="23" t="s">
        <v>152</v>
      </c>
      <c r="CA33" s="23" t="s">
        <v>153</v>
      </c>
      <c r="CB33" s="23" t="s">
        <v>154</v>
      </c>
      <c r="CC33" s="23" t="s">
        <v>155</v>
      </c>
      <c r="CD33" s="23" t="s">
        <v>156</v>
      </c>
      <c r="CE33" s="23" t="s">
        <v>157</v>
      </c>
      <c r="CF33" s="23" t="s">
        <v>158</v>
      </c>
      <c r="CG33" s="24" t="s">
        <v>159</v>
      </c>
      <c r="CH33" s="23" t="s">
        <v>160</v>
      </c>
      <c r="CI33" s="23" t="s">
        <v>161</v>
      </c>
      <c r="CJ33" s="23" t="s">
        <v>162</v>
      </c>
      <c r="CK33" s="23" t="s">
        <v>163</v>
      </c>
      <c r="CL33" s="23" t="s">
        <v>164</v>
      </c>
      <c r="CM33" s="23" t="s">
        <v>165</v>
      </c>
      <c r="CN33" s="23" t="s">
        <v>166</v>
      </c>
      <c r="CO33" s="23" t="s">
        <v>167</v>
      </c>
      <c r="CP33" s="23" t="s">
        <v>168</v>
      </c>
      <c r="CQ33" s="23" t="s">
        <v>169</v>
      </c>
      <c r="CR33" s="23" t="s">
        <v>170</v>
      </c>
      <c r="CS33" s="24" t="s">
        <v>171</v>
      </c>
      <c r="CT33" s="23" t="s">
        <v>172</v>
      </c>
      <c r="CU33" s="23" t="s">
        <v>173</v>
      </c>
      <c r="CV33" s="23" t="s">
        <v>174</v>
      </c>
      <c r="CW33" s="23" t="s">
        <v>175</v>
      </c>
      <c r="CX33" s="23" t="s">
        <v>176</v>
      </c>
      <c r="CY33" s="23" t="s">
        <v>177</v>
      </c>
      <c r="CZ33" s="23" t="s">
        <v>178</v>
      </c>
      <c r="DA33" s="23" t="s">
        <v>179</v>
      </c>
      <c r="DB33" s="23" t="s">
        <v>180</v>
      </c>
      <c r="DC33" s="23" t="s">
        <v>181</v>
      </c>
      <c r="DD33" s="23" t="s">
        <v>182</v>
      </c>
      <c r="DE33" s="24" t="s">
        <v>183</v>
      </c>
      <c r="DF33" s="23" t="s">
        <v>184</v>
      </c>
      <c r="DG33" s="23" t="s">
        <v>185</v>
      </c>
      <c r="DH33" s="23" t="s">
        <v>186</v>
      </c>
      <c r="DI33" s="23" t="s">
        <v>187</v>
      </c>
      <c r="DJ33" s="23" t="s">
        <v>188</v>
      </c>
      <c r="DK33" s="23" t="s">
        <v>189</v>
      </c>
      <c r="DL33" s="23" t="s">
        <v>190</v>
      </c>
      <c r="DM33" s="23" t="s">
        <v>191</v>
      </c>
      <c r="DN33" s="23" t="s">
        <v>192</v>
      </c>
      <c r="DO33" s="23" t="s">
        <v>193</v>
      </c>
      <c r="DP33" s="23" t="s">
        <v>194</v>
      </c>
      <c r="DQ33" s="24" t="s">
        <v>195</v>
      </c>
      <c r="DR33" s="23" t="s">
        <v>196</v>
      </c>
      <c r="DS33" s="23" t="s">
        <v>197</v>
      </c>
      <c r="DT33" s="23" t="s">
        <v>198</v>
      </c>
      <c r="DU33" s="23" t="s">
        <v>199</v>
      </c>
      <c r="DV33" s="23" t="s">
        <v>200</v>
      </c>
      <c r="DW33" s="23" t="s">
        <v>201</v>
      </c>
      <c r="DX33" s="23" t="s">
        <v>202</v>
      </c>
      <c r="DY33" s="23" t="s">
        <v>203</v>
      </c>
      <c r="DZ33" s="23" t="s">
        <v>204</v>
      </c>
      <c r="EA33" s="23" t="s">
        <v>205</v>
      </c>
      <c r="EB33" s="23" t="s">
        <v>206</v>
      </c>
      <c r="EC33" s="24" t="s">
        <v>207</v>
      </c>
      <c r="ED33" s="23" t="s">
        <v>208</v>
      </c>
      <c r="EE33" s="23" t="s">
        <v>209</v>
      </c>
      <c r="EF33" s="23" t="s">
        <v>210</v>
      </c>
      <c r="EG33" s="23" t="s">
        <v>211</v>
      </c>
      <c r="EH33" s="23" t="s">
        <v>212</v>
      </c>
      <c r="EI33" s="23" t="s">
        <v>213</v>
      </c>
      <c r="EJ33" s="23" t="s">
        <v>214</v>
      </c>
      <c r="EK33" s="23" t="s">
        <v>215</v>
      </c>
      <c r="EL33" s="23" t="s">
        <v>273</v>
      </c>
      <c r="EM33" s="23" t="s">
        <v>217</v>
      </c>
      <c r="EN33" s="43" t="s">
        <v>218</v>
      </c>
      <c r="EO33" s="24" t="s">
        <v>219</v>
      </c>
      <c r="EP33" s="23" t="s">
        <v>220</v>
      </c>
      <c r="EQ33" s="43" t="s">
        <v>221</v>
      </c>
      <c r="ER33" s="43" t="s">
        <v>222</v>
      </c>
      <c r="ES33" s="43" t="s">
        <v>223</v>
      </c>
      <c r="ET33" s="43" t="s">
        <v>224</v>
      </c>
      <c r="EU33" s="43" t="s">
        <v>225</v>
      </c>
      <c r="EV33" s="43" t="s">
        <v>226</v>
      </c>
      <c r="EW33" s="43" t="s">
        <v>227</v>
      </c>
      <c r="EX33" s="43" t="s">
        <v>228</v>
      </c>
      <c r="EY33" s="43" t="s">
        <v>229</v>
      </c>
      <c r="EZ33" s="43" t="s">
        <v>230</v>
      </c>
      <c r="FA33" s="24" t="s">
        <v>231</v>
      </c>
      <c r="FB33" s="43" t="s">
        <v>232</v>
      </c>
      <c r="FC33" s="43" t="s">
        <v>233</v>
      </c>
      <c r="FD33" s="43" t="s">
        <v>234</v>
      </c>
      <c r="FE33" s="43" t="s">
        <v>235</v>
      </c>
      <c r="FF33" s="43" t="s">
        <v>236</v>
      </c>
      <c r="FG33" s="43" t="s">
        <v>237</v>
      </c>
      <c r="FH33" s="43" t="s">
        <v>238</v>
      </c>
      <c r="FI33" s="43" t="s">
        <v>239</v>
      </c>
      <c r="FJ33" s="43" t="s">
        <v>240</v>
      </c>
      <c r="FK33" s="43" t="s">
        <v>241</v>
      </c>
      <c r="FL33" s="43" t="s">
        <v>242</v>
      </c>
      <c r="FM33" s="43" t="s">
        <v>243</v>
      </c>
      <c r="FN33" s="147" t="s">
        <v>244</v>
      </c>
      <c r="FO33" s="43" t="s">
        <v>245</v>
      </c>
      <c r="FP33" s="43" t="s">
        <v>246</v>
      </c>
      <c r="FQ33" s="43" t="s">
        <v>247</v>
      </c>
      <c r="FR33" s="43" t="s">
        <v>248</v>
      </c>
      <c r="FS33" s="43" t="s">
        <v>249</v>
      </c>
      <c r="FT33" s="43" t="s">
        <v>250</v>
      </c>
      <c r="FU33" s="43" t="s">
        <v>251</v>
      </c>
      <c r="FV33" s="43" t="s">
        <v>252</v>
      </c>
      <c r="FW33" s="43" t="s">
        <v>253</v>
      </c>
      <c r="FX33" s="43" t="s">
        <v>254</v>
      </c>
      <c r="FY33" s="141" t="s">
        <v>255</v>
      </c>
      <c r="FZ33" s="43" t="s">
        <v>256</v>
      </c>
      <c r="GA33" s="43" t="s">
        <v>257</v>
      </c>
      <c r="GB33" s="43" t="s">
        <v>258</v>
      </c>
      <c r="GC33" s="43" t="s">
        <v>259</v>
      </c>
      <c r="GD33" s="43" t="s">
        <v>260</v>
      </c>
      <c r="GE33" s="43" t="s">
        <v>261</v>
      </c>
      <c r="GF33" s="43" t="s">
        <v>262</v>
      </c>
      <c r="GG33" s="43" t="s">
        <v>263</v>
      </c>
      <c r="GH33" s="43" t="s">
        <v>264</v>
      </c>
      <c r="GI33" s="43" t="s">
        <v>265</v>
      </c>
      <c r="GJ33" s="43" t="s">
        <v>1622</v>
      </c>
      <c r="GK33" s="141" t="s">
        <v>1629</v>
      </c>
      <c r="GL33" s="43" t="s">
        <v>1630</v>
      </c>
      <c r="GM33" s="43" t="s">
        <v>1635</v>
      </c>
      <c r="GN33" s="43" t="s">
        <v>1638</v>
      </c>
      <c r="GO33" s="43" t="s">
        <v>1645</v>
      </c>
    </row>
    <row r="34" spans="1:197" s="37" customFormat="1" ht="36" customHeight="1" x14ac:dyDescent="0.35">
      <c r="A34" s="26" t="s">
        <v>266</v>
      </c>
      <c r="B34" s="27"/>
      <c r="C34" s="27"/>
      <c r="D34" s="27"/>
      <c r="E34" s="27"/>
      <c r="F34" s="27"/>
      <c r="G34" s="27"/>
      <c r="H34" s="27"/>
      <c r="I34" s="27"/>
      <c r="J34" s="27"/>
      <c r="K34" s="27"/>
      <c r="L34" s="27"/>
      <c r="M34" s="28"/>
      <c r="N34" s="29"/>
      <c r="O34" s="27"/>
      <c r="P34" s="27"/>
      <c r="Q34" s="27"/>
      <c r="R34" s="27"/>
      <c r="S34" s="27"/>
      <c r="T34" s="27"/>
      <c r="U34" s="27"/>
      <c r="V34" s="27"/>
      <c r="W34" s="27"/>
      <c r="X34" s="27"/>
      <c r="Y34" s="28"/>
      <c r="Z34" s="29"/>
      <c r="AA34" s="27"/>
      <c r="AB34" s="27"/>
      <c r="AC34" s="27"/>
      <c r="AD34" s="27"/>
      <c r="AE34" s="27"/>
      <c r="AF34" s="27"/>
      <c r="AG34" s="27"/>
      <c r="AH34" s="27"/>
      <c r="AI34" s="27"/>
      <c r="AJ34" s="27"/>
      <c r="AK34" s="28"/>
      <c r="AL34" s="29"/>
      <c r="AM34" s="27"/>
      <c r="AN34" s="27"/>
      <c r="AO34" s="27"/>
      <c r="AP34" s="27"/>
      <c r="AQ34" s="27"/>
      <c r="AR34" s="27"/>
      <c r="AS34" s="27"/>
      <c r="AT34" s="27"/>
      <c r="AU34" s="27"/>
      <c r="AV34" s="27"/>
      <c r="AW34" s="28"/>
      <c r="AX34" s="27"/>
      <c r="AY34" s="27"/>
      <c r="AZ34" s="27"/>
      <c r="BA34" s="27"/>
      <c r="BB34" s="27"/>
      <c r="BC34" s="27"/>
      <c r="BD34" s="27"/>
      <c r="BE34" s="27"/>
      <c r="BF34" s="27"/>
      <c r="BG34" s="27"/>
      <c r="BH34" s="27"/>
      <c r="BI34" s="28"/>
      <c r="BJ34" s="27"/>
      <c r="BK34" s="27"/>
      <c r="BL34" s="27"/>
      <c r="BM34" s="27"/>
      <c r="BN34" s="27"/>
      <c r="BO34" s="27"/>
      <c r="BP34" s="27"/>
      <c r="BQ34" s="27"/>
      <c r="BR34" s="27"/>
      <c r="BS34" s="27"/>
      <c r="BT34" s="27"/>
      <c r="BU34" s="28"/>
      <c r="BV34" s="27"/>
      <c r="BW34" s="27"/>
      <c r="BX34" s="27"/>
      <c r="BY34" s="27"/>
      <c r="BZ34" s="27"/>
      <c r="CA34" s="27"/>
      <c r="CB34" s="27"/>
      <c r="CC34" s="27"/>
      <c r="CD34" s="27"/>
      <c r="CE34" s="27"/>
      <c r="CF34" s="27"/>
      <c r="CG34" s="28"/>
      <c r="CH34" s="27"/>
      <c r="CI34" s="27"/>
      <c r="CJ34" s="27"/>
      <c r="CK34" s="27"/>
      <c r="CL34" s="27"/>
      <c r="CM34" s="27"/>
      <c r="CN34" s="27"/>
      <c r="CO34" s="27"/>
      <c r="CP34" s="27"/>
      <c r="CQ34" s="27"/>
      <c r="CR34" s="27"/>
      <c r="CS34" s="28"/>
      <c r="CT34" s="27"/>
      <c r="CU34" s="27"/>
      <c r="CV34" s="27"/>
      <c r="CW34" s="27"/>
      <c r="CX34" s="27"/>
      <c r="CY34" s="27"/>
      <c r="CZ34" s="27"/>
      <c r="DA34" s="27"/>
      <c r="DB34" s="27"/>
      <c r="DC34" s="27"/>
      <c r="DD34" s="27"/>
      <c r="DE34" s="28"/>
      <c r="DF34" s="27"/>
      <c r="DG34" s="27"/>
      <c r="DH34" s="27"/>
      <c r="DI34" s="27"/>
      <c r="DJ34" s="27"/>
      <c r="DK34" s="27"/>
      <c r="DL34" s="27"/>
      <c r="DM34" s="27"/>
      <c r="DN34" s="27"/>
      <c r="DO34" s="27"/>
      <c r="DP34" s="27"/>
      <c r="DQ34" s="28"/>
      <c r="DR34" s="27"/>
      <c r="DS34" s="27"/>
      <c r="DT34" s="27"/>
      <c r="DU34" s="27"/>
      <c r="DV34" s="27"/>
      <c r="DW34" s="27"/>
      <c r="DX34" s="27"/>
      <c r="DY34" s="27"/>
      <c r="DZ34" s="27"/>
      <c r="EA34" s="27"/>
      <c r="EB34" s="27"/>
      <c r="EC34" s="28"/>
      <c r="ED34" s="27"/>
      <c r="EE34" s="27"/>
      <c r="EF34" s="27"/>
      <c r="EG34" s="27"/>
      <c r="EH34" s="27"/>
      <c r="EI34" s="27"/>
      <c r="EJ34" s="27"/>
      <c r="EK34" s="27"/>
      <c r="EL34" s="38"/>
      <c r="EM34" s="30"/>
      <c r="EN34" s="30"/>
      <c r="EO34" s="28"/>
      <c r="EP34" s="27"/>
      <c r="EQ34" s="38"/>
      <c r="ER34" s="38"/>
      <c r="ES34" s="38"/>
      <c r="ET34" s="38"/>
      <c r="EU34" s="38"/>
      <c r="EV34" s="38"/>
      <c r="EW34" s="39"/>
      <c r="EX34" s="39"/>
      <c r="EY34" s="38"/>
      <c r="EZ34" s="38"/>
      <c r="FA34" s="28"/>
      <c r="FB34" s="38"/>
      <c r="FC34" s="38"/>
      <c r="FD34" s="38"/>
      <c r="FE34" s="38"/>
      <c r="FF34" s="38"/>
      <c r="FG34" s="38"/>
      <c r="FH34" s="38"/>
      <c r="FI34" s="38"/>
      <c r="FJ34" s="38"/>
      <c r="FK34" s="38"/>
      <c r="FL34" s="38"/>
      <c r="FM34" s="38"/>
      <c r="FN34" s="166"/>
      <c r="FO34" s="38"/>
      <c r="FP34" s="38"/>
      <c r="FQ34" s="38"/>
      <c r="FR34" s="38"/>
      <c r="FS34" s="38"/>
      <c r="FT34" s="38"/>
      <c r="FU34" s="179"/>
      <c r="FV34" s="179"/>
      <c r="FW34" s="179"/>
      <c r="FX34" s="179"/>
      <c r="FY34" s="195"/>
      <c r="FZ34" s="179"/>
      <c r="GA34" s="179"/>
      <c r="GB34" s="179"/>
      <c r="GC34" s="179"/>
      <c r="GD34" s="179"/>
      <c r="GE34" s="179"/>
      <c r="GF34" s="179"/>
      <c r="GG34" s="179"/>
      <c r="GH34" s="179"/>
      <c r="GI34" s="179"/>
      <c r="GJ34" s="179"/>
      <c r="GK34" s="195"/>
      <c r="GL34" s="179"/>
      <c r="GM34" s="179"/>
      <c r="GN34" s="179"/>
      <c r="GO34" s="179"/>
    </row>
    <row r="35" spans="1:197" s="30" customFormat="1" ht="20.149999999999999" customHeight="1" x14ac:dyDescent="0.35">
      <c r="A35" s="31" t="s">
        <v>1623</v>
      </c>
      <c r="B35" s="55">
        <v>4202</v>
      </c>
      <c r="C35" s="55">
        <v>4757</v>
      </c>
      <c r="D35" s="55">
        <v>5723</v>
      </c>
      <c r="E35" s="55">
        <v>6729</v>
      </c>
      <c r="F35" s="55">
        <v>8182</v>
      </c>
      <c r="G35" s="55">
        <v>10024</v>
      </c>
      <c r="H35" s="55">
        <v>12267</v>
      </c>
      <c r="I35" s="55">
        <v>14477</v>
      </c>
      <c r="J35" s="55">
        <v>17237</v>
      </c>
      <c r="K35" s="55">
        <v>20581</v>
      </c>
      <c r="L35" s="55">
        <v>24424</v>
      </c>
      <c r="M35" s="56">
        <v>27391</v>
      </c>
      <c r="N35" s="57">
        <v>31392</v>
      </c>
      <c r="O35" s="55">
        <v>35895</v>
      </c>
      <c r="P35" s="55">
        <v>42731</v>
      </c>
      <c r="Q35" s="55">
        <v>48787</v>
      </c>
      <c r="R35" s="55">
        <v>55725</v>
      </c>
      <c r="S35" s="55">
        <v>64759</v>
      </c>
      <c r="T35" s="55">
        <v>75126</v>
      </c>
      <c r="U35" s="55">
        <v>88147</v>
      </c>
      <c r="V35" s="55">
        <v>103885</v>
      </c>
      <c r="W35" s="55">
        <v>122089</v>
      </c>
      <c r="X35" s="55">
        <v>172218</v>
      </c>
      <c r="Y35" s="56">
        <v>212254</v>
      </c>
      <c r="Z35" s="57">
        <v>220176</v>
      </c>
      <c r="AA35" s="55">
        <v>257164</v>
      </c>
      <c r="AB35" s="55">
        <v>281336</v>
      </c>
      <c r="AC35" s="55">
        <v>286303</v>
      </c>
      <c r="AD35" s="55">
        <v>295067</v>
      </c>
      <c r="AE35" s="55">
        <v>305640</v>
      </c>
      <c r="AF35" s="55">
        <v>325003</v>
      </c>
      <c r="AG35" s="55">
        <v>328456</v>
      </c>
      <c r="AH35" s="55">
        <v>332749</v>
      </c>
      <c r="AI35" s="55">
        <v>340622</v>
      </c>
      <c r="AJ35" s="55">
        <v>345369</v>
      </c>
      <c r="AK35" s="56">
        <v>350178</v>
      </c>
      <c r="AL35" s="57">
        <v>355249</v>
      </c>
      <c r="AM35" s="55">
        <v>360506</v>
      </c>
      <c r="AN35" s="55">
        <v>366335</v>
      </c>
      <c r="AO35" s="55">
        <v>372119</v>
      </c>
      <c r="AP35" s="55">
        <v>377846</v>
      </c>
      <c r="AQ35" s="55">
        <v>385645</v>
      </c>
      <c r="AR35" s="55">
        <v>390465</v>
      </c>
      <c r="AS35" s="55">
        <v>395885</v>
      </c>
      <c r="AT35" s="55">
        <v>401498</v>
      </c>
      <c r="AU35" s="55">
        <v>407532</v>
      </c>
      <c r="AV35" s="55">
        <v>414249</v>
      </c>
      <c r="AW35" s="56">
        <v>419776</v>
      </c>
      <c r="AX35" s="55">
        <v>425255</v>
      </c>
      <c r="AY35" s="55">
        <v>431250</v>
      </c>
      <c r="AZ35" s="55">
        <v>440410</v>
      </c>
      <c r="BA35" s="55">
        <v>445918</v>
      </c>
      <c r="BB35" s="55">
        <v>451747</v>
      </c>
      <c r="BC35" s="55">
        <v>458099</v>
      </c>
      <c r="BD35" s="55">
        <v>465456</v>
      </c>
      <c r="BE35" s="55">
        <v>472546</v>
      </c>
      <c r="BF35" s="55">
        <v>481170</v>
      </c>
      <c r="BG35" s="55">
        <v>490103</v>
      </c>
      <c r="BH35" s="55">
        <v>498289</v>
      </c>
      <c r="BI35" s="56">
        <v>506389</v>
      </c>
      <c r="BJ35" s="55">
        <v>512683</v>
      </c>
      <c r="BK35" s="55">
        <v>520145</v>
      </c>
      <c r="BL35" s="55">
        <v>531293</v>
      </c>
      <c r="BM35" s="55">
        <v>539019</v>
      </c>
      <c r="BN35" s="55">
        <v>546989</v>
      </c>
      <c r="BO35" s="55">
        <v>558205</v>
      </c>
      <c r="BP35" s="55">
        <v>566503</v>
      </c>
      <c r="BQ35" s="55">
        <v>574639</v>
      </c>
      <c r="BR35" s="55">
        <v>587712</v>
      </c>
      <c r="BS35" s="55">
        <v>599993</v>
      </c>
      <c r="BT35" s="55">
        <v>616015</v>
      </c>
      <c r="BU35" s="56">
        <v>633400</v>
      </c>
      <c r="BV35" s="55">
        <v>644414</v>
      </c>
      <c r="BW35" s="55">
        <v>647153</v>
      </c>
      <c r="BX35" s="55">
        <v>650404</v>
      </c>
      <c r="BY35" s="55">
        <v>653048</v>
      </c>
      <c r="BZ35" s="55">
        <v>655776</v>
      </c>
      <c r="CA35" s="55">
        <v>658938</v>
      </c>
      <c r="CB35" s="55">
        <v>661446</v>
      </c>
      <c r="CC35" s="55">
        <v>663725</v>
      </c>
      <c r="CD35" s="55">
        <v>666539</v>
      </c>
      <c r="CE35" s="55">
        <v>668769</v>
      </c>
      <c r="CF35" s="55">
        <v>671548</v>
      </c>
      <c r="CG35" s="56">
        <v>673457</v>
      </c>
      <c r="CH35" s="55">
        <v>675477</v>
      </c>
      <c r="CI35" s="55">
        <v>677640</v>
      </c>
      <c r="CJ35" s="55">
        <v>680396</v>
      </c>
      <c r="CK35" s="55">
        <v>682272</v>
      </c>
      <c r="CL35" s="55">
        <v>684821</v>
      </c>
      <c r="CM35" s="55">
        <v>687234</v>
      </c>
      <c r="CN35" s="55">
        <v>689371</v>
      </c>
      <c r="CO35" s="55">
        <v>691879</v>
      </c>
      <c r="CP35" s="55">
        <v>694379</v>
      </c>
      <c r="CQ35" s="55">
        <v>696794</v>
      </c>
      <c r="CR35" s="55">
        <v>699738</v>
      </c>
      <c r="CS35" s="56">
        <v>701552</v>
      </c>
      <c r="CT35" s="55">
        <v>703753</v>
      </c>
      <c r="CU35" s="55">
        <v>705837</v>
      </c>
      <c r="CV35" s="55">
        <v>708291</v>
      </c>
      <c r="CW35" s="55">
        <v>710563</v>
      </c>
      <c r="CX35" s="55">
        <v>713104</v>
      </c>
      <c r="CY35" s="55">
        <v>715610</v>
      </c>
      <c r="CZ35" s="55">
        <v>718033</v>
      </c>
      <c r="DA35" s="55">
        <v>720840</v>
      </c>
      <c r="DB35" s="55">
        <v>723620</v>
      </c>
      <c r="DC35" s="55">
        <v>726958</v>
      </c>
      <c r="DD35" s="55">
        <v>730466</v>
      </c>
      <c r="DE35" s="56">
        <v>733226</v>
      </c>
      <c r="DF35" s="55">
        <v>736944</v>
      </c>
      <c r="DG35" s="55">
        <v>741027</v>
      </c>
      <c r="DH35" s="55">
        <v>750623</v>
      </c>
      <c r="DI35" s="55">
        <v>752479</v>
      </c>
      <c r="DJ35" s="55">
        <v>754796</v>
      </c>
      <c r="DK35" s="55">
        <v>757236</v>
      </c>
      <c r="DL35" s="55">
        <v>759583</v>
      </c>
      <c r="DM35" s="55">
        <v>762061</v>
      </c>
      <c r="DN35" s="55">
        <v>764652</v>
      </c>
      <c r="DO35" s="55">
        <v>767301</v>
      </c>
      <c r="DP35" s="55">
        <v>770127</v>
      </c>
      <c r="DQ35" s="56">
        <v>771987</v>
      </c>
      <c r="DR35" s="55">
        <v>774329</v>
      </c>
      <c r="DS35" s="55">
        <v>776545</v>
      </c>
      <c r="DT35" s="55">
        <v>778813</v>
      </c>
      <c r="DU35" s="55">
        <v>779142</v>
      </c>
      <c r="DV35" s="55">
        <v>779693</v>
      </c>
      <c r="DW35" s="55">
        <v>781073</v>
      </c>
      <c r="DX35" s="55">
        <v>783265</v>
      </c>
      <c r="DY35" s="55">
        <v>785500</v>
      </c>
      <c r="DZ35" s="55">
        <v>788329</v>
      </c>
      <c r="EA35" s="55">
        <v>791017</v>
      </c>
      <c r="EB35" s="55">
        <v>793998</v>
      </c>
      <c r="EC35" s="56">
        <v>796138</v>
      </c>
      <c r="ED35" s="55">
        <v>798724</v>
      </c>
      <c r="EE35" s="55">
        <v>801137</v>
      </c>
      <c r="EF35" s="55">
        <v>804394</v>
      </c>
      <c r="EG35" s="55">
        <v>807789</v>
      </c>
      <c r="EH35" s="55">
        <v>811231</v>
      </c>
      <c r="EI35" s="55">
        <v>814684</v>
      </c>
      <c r="EJ35" s="55">
        <v>817836</v>
      </c>
      <c r="EK35" s="55">
        <v>821264</v>
      </c>
      <c r="EL35" s="55">
        <v>825048</v>
      </c>
      <c r="EM35" s="55">
        <v>828568</v>
      </c>
      <c r="EN35" s="55">
        <v>833032</v>
      </c>
      <c r="EO35" s="56">
        <v>836316</v>
      </c>
      <c r="EP35" s="55">
        <v>840026</v>
      </c>
      <c r="EQ35" s="55">
        <v>844783</v>
      </c>
      <c r="ER35" s="55">
        <v>851049</v>
      </c>
      <c r="ES35" s="55">
        <v>856910</v>
      </c>
      <c r="ET35" s="55">
        <v>863160</v>
      </c>
      <c r="EU35" s="55">
        <v>869732</v>
      </c>
      <c r="EV35" s="55">
        <v>875605</v>
      </c>
      <c r="EW35" s="55">
        <v>882058</v>
      </c>
      <c r="EX35" s="55">
        <v>889638</v>
      </c>
      <c r="EY35" s="55">
        <v>896404</v>
      </c>
      <c r="EZ35" s="55">
        <v>903926</v>
      </c>
      <c r="FA35" s="56">
        <v>909533</v>
      </c>
      <c r="FB35" s="55">
        <v>916680</v>
      </c>
      <c r="FC35" s="55">
        <v>924441</v>
      </c>
      <c r="FD35" s="55">
        <v>933291</v>
      </c>
      <c r="FE35" s="55">
        <v>940194</v>
      </c>
      <c r="FF35" s="55">
        <v>947841</v>
      </c>
      <c r="FG35" s="55">
        <v>955944</v>
      </c>
      <c r="FH35" s="55">
        <v>962947</v>
      </c>
      <c r="FI35" s="55">
        <v>969863</v>
      </c>
      <c r="FJ35" s="39">
        <v>976842</v>
      </c>
      <c r="FK35" s="39">
        <v>983751</v>
      </c>
      <c r="FL35" s="39">
        <v>991255</v>
      </c>
      <c r="FM35" s="39">
        <v>995903</v>
      </c>
      <c r="FN35" s="77">
        <v>1002222</v>
      </c>
      <c r="FO35" s="39">
        <v>1009003</v>
      </c>
      <c r="FP35" s="39">
        <v>1016742</v>
      </c>
      <c r="FQ35" s="39">
        <v>1024276</v>
      </c>
      <c r="FR35" s="39">
        <v>1032470</v>
      </c>
      <c r="FS35" s="39">
        <v>1040942</v>
      </c>
      <c r="FT35" s="39">
        <v>1049502</v>
      </c>
      <c r="FU35" s="38">
        <v>1058078</v>
      </c>
      <c r="FV35" s="38">
        <v>1067878</v>
      </c>
      <c r="FW35" s="38">
        <v>1079672</v>
      </c>
      <c r="FX35" s="38">
        <v>1092941</v>
      </c>
      <c r="FY35" s="196">
        <v>1101494</v>
      </c>
      <c r="FZ35" s="38">
        <v>1111989</v>
      </c>
      <c r="GA35" s="38">
        <v>1124306</v>
      </c>
      <c r="GB35" s="38">
        <v>1139468</v>
      </c>
      <c r="GC35" s="38">
        <v>1151093</v>
      </c>
      <c r="GD35" s="38">
        <v>1164634</v>
      </c>
      <c r="GE35" s="38">
        <v>1178695</v>
      </c>
      <c r="GF35" s="38">
        <v>1191284</v>
      </c>
      <c r="GG35" s="38">
        <v>1202539</v>
      </c>
      <c r="GH35" s="38">
        <v>1216059</v>
      </c>
      <c r="GI35" s="38">
        <v>1231483</v>
      </c>
      <c r="GJ35" s="38">
        <v>1245927</v>
      </c>
      <c r="GK35" s="196">
        <v>1257255</v>
      </c>
      <c r="GL35" s="38">
        <v>1269079</v>
      </c>
      <c r="GM35" s="38">
        <v>1283381</v>
      </c>
      <c r="GN35" s="38">
        <v>1300932</v>
      </c>
      <c r="GO35" s="38">
        <v>1313570</v>
      </c>
    </row>
    <row r="36" spans="1:197" s="1" customFormat="1" ht="20.149999999999999" customHeight="1" x14ac:dyDescent="0.35">
      <c r="A36" s="31" t="s">
        <v>1626</v>
      </c>
      <c r="B36" s="55">
        <v>484</v>
      </c>
      <c r="C36" s="55">
        <v>514</v>
      </c>
      <c r="D36" s="55">
        <v>559</v>
      </c>
      <c r="E36" s="55">
        <v>589</v>
      </c>
      <c r="F36" s="55">
        <v>643</v>
      </c>
      <c r="G36" s="55">
        <v>704</v>
      </c>
      <c r="H36" s="55">
        <v>773</v>
      </c>
      <c r="I36" s="55">
        <v>840</v>
      </c>
      <c r="J36" s="55">
        <v>919</v>
      </c>
      <c r="K36" s="55">
        <v>1017</v>
      </c>
      <c r="L36" s="55">
        <v>1114</v>
      </c>
      <c r="M36" s="56">
        <v>1180</v>
      </c>
      <c r="N36" s="57">
        <v>1313</v>
      </c>
      <c r="O36" s="55">
        <v>1455</v>
      </c>
      <c r="P36" s="55">
        <v>1676</v>
      </c>
      <c r="Q36" s="55">
        <v>1979</v>
      </c>
      <c r="R36" s="55">
        <v>2339</v>
      </c>
      <c r="S36" s="55">
        <v>2779</v>
      </c>
      <c r="T36" s="55">
        <v>3408</v>
      </c>
      <c r="U36" s="55">
        <v>4515</v>
      </c>
      <c r="V36" s="55">
        <v>6119</v>
      </c>
      <c r="W36" s="55">
        <v>8216</v>
      </c>
      <c r="X36" s="55">
        <v>14505</v>
      </c>
      <c r="Y36" s="56">
        <v>19353</v>
      </c>
      <c r="Z36" s="57">
        <v>19826</v>
      </c>
      <c r="AA36" s="55">
        <v>25683</v>
      </c>
      <c r="AB36" s="55">
        <v>27665</v>
      </c>
      <c r="AC36" s="55">
        <v>28129</v>
      </c>
      <c r="AD36" s="55">
        <v>29681</v>
      </c>
      <c r="AE36" s="55">
        <v>32031</v>
      </c>
      <c r="AF36" s="55">
        <v>37899</v>
      </c>
      <c r="AG36" s="55">
        <v>38281</v>
      </c>
      <c r="AH36" s="55">
        <v>39124</v>
      </c>
      <c r="AI36" s="55">
        <v>41655</v>
      </c>
      <c r="AJ36" s="55">
        <v>42595</v>
      </c>
      <c r="AK36" s="56">
        <v>43720</v>
      </c>
      <c r="AL36" s="57">
        <v>44952</v>
      </c>
      <c r="AM36" s="55">
        <v>46451</v>
      </c>
      <c r="AN36" s="55">
        <v>48367</v>
      </c>
      <c r="AO36" s="55">
        <v>50598</v>
      </c>
      <c r="AP36" s="55">
        <v>53086</v>
      </c>
      <c r="AQ36" s="55">
        <v>57156</v>
      </c>
      <c r="AR36" s="55">
        <v>58875</v>
      </c>
      <c r="AS36" s="55">
        <v>61005</v>
      </c>
      <c r="AT36" s="55">
        <v>63446</v>
      </c>
      <c r="AU36" s="55">
        <v>66130</v>
      </c>
      <c r="AV36" s="55">
        <v>69352</v>
      </c>
      <c r="AW36" s="56">
        <v>72067</v>
      </c>
      <c r="AX36" s="55">
        <v>74575</v>
      </c>
      <c r="AY36" s="55">
        <v>77326</v>
      </c>
      <c r="AZ36" s="55">
        <v>82934</v>
      </c>
      <c r="BA36" s="55">
        <v>85465</v>
      </c>
      <c r="BB36" s="55">
        <v>88407</v>
      </c>
      <c r="BC36" s="55">
        <v>91760</v>
      </c>
      <c r="BD36" s="55">
        <v>95315</v>
      </c>
      <c r="BE36" s="55">
        <v>98670</v>
      </c>
      <c r="BF36" s="55">
        <v>102494</v>
      </c>
      <c r="BG36" s="55">
        <v>106577</v>
      </c>
      <c r="BH36" s="55">
        <v>110674</v>
      </c>
      <c r="BI36" s="56">
        <v>115166</v>
      </c>
      <c r="BJ36" s="55">
        <v>117212</v>
      </c>
      <c r="BK36" s="55">
        <v>119897</v>
      </c>
      <c r="BL36" s="55">
        <v>124742</v>
      </c>
      <c r="BM36" s="55">
        <v>127632</v>
      </c>
      <c r="BN36" s="55">
        <v>130911</v>
      </c>
      <c r="BO36" s="55">
        <v>135781</v>
      </c>
      <c r="BP36" s="55">
        <v>138707</v>
      </c>
      <c r="BQ36" s="55">
        <v>141712</v>
      </c>
      <c r="BR36" s="55">
        <v>146993</v>
      </c>
      <c r="BS36" s="55">
        <v>150878</v>
      </c>
      <c r="BT36" s="55">
        <v>155673</v>
      </c>
      <c r="BU36" s="56">
        <v>161662</v>
      </c>
      <c r="BV36" s="55">
        <v>164575</v>
      </c>
      <c r="BW36" s="55">
        <v>165008</v>
      </c>
      <c r="BX36" s="55">
        <v>165729</v>
      </c>
      <c r="BY36" s="55">
        <v>166320</v>
      </c>
      <c r="BZ36" s="55">
        <v>166912</v>
      </c>
      <c r="CA36" s="55">
        <v>167645</v>
      </c>
      <c r="CB36" s="55">
        <v>168215</v>
      </c>
      <c r="CC36" s="55">
        <v>168767</v>
      </c>
      <c r="CD36" s="55">
        <v>169426</v>
      </c>
      <c r="CE36" s="55">
        <v>169879</v>
      </c>
      <c r="CF36" s="55">
        <v>170381</v>
      </c>
      <c r="CG36" s="56">
        <v>170847</v>
      </c>
      <c r="CH36" s="55">
        <v>171214</v>
      </c>
      <c r="CI36" s="55">
        <v>171600</v>
      </c>
      <c r="CJ36" s="55">
        <v>172148</v>
      </c>
      <c r="CK36" s="55">
        <v>172542</v>
      </c>
      <c r="CL36" s="55">
        <v>173068</v>
      </c>
      <c r="CM36" s="55">
        <v>173677</v>
      </c>
      <c r="CN36" s="55">
        <v>174222</v>
      </c>
      <c r="CO36" s="55">
        <v>174727</v>
      </c>
      <c r="CP36" s="55">
        <v>175366</v>
      </c>
      <c r="CQ36" s="55">
        <v>175926</v>
      </c>
      <c r="CR36" s="55">
        <v>176521</v>
      </c>
      <c r="CS36" s="56">
        <v>177006</v>
      </c>
      <c r="CT36" s="55">
        <v>177434</v>
      </c>
      <c r="CU36" s="55">
        <v>177907</v>
      </c>
      <c r="CV36" s="55">
        <v>178550</v>
      </c>
      <c r="CW36" s="55">
        <v>179127</v>
      </c>
      <c r="CX36" s="55">
        <v>179787</v>
      </c>
      <c r="CY36" s="55">
        <v>180549</v>
      </c>
      <c r="CZ36" s="55">
        <v>181203</v>
      </c>
      <c r="DA36" s="55">
        <v>181892</v>
      </c>
      <c r="DB36" s="55">
        <v>182772</v>
      </c>
      <c r="DC36" s="55">
        <v>183589</v>
      </c>
      <c r="DD36" s="55">
        <v>184686</v>
      </c>
      <c r="DE36" s="56">
        <v>185700</v>
      </c>
      <c r="DF36" s="55">
        <v>186718</v>
      </c>
      <c r="DG36" s="55">
        <v>188255</v>
      </c>
      <c r="DH36" s="55">
        <v>192070</v>
      </c>
      <c r="DI36" s="55">
        <v>192219</v>
      </c>
      <c r="DJ36" s="55">
        <v>192470</v>
      </c>
      <c r="DK36" s="55">
        <v>192790</v>
      </c>
      <c r="DL36" s="55">
        <v>193243</v>
      </c>
      <c r="DM36" s="55">
        <v>193701</v>
      </c>
      <c r="DN36" s="55">
        <v>194341</v>
      </c>
      <c r="DO36" s="55">
        <v>195108</v>
      </c>
      <c r="DP36" s="55">
        <v>195765</v>
      </c>
      <c r="DQ36" s="56">
        <v>196285</v>
      </c>
      <c r="DR36" s="55">
        <v>196936</v>
      </c>
      <c r="DS36" s="55">
        <v>197605</v>
      </c>
      <c r="DT36" s="55">
        <v>198350</v>
      </c>
      <c r="DU36" s="55">
        <v>198632</v>
      </c>
      <c r="DV36" s="55">
        <v>199109</v>
      </c>
      <c r="DW36" s="55">
        <v>199985</v>
      </c>
      <c r="DX36" s="55">
        <v>200927</v>
      </c>
      <c r="DY36" s="55">
        <v>201788</v>
      </c>
      <c r="DZ36" s="55">
        <v>202885</v>
      </c>
      <c r="EA36" s="55">
        <v>203997</v>
      </c>
      <c r="EB36" s="55">
        <v>205157</v>
      </c>
      <c r="EC36" s="56">
        <v>206018</v>
      </c>
      <c r="ED36" s="55">
        <v>206926</v>
      </c>
      <c r="EE36" s="55">
        <v>207917</v>
      </c>
      <c r="EF36" s="55">
        <v>209381</v>
      </c>
      <c r="EG36" s="55">
        <v>210771</v>
      </c>
      <c r="EH36" s="55">
        <v>212164</v>
      </c>
      <c r="EI36" s="55">
        <v>213729</v>
      </c>
      <c r="EJ36" s="55">
        <v>215221</v>
      </c>
      <c r="EK36" s="55">
        <v>216581</v>
      </c>
      <c r="EL36" s="55">
        <v>218414</v>
      </c>
      <c r="EM36" s="55">
        <v>220191</v>
      </c>
      <c r="EN36" s="55">
        <v>222443</v>
      </c>
      <c r="EO36" s="56">
        <v>224121</v>
      </c>
      <c r="EP36" s="55">
        <v>226222</v>
      </c>
      <c r="EQ36" s="55">
        <v>228706</v>
      </c>
      <c r="ER36" s="55">
        <v>232118</v>
      </c>
      <c r="ES36" s="55">
        <v>235776</v>
      </c>
      <c r="ET36" s="55">
        <v>240233</v>
      </c>
      <c r="EU36" s="55">
        <v>244732</v>
      </c>
      <c r="EV36" s="55">
        <v>249679</v>
      </c>
      <c r="EW36" s="55">
        <v>255204</v>
      </c>
      <c r="EX36" s="55">
        <v>261698</v>
      </c>
      <c r="EY36" s="55">
        <v>268723</v>
      </c>
      <c r="EZ36" s="55">
        <v>276929</v>
      </c>
      <c r="FA36" s="56">
        <v>283242</v>
      </c>
      <c r="FB36" s="55">
        <v>292025</v>
      </c>
      <c r="FC36" s="55">
        <v>301234</v>
      </c>
      <c r="FD36" s="55">
        <v>311687</v>
      </c>
      <c r="FE36" s="55">
        <v>320131</v>
      </c>
      <c r="FF36" s="55">
        <v>329697</v>
      </c>
      <c r="FG36" s="55">
        <v>339166</v>
      </c>
      <c r="FH36" s="55">
        <v>347158</v>
      </c>
      <c r="FI36" s="55">
        <v>355438</v>
      </c>
      <c r="FJ36" s="39">
        <v>363286</v>
      </c>
      <c r="FK36" s="39">
        <v>371120</v>
      </c>
      <c r="FL36" s="39">
        <v>378834</v>
      </c>
      <c r="FM36" s="39">
        <v>383875</v>
      </c>
      <c r="FN36" s="77">
        <v>390034</v>
      </c>
      <c r="FO36" s="39">
        <v>396499</v>
      </c>
      <c r="FP36" s="39">
        <v>403058</v>
      </c>
      <c r="FQ36" s="39">
        <v>410111</v>
      </c>
      <c r="FR36" s="39">
        <v>417119</v>
      </c>
      <c r="FS36" s="39">
        <v>423446</v>
      </c>
      <c r="FT36" s="39">
        <v>430298</v>
      </c>
      <c r="FU36" s="39">
        <v>436316</v>
      </c>
      <c r="FV36" s="39">
        <v>442722</v>
      </c>
      <c r="FW36" s="39">
        <v>449926</v>
      </c>
      <c r="FX36" s="39">
        <v>456715</v>
      </c>
      <c r="FY36" s="197">
        <v>461603</v>
      </c>
      <c r="FZ36" s="39">
        <v>467749</v>
      </c>
      <c r="GA36" s="39">
        <v>474744</v>
      </c>
      <c r="GB36" s="39">
        <v>482990</v>
      </c>
      <c r="GC36" s="39">
        <v>490592</v>
      </c>
      <c r="GD36" s="39">
        <v>498862</v>
      </c>
      <c r="GE36" s="39">
        <v>507149</v>
      </c>
      <c r="GF36" s="39">
        <v>516094</v>
      </c>
      <c r="GG36" s="39">
        <v>524013</v>
      </c>
      <c r="GH36" s="39">
        <v>533021</v>
      </c>
      <c r="GI36" s="39">
        <v>542401</v>
      </c>
      <c r="GJ36" s="39">
        <v>550602</v>
      </c>
      <c r="GK36" s="197">
        <v>556582</v>
      </c>
      <c r="GL36" s="39">
        <v>563131</v>
      </c>
      <c r="GM36" s="39">
        <v>570209</v>
      </c>
      <c r="GN36" s="39">
        <v>578255</v>
      </c>
      <c r="GO36" s="39">
        <v>586353</v>
      </c>
    </row>
    <row r="37" spans="1:197" s="1" customFormat="1" ht="20.149999999999999" customHeight="1" x14ac:dyDescent="0.35">
      <c r="A37" s="31" t="s">
        <v>1625</v>
      </c>
      <c r="B37" s="55">
        <v>139</v>
      </c>
      <c r="C37" s="55">
        <v>145</v>
      </c>
      <c r="D37" s="55">
        <v>161</v>
      </c>
      <c r="E37" s="55">
        <v>172</v>
      </c>
      <c r="F37" s="55">
        <v>190</v>
      </c>
      <c r="G37" s="55">
        <v>202</v>
      </c>
      <c r="H37" s="55">
        <v>211</v>
      </c>
      <c r="I37" s="55">
        <v>225</v>
      </c>
      <c r="J37" s="55">
        <v>252</v>
      </c>
      <c r="K37" s="55">
        <v>273</v>
      </c>
      <c r="L37" s="55">
        <v>298</v>
      </c>
      <c r="M37" s="56">
        <v>311</v>
      </c>
      <c r="N37" s="57">
        <v>338</v>
      </c>
      <c r="O37" s="55">
        <v>376</v>
      </c>
      <c r="P37" s="55">
        <v>415</v>
      </c>
      <c r="Q37" s="55">
        <v>463</v>
      </c>
      <c r="R37" s="55">
        <v>517</v>
      </c>
      <c r="S37" s="55">
        <v>572</v>
      </c>
      <c r="T37" s="55">
        <v>688</v>
      </c>
      <c r="U37" s="55">
        <v>799</v>
      </c>
      <c r="V37" s="55">
        <v>945</v>
      </c>
      <c r="W37" s="55">
        <v>1092</v>
      </c>
      <c r="X37" s="55">
        <v>1869</v>
      </c>
      <c r="Y37" s="56">
        <v>3345</v>
      </c>
      <c r="Z37" s="57">
        <v>3390</v>
      </c>
      <c r="AA37" s="55">
        <v>4565</v>
      </c>
      <c r="AB37" s="55">
        <v>5409</v>
      </c>
      <c r="AC37" s="55">
        <v>5478</v>
      </c>
      <c r="AD37" s="55">
        <v>5640</v>
      </c>
      <c r="AE37" s="55">
        <v>5954</v>
      </c>
      <c r="AF37" s="55">
        <v>7251</v>
      </c>
      <c r="AG37" s="55">
        <v>7312</v>
      </c>
      <c r="AH37" s="55">
        <v>7401</v>
      </c>
      <c r="AI37" s="55">
        <v>7702</v>
      </c>
      <c r="AJ37" s="55">
        <v>7806</v>
      </c>
      <c r="AK37" s="56">
        <v>7927</v>
      </c>
      <c r="AL37" s="57">
        <v>8066</v>
      </c>
      <c r="AM37" s="55">
        <v>8306</v>
      </c>
      <c r="AN37" s="55">
        <v>8637</v>
      </c>
      <c r="AO37" s="55">
        <v>8966</v>
      </c>
      <c r="AP37" s="55">
        <v>9268</v>
      </c>
      <c r="AQ37" s="55">
        <v>10004</v>
      </c>
      <c r="AR37" s="55">
        <v>10174</v>
      </c>
      <c r="AS37" s="55">
        <v>10426</v>
      </c>
      <c r="AT37" s="55">
        <v>10695</v>
      </c>
      <c r="AU37" s="55">
        <v>10935</v>
      </c>
      <c r="AV37" s="55">
        <v>11194</v>
      </c>
      <c r="AW37" s="56">
        <v>11454</v>
      </c>
      <c r="AX37" s="55">
        <v>11696</v>
      </c>
      <c r="AY37" s="55">
        <v>11933</v>
      </c>
      <c r="AZ37" s="55">
        <v>12791</v>
      </c>
      <c r="BA37" s="55">
        <v>12959</v>
      </c>
      <c r="BB37" s="55">
        <v>13190</v>
      </c>
      <c r="BC37" s="55">
        <v>13493</v>
      </c>
      <c r="BD37" s="55">
        <v>13785</v>
      </c>
      <c r="BE37" s="55">
        <v>14083</v>
      </c>
      <c r="BF37" s="55">
        <v>14422</v>
      </c>
      <c r="BG37" s="55">
        <v>14742</v>
      </c>
      <c r="BH37" s="55">
        <v>15075</v>
      </c>
      <c r="BI37" s="56">
        <v>15726</v>
      </c>
      <c r="BJ37" s="55">
        <v>15870</v>
      </c>
      <c r="BK37" s="55">
        <v>16142</v>
      </c>
      <c r="BL37" s="55">
        <v>16634</v>
      </c>
      <c r="BM37" s="55">
        <v>16906</v>
      </c>
      <c r="BN37" s="55">
        <v>17181</v>
      </c>
      <c r="BO37" s="55">
        <v>17645</v>
      </c>
      <c r="BP37" s="55">
        <v>18007</v>
      </c>
      <c r="BQ37" s="55">
        <v>18403</v>
      </c>
      <c r="BR37" s="55">
        <v>19256</v>
      </c>
      <c r="BS37" s="55">
        <v>19716</v>
      </c>
      <c r="BT37" s="55">
        <v>20442</v>
      </c>
      <c r="BU37" s="56">
        <v>22446</v>
      </c>
      <c r="BV37" s="55">
        <v>23388</v>
      </c>
      <c r="BW37" s="55">
        <v>23472</v>
      </c>
      <c r="BX37" s="55">
        <v>23660</v>
      </c>
      <c r="BY37" s="55">
        <v>23777</v>
      </c>
      <c r="BZ37" s="55">
        <v>23894</v>
      </c>
      <c r="CA37" s="55">
        <v>24059</v>
      </c>
      <c r="CB37" s="55">
        <v>24214</v>
      </c>
      <c r="CC37" s="55">
        <v>24415</v>
      </c>
      <c r="CD37" s="55">
        <v>24713</v>
      </c>
      <c r="CE37" s="55">
        <v>24841</v>
      </c>
      <c r="CF37" s="55">
        <v>24986</v>
      </c>
      <c r="CG37" s="56">
        <v>25167</v>
      </c>
      <c r="CH37" s="55">
        <v>25251</v>
      </c>
      <c r="CI37" s="55">
        <v>25351</v>
      </c>
      <c r="CJ37" s="55">
        <v>25554</v>
      </c>
      <c r="CK37" s="55">
        <v>25679</v>
      </c>
      <c r="CL37" s="55">
        <v>25830</v>
      </c>
      <c r="CM37" s="55">
        <v>26015</v>
      </c>
      <c r="CN37" s="55">
        <v>26171</v>
      </c>
      <c r="CO37" s="55">
        <v>26336</v>
      </c>
      <c r="CP37" s="55">
        <v>26535</v>
      </c>
      <c r="CQ37" s="55">
        <v>26699</v>
      </c>
      <c r="CR37" s="55">
        <v>26895</v>
      </c>
      <c r="CS37" s="56">
        <v>27051</v>
      </c>
      <c r="CT37" s="55">
        <v>27216</v>
      </c>
      <c r="CU37" s="55">
        <v>27374</v>
      </c>
      <c r="CV37" s="55">
        <v>27596</v>
      </c>
      <c r="CW37" s="55">
        <v>27736</v>
      </c>
      <c r="CX37" s="55">
        <v>27888</v>
      </c>
      <c r="CY37" s="55">
        <v>28083</v>
      </c>
      <c r="CZ37" s="55">
        <v>28266</v>
      </c>
      <c r="DA37" s="55">
        <v>28473</v>
      </c>
      <c r="DB37" s="55">
        <v>28655</v>
      </c>
      <c r="DC37" s="55">
        <v>28871</v>
      </c>
      <c r="DD37" s="55">
        <v>29084</v>
      </c>
      <c r="DE37" s="56">
        <v>29313</v>
      </c>
      <c r="DF37" s="55">
        <v>29582</v>
      </c>
      <c r="DG37" s="55">
        <v>29985</v>
      </c>
      <c r="DH37" s="55">
        <v>31580</v>
      </c>
      <c r="DI37" s="55">
        <v>31651</v>
      </c>
      <c r="DJ37" s="55">
        <v>31720</v>
      </c>
      <c r="DK37" s="55">
        <v>31816</v>
      </c>
      <c r="DL37" s="55">
        <v>31924</v>
      </c>
      <c r="DM37" s="55">
        <v>32061</v>
      </c>
      <c r="DN37" s="55">
        <v>32197</v>
      </c>
      <c r="DO37" s="55">
        <v>32336</v>
      </c>
      <c r="DP37" s="55">
        <v>32490</v>
      </c>
      <c r="DQ37" s="56">
        <v>32601</v>
      </c>
      <c r="DR37" s="55">
        <v>32759</v>
      </c>
      <c r="DS37" s="55">
        <v>32919</v>
      </c>
      <c r="DT37" s="55">
        <v>33134</v>
      </c>
      <c r="DU37" s="55">
        <v>33185</v>
      </c>
      <c r="DV37" s="55">
        <v>33236</v>
      </c>
      <c r="DW37" s="55">
        <v>33358</v>
      </c>
      <c r="DX37" s="55">
        <v>33503</v>
      </c>
      <c r="DY37" s="55">
        <v>33617</v>
      </c>
      <c r="DZ37" s="55">
        <v>33788</v>
      </c>
      <c r="EA37" s="55">
        <v>33962</v>
      </c>
      <c r="EB37" s="55">
        <v>34151</v>
      </c>
      <c r="EC37" s="56">
        <v>34290</v>
      </c>
      <c r="ED37" s="55">
        <v>34429</v>
      </c>
      <c r="EE37" s="55">
        <v>34591</v>
      </c>
      <c r="EF37" s="55">
        <v>34820</v>
      </c>
      <c r="EG37" s="55">
        <v>35001</v>
      </c>
      <c r="EH37" s="55">
        <v>35179</v>
      </c>
      <c r="EI37" s="55">
        <v>35346</v>
      </c>
      <c r="EJ37" s="55">
        <v>35570</v>
      </c>
      <c r="EK37" s="55">
        <v>35818</v>
      </c>
      <c r="EL37" s="55">
        <v>36056</v>
      </c>
      <c r="EM37" s="55">
        <v>36303</v>
      </c>
      <c r="EN37" s="55">
        <v>36606</v>
      </c>
      <c r="EO37" s="56">
        <v>36772</v>
      </c>
      <c r="EP37" s="55">
        <v>36995</v>
      </c>
      <c r="EQ37" s="55">
        <v>37237</v>
      </c>
      <c r="ER37" s="55">
        <v>37608</v>
      </c>
      <c r="ES37" s="55">
        <v>37887</v>
      </c>
      <c r="ET37" s="55">
        <v>38259</v>
      </c>
      <c r="EU37" s="55">
        <v>38608</v>
      </c>
      <c r="EV37" s="55">
        <v>38973</v>
      </c>
      <c r="EW37" s="55">
        <v>39363</v>
      </c>
      <c r="EX37" s="55">
        <v>39772</v>
      </c>
      <c r="EY37" s="55">
        <v>40210</v>
      </c>
      <c r="EZ37" s="55">
        <v>40738</v>
      </c>
      <c r="FA37" s="56">
        <v>41143</v>
      </c>
      <c r="FB37" s="55">
        <v>41678</v>
      </c>
      <c r="FC37" s="55">
        <v>42381</v>
      </c>
      <c r="FD37" s="55">
        <v>43185</v>
      </c>
      <c r="FE37" s="55">
        <v>43902</v>
      </c>
      <c r="FF37" s="55">
        <v>44804</v>
      </c>
      <c r="FG37" s="55">
        <v>45785</v>
      </c>
      <c r="FH37" s="55">
        <v>46633</v>
      </c>
      <c r="FI37" s="55">
        <v>47467</v>
      </c>
      <c r="FJ37" s="39">
        <v>48388</v>
      </c>
      <c r="FK37" s="39">
        <v>49196</v>
      </c>
      <c r="FL37" s="39">
        <v>50020</v>
      </c>
      <c r="FM37" s="39">
        <v>50539</v>
      </c>
      <c r="FN37" s="77">
        <v>51294</v>
      </c>
      <c r="FO37" s="39">
        <v>51969</v>
      </c>
      <c r="FP37" s="39">
        <v>52741</v>
      </c>
      <c r="FQ37" s="39">
        <v>53543</v>
      </c>
      <c r="FR37" s="39">
        <v>54488</v>
      </c>
      <c r="FS37" s="39">
        <v>55372</v>
      </c>
      <c r="FT37" s="39">
        <v>56336</v>
      </c>
      <c r="FU37" s="39">
        <v>57250</v>
      </c>
      <c r="FV37" s="39">
        <v>58135</v>
      </c>
      <c r="FW37" s="39">
        <v>59079</v>
      </c>
      <c r="FX37" s="39">
        <v>60046</v>
      </c>
      <c r="FY37" s="197">
        <v>60727</v>
      </c>
      <c r="FZ37" s="39">
        <v>61669</v>
      </c>
      <c r="GA37" s="39">
        <v>62756</v>
      </c>
      <c r="GB37" s="39">
        <v>63975</v>
      </c>
      <c r="GC37" s="39">
        <v>65168</v>
      </c>
      <c r="GD37" s="39">
        <v>66502</v>
      </c>
      <c r="GE37" s="39">
        <v>67789</v>
      </c>
      <c r="GF37" s="39">
        <v>69175</v>
      </c>
      <c r="GG37" s="39">
        <v>70424</v>
      </c>
      <c r="GH37" s="39">
        <v>71859</v>
      </c>
      <c r="GI37" s="39">
        <v>73253</v>
      </c>
      <c r="GJ37" s="39">
        <v>74482</v>
      </c>
      <c r="GK37" s="197">
        <v>75575</v>
      </c>
      <c r="GL37" s="39">
        <v>76786</v>
      </c>
      <c r="GM37" s="39">
        <v>78137</v>
      </c>
      <c r="GN37" s="39">
        <v>79786</v>
      </c>
      <c r="GO37" s="39">
        <v>81403</v>
      </c>
    </row>
    <row r="38" spans="1:197" s="1" customFormat="1" ht="20.149999999999999" customHeight="1" x14ac:dyDescent="0.35">
      <c r="A38" s="31" t="s">
        <v>1627</v>
      </c>
      <c r="B38" s="55">
        <v>17</v>
      </c>
      <c r="C38" s="55">
        <v>17</v>
      </c>
      <c r="D38" s="55">
        <v>17</v>
      </c>
      <c r="E38" s="55">
        <v>17</v>
      </c>
      <c r="F38" s="55">
        <v>19</v>
      </c>
      <c r="G38" s="55">
        <v>21</v>
      </c>
      <c r="H38" s="55">
        <v>23</v>
      </c>
      <c r="I38" s="55">
        <v>23</v>
      </c>
      <c r="J38" s="55">
        <v>23</v>
      </c>
      <c r="K38" s="55">
        <v>27</v>
      </c>
      <c r="L38" s="55">
        <v>28</v>
      </c>
      <c r="M38" s="56">
        <v>30</v>
      </c>
      <c r="N38" s="57">
        <v>30</v>
      </c>
      <c r="O38" s="55">
        <v>33</v>
      </c>
      <c r="P38" s="55">
        <v>36</v>
      </c>
      <c r="Q38" s="55">
        <v>45</v>
      </c>
      <c r="R38" s="55">
        <v>57</v>
      </c>
      <c r="S38" s="55">
        <v>93</v>
      </c>
      <c r="T38" s="55">
        <v>304</v>
      </c>
      <c r="U38" s="55">
        <v>309</v>
      </c>
      <c r="V38" s="55">
        <v>325</v>
      </c>
      <c r="W38" s="55">
        <v>353</v>
      </c>
      <c r="X38" s="55">
        <v>371</v>
      </c>
      <c r="Y38" s="56">
        <v>430</v>
      </c>
      <c r="Z38" s="57">
        <v>432</v>
      </c>
      <c r="AA38" s="55">
        <v>496</v>
      </c>
      <c r="AB38" s="55">
        <v>544</v>
      </c>
      <c r="AC38" s="55">
        <v>550</v>
      </c>
      <c r="AD38" s="55">
        <v>564</v>
      </c>
      <c r="AE38" s="55">
        <v>600</v>
      </c>
      <c r="AF38" s="55">
        <v>811</v>
      </c>
      <c r="AG38" s="55">
        <v>832</v>
      </c>
      <c r="AH38" s="55">
        <v>849</v>
      </c>
      <c r="AI38" s="55">
        <v>895</v>
      </c>
      <c r="AJ38" s="55">
        <v>912</v>
      </c>
      <c r="AK38" s="56">
        <v>933</v>
      </c>
      <c r="AL38" s="57">
        <v>955</v>
      </c>
      <c r="AM38" s="55">
        <v>984</v>
      </c>
      <c r="AN38" s="55">
        <v>1050</v>
      </c>
      <c r="AO38" s="55">
        <v>1168</v>
      </c>
      <c r="AP38" s="55">
        <v>1226</v>
      </c>
      <c r="AQ38" s="55">
        <v>1344</v>
      </c>
      <c r="AR38" s="55">
        <v>1405</v>
      </c>
      <c r="AS38" s="55">
        <v>1480</v>
      </c>
      <c r="AT38" s="55">
        <v>1541</v>
      </c>
      <c r="AU38" s="55">
        <v>1589</v>
      </c>
      <c r="AV38" s="55">
        <v>1658</v>
      </c>
      <c r="AW38" s="56">
        <v>1765</v>
      </c>
      <c r="AX38" s="55">
        <v>1810</v>
      </c>
      <c r="AY38" s="55">
        <v>1873</v>
      </c>
      <c r="AZ38" s="55">
        <v>2067</v>
      </c>
      <c r="BA38" s="55">
        <v>2102</v>
      </c>
      <c r="BB38" s="55">
        <v>2154</v>
      </c>
      <c r="BC38" s="55">
        <v>2294</v>
      </c>
      <c r="BD38" s="55">
        <v>2372</v>
      </c>
      <c r="BE38" s="55">
        <v>2444</v>
      </c>
      <c r="BF38" s="55">
        <v>2566</v>
      </c>
      <c r="BG38" s="55">
        <v>2681</v>
      </c>
      <c r="BH38" s="55">
        <v>2788</v>
      </c>
      <c r="BI38" s="56">
        <v>2945</v>
      </c>
      <c r="BJ38" s="55">
        <v>3013</v>
      </c>
      <c r="BK38" s="55">
        <v>3075</v>
      </c>
      <c r="BL38" s="55">
        <v>3326</v>
      </c>
      <c r="BM38" s="55">
        <v>3402</v>
      </c>
      <c r="BN38" s="55">
        <v>3484</v>
      </c>
      <c r="BO38" s="55">
        <v>3707</v>
      </c>
      <c r="BP38" s="55">
        <v>3814</v>
      </c>
      <c r="BQ38" s="55">
        <v>3926</v>
      </c>
      <c r="BR38" s="55">
        <v>4126</v>
      </c>
      <c r="BS38" s="55">
        <v>4286</v>
      </c>
      <c r="BT38" s="55">
        <v>4522</v>
      </c>
      <c r="BU38" s="56">
        <v>5178</v>
      </c>
      <c r="BV38" s="55">
        <v>5382</v>
      </c>
      <c r="BW38" s="55">
        <v>5440</v>
      </c>
      <c r="BX38" s="55">
        <v>5676</v>
      </c>
      <c r="BY38" s="55">
        <v>5702</v>
      </c>
      <c r="BZ38" s="55">
        <v>5736</v>
      </c>
      <c r="CA38" s="55">
        <v>5794</v>
      </c>
      <c r="CB38" s="55">
        <v>5811</v>
      </c>
      <c r="CC38" s="55">
        <v>5837</v>
      </c>
      <c r="CD38" s="55">
        <v>5878</v>
      </c>
      <c r="CE38" s="55">
        <v>5906</v>
      </c>
      <c r="CF38" s="55">
        <v>5929</v>
      </c>
      <c r="CG38" s="56">
        <v>5968</v>
      </c>
      <c r="CH38" s="55">
        <v>5974</v>
      </c>
      <c r="CI38" s="55">
        <v>5997</v>
      </c>
      <c r="CJ38" s="55">
        <v>6102</v>
      </c>
      <c r="CK38" s="55">
        <v>6122</v>
      </c>
      <c r="CL38" s="55">
        <v>6135</v>
      </c>
      <c r="CM38" s="55">
        <v>6158</v>
      </c>
      <c r="CN38" s="55">
        <v>6176</v>
      </c>
      <c r="CO38" s="55">
        <v>6200</v>
      </c>
      <c r="CP38" s="55">
        <v>6224</v>
      </c>
      <c r="CQ38" s="55">
        <v>6239</v>
      </c>
      <c r="CR38" s="55">
        <v>6257</v>
      </c>
      <c r="CS38" s="56">
        <v>6265</v>
      </c>
      <c r="CT38" s="55">
        <v>6275</v>
      </c>
      <c r="CU38" s="55">
        <v>6283</v>
      </c>
      <c r="CV38" s="55">
        <v>6298</v>
      </c>
      <c r="CW38" s="55">
        <v>6312</v>
      </c>
      <c r="CX38" s="55">
        <v>6325</v>
      </c>
      <c r="CY38" s="55">
        <v>6336</v>
      </c>
      <c r="CZ38" s="55">
        <v>6347</v>
      </c>
      <c r="DA38" s="55">
        <v>6367</v>
      </c>
      <c r="DB38" s="55">
        <v>6384</v>
      </c>
      <c r="DC38" s="55">
        <v>6396</v>
      </c>
      <c r="DD38" s="55">
        <v>6422</v>
      </c>
      <c r="DE38" s="56">
        <v>6453</v>
      </c>
      <c r="DF38" s="55">
        <v>6464</v>
      </c>
      <c r="DG38" s="55">
        <v>6478</v>
      </c>
      <c r="DH38" s="55">
        <v>6514</v>
      </c>
      <c r="DI38" s="55">
        <v>6530</v>
      </c>
      <c r="DJ38" s="55">
        <v>6536</v>
      </c>
      <c r="DK38" s="55">
        <v>6545</v>
      </c>
      <c r="DL38" s="55">
        <v>6555</v>
      </c>
      <c r="DM38" s="55">
        <v>6570</v>
      </c>
      <c r="DN38" s="55">
        <v>6585</v>
      </c>
      <c r="DO38" s="55">
        <v>6595</v>
      </c>
      <c r="DP38" s="55">
        <v>6600</v>
      </c>
      <c r="DQ38" s="56">
        <v>6606</v>
      </c>
      <c r="DR38" s="55">
        <v>6616</v>
      </c>
      <c r="DS38" s="55">
        <v>6621</v>
      </c>
      <c r="DT38" s="55">
        <v>6638</v>
      </c>
      <c r="DU38" s="55">
        <v>6646</v>
      </c>
      <c r="DV38" s="55">
        <v>6649</v>
      </c>
      <c r="DW38" s="55">
        <v>6652</v>
      </c>
      <c r="DX38" s="55">
        <v>6659</v>
      </c>
      <c r="DY38" s="55">
        <v>6671</v>
      </c>
      <c r="DZ38" s="55">
        <v>6681</v>
      </c>
      <c r="EA38" s="55">
        <v>6685</v>
      </c>
      <c r="EB38" s="55">
        <v>6689</v>
      </c>
      <c r="EC38" s="56">
        <v>6698</v>
      </c>
      <c r="ED38" s="55">
        <v>6704</v>
      </c>
      <c r="EE38" s="55">
        <v>6709</v>
      </c>
      <c r="EF38" s="55">
        <v>6717</v>
      </c>
      <c r="EG38" s="55">
        <v>6723</v>
      </c>
      <c r="EH38" s="55">
        <v>6729</v>
      </c>
      <c r="EI38" s="55">
        <v>6738</v>
      </c>
      <c r="EJ38" s="55">
        <v>6749</v>
      </c>
      <c r="EK38" s="55">
        <v>6756</v>
      </c>
      <c r="EL38" s="55">
        <v>6773</v>
      </c>
      <c r="EM38" s="55">
        <v>6787</v>
      </c>
      <c r="EN38" s="55">
        <v>6803</v>
      </c>
      <c r="EO38" s="56">
        <v>6817</v>
      </c>
      <c r="EP38" s="55">
        <v>6834</v>
      </c>
      <c r="EQ38" s="55">
        <v>6848</v>
      </c>
      <c r="ER38" s="55">
        <v>6865</v>
      </c>
      <c r="ES38" s="55">
        <v>6883</v>
      </c>
      <c r="ET38" s="55">
        <v>6903</v>
      </c>
      <c r="EU38" s="55">
        <v>6925</v>
      </c>
      <c r="EV38" s="55">
        <v>6939</v>
      </c>
      <c r="EW38" s="55">
        <v>6952</v>
      </c>
      <c r="EX38" s="55">
        <v>6970</v>
      </c>
      <c r="EY38" s="55">
        <v>7000</v>
      </c>
      <c r="EZ38" s="55">
        <v>7025</v>
      </c>
      <c r="FA38" s="56">
        <v>7045</v>
      </c>
      <c r="FB38" s="55">
        <v>7072</v>
      </c>
      <c r="FC38" s="55">
        <v>7098</v>
      </c>
      <c r="FD38" s="55">
        <v>7153</v>
      </c>
      <c r="FE38" s="55">
        <v>7194</v>
      </c>
      <c r="FF38" s="55">
        <v>7246</v>
      </c>
      <c r="FG38" s="55">
        <v>7304</v>
      </c>
      <c r="FH38" s="55">
        <v>7350</v>
      </c>
      <c r="FI38" s="55">
        <v>7401</v>
      </c>
      <c r="FJ38" s="39">
        <v>7450</v>
      </c>
      <c r="FK38" s="39">
        <v>7493</v>
      </c>
      <c r="FL38" s="39">
        <v>7534</v>
      </c>
      <c r="FM38" s="39">
        <v>7557</v>
      </c>
      <c r="FN38" s="77">
        <v>7592</v>
      </c>
      <c r="FO38" s="39">
        <v>7629</v>
      </c>
      <c r="FP38" s="39">
        <v>7669</v>
      </c>
      <c r="FQ38" s="39">
        <v>7711</v>
      </c>
      <c r="FR38" s="39">
        <v>7755</v>
      </c>
      <c r="FS38" s="39">
        <v>7787</v>
      </c>
      <c r="FT38" s="39">
        <v>7833</v>
      </c>
      <c r="FU38" s="39">
        <v>7870</v>
      </c>
      <c r="FV38" s="39">
        <v>7893</v>
      </c>
      <c r="FW38" s="39">
        <v>7923</v>
      </c>
      <c r="FX38" s="39">
        <v>7962</v>
      </c>
      <c r="FY38" s="197">
        <v>7982</v>
      </c>
      <c r="FZ38" s="39">
        <v>8005</v>
      </c>
      <c r="GA38" s="39">
        <v>8040</v>
      </c>
      <c r="GB38" s="39">
        <v>8068</v>
      </c>
      <c r="GC38" s="39">
        <v>8093</v>
      </c>
      <c r="GD38" s="39">
        <v>8137</v>
      </c>
      <c r="GE38" s="39">
        <v>8172</v>
      </c>
      <c r="GF38" s="39">
        <v>8211</v>
      </c>
      <c r="GG38" s="39">
        <v>8246</v>
      </c>
      <c r="GH38" s="39">
        <v>8289</v>
      </c>
      <c r="GI38" s="39">
        <v>8337</v>
      </c>
      <c r="GJ38" s="39">
        <v>8367</v>
      </c>
      <c r="GK38" s="197">
        <v>8386</v>
      </c>
      <c r="GL38" s="39">
        <v>8403</v>
      </c>
      <c r="GM38" s="39">
        <v>8432</v>
      </c>
      <c r="GN38" s="39">
        <v>8464</v>
      </c>
      <c r="GO38" s="39">
        <v>8492</v>
      </c>
    </row>
    <row r="39" spans="1:197" s="1" customFormat="1" ht="20.149999999999999" customHeight="1" x14ac:dyDescent="0.35">
      <c r="A39" s="31" t="s">
        <v>1624</v>
      </c>
      <c r="B39" s="55">
        <v>0</v>
      </c>
      <c r="C39" s="55">
        <v>0</v>
      </c>
      <c r="D39" s="55">
        <v>0</v>
      </c>
      <c r="E39" s="55">
        <v>0</v>
      </c>
      <c r="F39" s="55">
        <v>0</v>
      </c>
      <c r="G39" s="55">
        <v>0</v>
      </c>
      <c r="H39" s="55">
        <v>0</v>
      </c>
      <c r="I39" s="55">
        <v>0</v>
      </c>
      <c r="J39" s="55">
        <v>0</v>
      </c>
      <c r="K39" s="55">
        <v>0</v>
      </c>
      <c r="L39" s="55">
        <v>0</v>
      </c>
      <c r="M39" s="56">
        <v>0</v>
      </c>
      <c r="N39" s="57">
        <v>0</v>
      </c>
      <c r="O39" s="55">
        <v>0</v>
      </c>
      <c r="P39" s="55">
        <v>0</v>
      </c>
      <c r="Q39" s="55">
        <v>0</v>
      </c>
      <c r="R39" s="55">
        <v>0</v>
      </c>
      <c r="S39" s="55">
        <v>0</v>
      </c>
      <c r="T39" s="55">
        <v>0</v>
      </c>
      <c r="U39" s="55">
        <v>0</v>
      </c>
      <c r="V39" s="55">
        <v>0</v>
      </c>
      <c r="W39" s="55">
        <v>0</v>
      </c>
      <c r="X39" s="55">
        <v>0</v>
      </c>
      <c r="Y39" s="56">
        <v>0</v>
      </c>
      <c r="Z39" s="57">
        <v>1</v>
      </c>
      <c r="AA39" s="55">
        <v>1</v>
      </c>
      <c r="AB39" s="55">
        <v>1</v>
      </c>
      <c r="AC39" s="55">
        <v>1</v>
      </c>
      <c r="AD39" s="55">
        <v>1</v>
      </c>
      <c r="AE39" s="55">
        <v>1</v>
      </c>
      <c r="AF39" s="55">
        <v>1</v>
      </c>
      <c r="AG39" s="55">
        <v>1</v>
      </c>
      <c r="AH39" s="55">
        <v>1</v>
      </c>
      <c r="AI39" s="55">
        <v>1</v>
      </c>
      <c r="AJ39" s="55">
        <v>1</v>
      </c>
      <c r="AK39" s="56">
        <v>1</v>
      </c>
      <c r="AL39" s="57">
        <v>1</v>
      </c>
      <c r="AM39" s="55">
        <v>7</v>
      </c>
      <c r="AN39" s="55">
        <v>41</v>
      </c>
      <c r="AO39" s="55">
        <v>41</v>
      </c>
      <c r="AP39" s="55">
        <v>44</v>
      </c>
      <c r="AQ39" s="55">
        <v>51</v>
      </c>
      <c r="AR39" s="55">
        <v>51</v>
      </c>
      <c r="AS39" s="55">
        <v>54</v>
      </c>
      <c r="AT39" s="55">
        <v>54</v>
      </c>
      <c r="AU39" s="55">
        <v>54</v>
      </c>
      <c r="AV39" s="55">
        <v>58</v>
      </c>
      <c r="AW39" s="56">
        <v>60</v>
      </c>
      <c r="AX39" s="55">
        <v>68</v>
      </c>
      <c r="AY39" s="55">
        <v>72</v>
      </c>
      <c r="AZ39" s="55">
        <v>144</v>
      </c>
      <c r="BA39" s="55">
        <v>145</v>
      </c>
      <c r="BB39" s="55">
        <v>149</v>
      </c>
      <c r="BC39" s="55">
        <v>154</v>
      </c>
      <c r="BD39" s="55">
        <v>161</v>
      </c>
      <c r="BE39" s="55">
        <v>162</v>
      </c>
      <c r="BF39" s="55">
        <v>170</v>
      </c>
      <c r="BG39" s="55">
        <v>175</v>
      </c>
      <c r="BH39" s="55">
        <v>181</v>
      </c>
      <c r="BI39" s="56">
        <v>190</v>
      </c>
      <c r="BJ39" s="55">
        <v>196</v>
      </c>
      <c r="BK39" s="55">
        <v>206</v>
      </c>
      <c r="BL39" s="55">
        <v>335</v>
      </c>
      <c r="BM39" s="55">
        <v>335</v>
      </c>
      <c r="BN39" s="55">
        <v>335</v>
      </c>
      <c r="BO39" s="55">
        <v>336</v>
      </c>
      <c r="BP39" s="55">
        <v>337</v>
      </c>
      <c r="BQ39" s="55">
        <v>341</v>
      </c>
      <c r="BR39" s="55">
        <v>341</v>
      </c>
      <c r="BS39" s="55">
        <v>344</v>
      </c>
      <c r="BT39" s="55">
        <v>348</v>
      </c>
      <c r="BU39" s="56">
        <v>356</v>
      </c>
      <c r="BV39" s="55">
        <v>360</v>
      </c>
      <c r="BW39" s="55">
        <v>362</v>
      </c>
      <c r="BX39" s="55">
        <v>387</v>
      </c>
      <c r="BY39" s="55">
        <v>388</v>
      </c>
      <c r="BZ39" s="55">
        <v>388</v>
      </c>
      <c r="CA39" s="55">
        <v>396</v>
      </c>
      <c r="CB39" s="55">
        <v>397</v>
      </c>
      <c r="CC39" s="55">
        <v>399</v>
      </c>
      <c r="CD39" s="55">
        <v>399</v>
      </c>
      <c r="CE39" s="55">
        <v>400</v>
      </c>
      <c r="CF39" s="55">
        <v>400</v>
      </c>
      <c r="CG39" s="56">
        <v>405</v>
      </c>
      <c r="CH39" s="55">
        <v>408</v>
      </c>
      <c r="CI39" s="55">
        <v>409</v>
      </c>
      <c r="CJ39" s="55">
        <v>425</v>
      </c>
      <c r="CK39" s="55">
        <v>425</v>
      </c>
      <c r="CL39" s="55">
        <v>425</v>
      </c>
      <c r="CM39" s="55">
        <v>425</v>
      </c>
      <c r="CN39" s="55">
        <v>426</v>
      </c>
      <c r="CO39" s="55">
        <v>426</v>
      </c>
      <c r="CP39" s="55">
        <v>426</v>
      </c>
      <c r="CQ39" s="55">
        <v>427</v>
      </c>
      <c r="CR39" s="55">
        <v>427</v>
      </c>
      <c r="CS39" s="56">
        <v>427</v>
      </c>
      <c r="CT39" s="55">
        <v>427</v>
      </c>
      <c r="CU39" s="55">
        <v>427</v>
      </c>
      <c r="CV39" s="55">
        <v>427</v>
      </c>
      <c r="CW39" s="55">
        <v>427</v>
      </c>
      <c r="CX39" s="55">
        <v>427</v>
      </c>
      <c r="CY39" s="55">
        <v>427</v>
      </c>
      <c r="CZ39" s="55">
        <v>427</v>
      </c>
      <c r="DA39" s="55">
        <v>427</v>
      </c>
      <c r="DB39" s="55">
        <v>427</v>
      </c>
      <c r="DC39" s="55">
        <v>428</v>
      </c>
      <c r="DD39" s="55">
        <v>428</v>
      </c>
      <c r="DE39" s="56">
        <v>429</v>
      </c>
      <c r="DF39" s="55">
        <v>430</v>
      </c>
      <c r="DG39" s="55">
        <v>430</v>
      </c>
      <c r="DH39" s="55">
        <v>430</v>
      </c>
      <c r="DI39" s="55">
        <v>430</v>
      </c>
      <c r="DJ39" s="55">
        <v>430</v>
      </c>
      <c r="DK39" s="55">
        <v>430</v>
      </c>
      <c r="DL39" s="55">
        <v>431</v>
      </c>
      <c r="DM39" s="55">
        <v>431</v>
      </c>
      <c r="DN39" s="55">
        <v>432</v>
      </c>
      <c r="DO39" s="55">
        <v>432</v>
      </c>
      <c r="DP39" s="55">
        <v>432</v>
      </c>
      <c r="DQ39" s="56">
        <v>432</v>
      </c>
      <c r="DR39" s="55">
        <v>434</v>
      </c>
      <c r="DS39" s="55">
        <v>435</v>
      </c>
      <c r="DT39" s="55">
        <v>435</v>
      </c>
      <c r="DU39" s="55">
        <v>435</v>
      </c>
      <c r="DV39" s="55">
        <v>436</v>
      </c>
      <c r="DW39" s="55">
        <v>436</v>
      </c>
      <c r="DX39" s="55">
        <v>436</v>
      </c>
      <c r="DY39" s="55">
        <v>437</v>
      </c>
      <c r="DZ39" s="55">
        <v>437</v>
      </c>
      <c r="EA39" s="55">
        <v>437</v>
      </c>
      <c r="EB39" s="55">
        <v>437</v>
      </c>
      <c r="EC39" s="56">
        <v>438</v>
      </c>
      <c r="ED39" s="55">
        <v>439</v>
      </c>
      <c r="EE39" s="55">
        <v>439</v>
      </c>
      <c r="EF39" s="55">
        <v>440</v>
      </c>
      <c r="EG39" s="55">
        <v>440</v>
      </c>
      <c r="EH39" s="55">
        <v>441</v>
      </c>
      <c r="EI39" s="55">
        <v>443</v>
      </c>
      <c r="EJ39" s="55">
        <v>443</v>
      </c>
      <c r="EK39" s="55">
        <v>443</v>
      </c>
      <c r="EL39" s="55">
        <v>443</v>
      </c>
      <c r="EM39" s="55">
        <v>443</v>
      </c>
      <c r="EN39" s="55">
        <v>443</v>
      </c>
      <c r="EO39" s="56">
        <v>443</v>
      </c>
      <c r="EP39" s="55">
        <v>446</v>
      </c>
      <c r="EQ39" s="55">
        <v>446</v>
      </c>
      <c r="ER39" s="55">
        <v>447</v>
      </c>
      <c r="ES39" s="55">
        <v>447</v>
      </c>
      <c r="ET39" s="55">
        <v>447</v>
      </c>
      <c r="EU39" s="55">
        <v>447</v>
      </c>
      <c r="EV39" s="55">
        <v>448</v>
      </c>
      <c r="EW39" s="55">
        <v>448</v>
      </c>
      <c r="EX39" s="55">
        <v>449</v>
      </c>
      <c r="EY39" s="55">
        <v>449</v>
      </c>
      <c r="EZ39" s="55">
        <v>449</v>
      </c>
      <c r="FA39" s="56">
        <v>450</v>
      </c>
      <c r="FB39" s="55">
        <v>453</v>
      </c>
      <c r="FC39" s="55">
        <v>454</v>
      </c>
      <c r="FD39" s="55">
        <v>457</v>
      </c>
      <c r="FE39" s="55">
        <v>458</v>
      </c>
      <c r="FF39" s="55">
        <v>458</v>
      </c>
      <c r="FG39" s="55">
        <v>458</v>
      </c>
      <c r="FH39" s="55">
        <v>458</v>
      </c>
      <c r="FI39" s="55">
        <v>458</v>
      </c>
      <c r="FJ39" s="39">
        <v>459</v>
      </c>
      <c r="FK39" s="39">
        <v>463</v>
      </c>
      <c r="FL39" s="39">
        <v>464</v>
      </c>
      <c r="FM39" s="39">
        <v>464</v>
      </c>
      <c r="FN39" s="77">
        <v>468</v>
      </c>
      <c r="FO39" s="39">
        <v>468</v>
      </c>
      <c r="FP39" s="39">
        <v>473</v>
      </c>
      <c r="FQ39" s="39">
        <v>476</v>
      </c>
      <c r="FR39" s="39">
        <v>476</v>
      </c>
      <c r="FS39" s="39">
        <v>478</v>
      </c>
      <c r="FT39" s="39">
        <v>478</v>
      </c>
      <c r="FU39" s="39">
        <v>478</v>
      </c>
      <c r="FV39" s="39">
        <v>478</v>
      </c>
      <c r="FW39" s="39">
        <v>479</v>
      </c>
      <c r="FX39" s="39">
        <v>479</v>
      </c>
      <c r="FY39" s="197">
        <v>481</v>
      </c>
      <c r="FZ39" s="39">
        <v>485</v>
      </c>
      <c r="GA39" s="39">
        <v>486</v>
      </c>
      <c r="GB39" s="39">
        <v>486</v>
      </c>
      <c r="GC39" s="39">
        <v>486</v>
      </c>
      <c r="GD39" s="39">
        <v>486</v>
      </c>
      <c r="GE39" s="39">
        <v>488</v>
      </c>
      <c r="GF39" s="39">
        <v>488</v>
      </c>
      <c r="GG39" s="39">
        <v>489</v>
      </c>
      <c r="GH39" s="39">
        <v>489</v>
      </c>
      <c r="GI39" s="39">
        <v>490</v>
      </c>
      <c r="GJ39" s="39">
        <v>490</v>
      </c>
      <c r="GK39" s="197">
        <v>490</v>
      </c>
      <c r="GL39" s="39">
        <v>490</v>
      </c>
      <c r="GM39" s="39">
        <v>490</v>
      </c>
      <c r="GN39" s="39">
        <v>490</v>
      </c>
      <c r="GO39" s="39">
        <v>490</v>
      </c>
    </row>
    <row r="40" spans="1:197" s="1" customFormat="1" ht="20.149999999999999" customHeight="1" x14ac:dyDescent="0.4">
      <c r="A40" s="31" t="s">
        <v>1628</v>
      </c>
      <c r="B40" s="58">
        <v>0</v>
      </c>
      <c r="C40" s="58">
        <v>0</v>
      </c>
      <c r="D40" s="58">
        <v>0</v>
      </c>
      <c r="E40" s="58">
        <v>0</v>
      </c>
      <c r="F40" s="58">
        <v>0</v>
      </c>
      <c r="G40" s="58">
        <v>0</v>
      </c>
      <c r="H40" s="58">
        <v>0</v>
      </c>
      <c r="I40" s="58">
        <v>0</v>
      </c>
      <c r="J40" s="58">
        <v>0</v>
      </c>
      <c r="K40" s="58">
        <v>0</v>
      </c>
      <c r="L40" s="58">
        <v>0</v>
      </c>
      <c r="M40" s="59">
        <v>0</v>
      </c>
      <c r="N40" s="60">
        <v>0</v>
      </c>
      <c r="O40" s="58">
        <v>0</v>
      </c>
      <c r="P40" s="58">
        <v>0</v>
      </c>
      <c r="Q40" s="58">
        <v>0</v>
      </c>
      <c r="R40" s="58">
        <v>0</v>
      </c>
      <c r="S40" s="58">
        <v>0</v>
      </c>
      <c r="T40" s="58">
        <v>0</v>
      </c>
      <c r="U40" s="58">
        <v>0</v>
      </c>
      <c r="V40" s="58">
        <v>0</v>
      </c>
      <c r="W40" s="58">
        <v>0</v>
      </c>
      <c r="X40" s="58">
        <v>0</v>
      </c>
      <c r="Y40" s="59">
        <v>0</v>
      </c>
      <c r="Z40" s="60">
        <v>0</v>
      </c>
      <c r="AA40" s="58">
        <v>0</v>
      </c>
      <c r="AB40" s="58">
        <v>0</v>
      </c>
      <c r="AC40" s="58">
        <v>0</v>
      </c>
      <c r="AD40" s="58">
        <v>0</v>
      </c>
      <c r="AE40" s="58">
        <v>0</v>
      </c>
      <c r="AF40" s="58">
        <v>0</v>
      </c>
      <c r="AG40" s="58">
        <v>0</v>
      </c>
      <c r="AH40" s="58">
        <v>0</v>
      </c>
      <c r="AI40" s="58">
        <v>0</v>
      </c>
      <c r="AJ40" s="58">
        <v>0</v>
      </c>
      <c r="AK40" s="59">
        <v>0</v>
      </c>
      <c r="AL40" s="60">
        <v>0</v>
      </c>
      <c r="AM40" s="58">
        <v>0</v>
      </c>
      <c r="AN40" s="58">
        <v>1</v>
      </c>
      <c r="AO40" s="58">
        <v>1</v>
      </c>
      <c r="AP40" s="58">
        <v>1</v>
      </c>
      <c r="AQ40" s="58">
        <v>1</v>
      </c>
      <c r="AR40" s="58">
        <v>1</v>
      </c>
      <c r="AS40" s="58">
        <v>1</v>
      </c>
      <c r="AT40" s="58">
        <v>1</v>
      </c>
      <c r="AU40" s="58">
        <v>1</v>
      </c>
      <c r="AV40" s="58">
        <v>1</v>
      </c>
      <c r="AW40" s="59">
        <v>1</v>
      </c>
      <c r="AX40" s="58">
        <v>1</v>
      </c>
      <c r="AY40" s="58">
        <v>2</v>
      </c>
      <c r="AZ40" s="58">
        <v>3</v>
      </c>
      <c r="BA40" s="58">
        <v>4</v>
      </c>
      <c r="BB40" s="58">
        <v>4</v>
      </c>
      <c r="BC40" s="58">
        <v>4</v>
      </c>
      <c r="BD40" s="58">
        <v>5</v>
      </c>
      <c r="BE40" s="58">
        <v>5</v>
      </c>
      <c r="BF40" s="58">
        <v>7</v>
      </c>
      <c r="BG40" s="58">
        <v>9</v>
      </c>
      <c r="BH40" s="58">
        <v>9</v>
      </c>
      <c r="BI40" s="59">
        <v>11</v>
      </c>
      <c r="BJ40" s="58">
        <v>11</v>
      </c>
      <c r="BK40" s="58">
        <v>11</v>
      </c>
      <c r="BL40" s="58">
        <v>29</v>
      </c>
      <c r="BM40" s="58">
        <v>29</v>
      </c>
      <c r="BN40" s="58">
        <v>29</v>
      </c>
      <c r="BO40" s="58">
        <v>29</v>
      </c>
      <c r="BP40" s="58">
        <v>29</v>
      </c>
      <c r="BQ40" s="58">
        <v>29</v>
      </c>
      <c r="BR40" s="58">
        <v>29</v>
      </c>
      <c r="BS40" s="58">
        <v>29</v>
      </c>
      <c r="BT40" s="58">
        <v>29</v>
      </c>
      <c r="BU40" s="59">
        <v>29</v>
      </c>
      <c r="BV40" s="58">
        <v>30</v>
      </c>
      <c r="BW40" s="58">
        <v>30</v>
      </c>
      <c r="BX40" s="58">
        <v>39</v>
      </c>
      <c r="BY40" s="58">
        <v>39</v>
      </c>
      <c r="BZ40" s="58">
        <v>39</v>
      </c>
      <c r="CA40" s="58">
        <v>39</v>
      </c>
      <c r="CB40" s="58">
        <v>39</v>
      </c>
      <c r="CC40" s="58">
        <v>39</v>
      </c>
      <c r="CD40" s="58">
        <v>39</v>
      </c>
      <c r="CE40" s="58">
        <v>39</v>
      </c>
      <c r="CF40" s="58">
        <v>39</v>
      </c>
      <c r="CG40" s="59">
        <v>39</v>
      </c>
      <c r="CH40" s="55">
        <v>39</v>
      </c>
      <c r="CI40" s="55">
        <v>39</v>
      </c>
      <c r="CJ40" s="55">
        <v>39</v>
      </c>
      <c r="CK40" s="55">
        <v>39</v>
      </c>
      <c r="CL40" s="55">
        <v>39</v>
      </c>
      <c r="CM40" s="55">
        <v>39</v>
      </c>
      <c r="CN40" s="55">
        <v>39</v>
      </c>
      <c r="CO40" s="55">
        <v>39</v>
      </c>
      <c r="CP40" s="55">
        <v>39</v>
      </c>
      <c r="CQ40" s="55">
        <v>39</v>
      </c>
      <c r="CR40" s="55">
        <v>39</v>
      </c>
      <c r="CS40" s="56">
        <v>39</v>
      </c>
      <c r="CT40" s="55">
        <v>39</v>
      </c>
      <c r="CU40" s="55">
        <v>39</v>
      </c>
      <c r="CV40" s="55">
        <v>39</v>
      </c>
      <c r="CW40" s="55">
        <v>39</v>
      </c>
      <c r="CX40" s="55">
        <v>39</v>
      </c>
      <c r="CY40" s="55">
        <v>39</v>
      </c>
      <c r="CZ40" s="55">
        <v>39</v>
      </c>
      <c r="DA40" s="55">
        <v>39</v>
      </c>
      <c r="DB40" s="55">
        <v>39</v>
      </c>
      <c r="DC40" s="55">
        <v>39</v>
      </c>
      <c r="DD40" s="58">
        <v>39</v>
      </c>
      <c r="DE40" s="59">
        <v>39</v>
      </c>
      <c r="DF40" s="55">
        <v>40</v>
      </c>
      <c r="DG40" s="55">
        <v>40</v>
      </c>
      <c r="DH40" s="58">
        <v>40</v>
      </c>
      <c r="DI40" s="55">
        <v>40</v>
      </c>
      <c r="DJ40" s="55">
        <v>40</v>
      </c>
      <c r="DK40" s="55">
        <v>40</v>
      </c>
      <c r="DL40" s="58">
        <v>40</v>
      </c>
      <c r="DM40" s="55">
        <v>40</v>
      </c>
      <c r="DN40" s="55">
        <v>40</v>
      </c>
      <c r="DO40" s="55">
        <v>40</v>
      </c>
      <c r="DP40" s="55">
        <v>40</v>
      </c>
      <c r="DQ40" s="59">
        <v>41</v>
      </c>
      <c r="DR40" s="55">
        <v>41</v>
      </c>
      <c r="DS40" s="55">
        <v>41</v>
      </c>
      <c r="DT40" s="55">
        <v>41</v>
      </c>
      <c r="DU40" s="55">
        <v>41</v>
      </c>
      <c r="DV40" s="55">
        <v>41</v>
      </c>
      <c r="DW40" s="55">
        <v>41</v>
      </c>
      <c r="DX40" s="55">
        <v>41</v>
      </c>
      <c r="DY40" s="55">
        <v>42</v>
      </c>
      <c r="DZ40" s="55">
        <v>42</v>
      </c>
      <c r="EA40" s="55">
        <v>42</v>
      </c>
      <c r="EB40" s="55">
        <v>42</v>
      </c>
      <c r="EC40" s="56">
        <v>42</v>
      </c>
      <c r="ED40" s="55">
        <v>43</v>
      </c>
      <c r="EE40" s="55">
        <v>43</v>
      </c>
      <c r="EF40" s="55">
        <v>45</v>
      </c>
      <c r="EG40" s="55">
        <v>46</v>
      </c>
      <c r="EH40" s="55">
        <v>46</v>
      </c>
      <c r="EI40" s="55">
        <v>46</v>
      </c>
      <c r="EJ40" s="55">
        <v>46</v>
      </c>
      <c r="EK40" s="55">
        <v>46</v>
      </c>
      <c r="EL40" s="55">
        <v>46</v>
      </c>
      <c r="EM40" s="55">
        <v>47</v>
      </c>
      <c r="EN40" s="55">
        <v>47</v>
      </c>
      <c r="EO40" s="56">
        <v>47</v>
      </c>
      <c r="EP40" s="55">
        <v>47</v>
      </c>
      <c r="EQ40" s="55">
        <v>47</v>
      </c>
      <c r="ER40" s="55">
        <v>47</v>
      </c>
      <c r="ES40" s="55">
        <v>48</v>
      </c>
      <c r="ET40" s="55">
        <v>48</v>
      </c>
      <c r="EU40" s="55">
        <v>48</v>
      </c>
      <c r="EV40" s="55">
        <v>48</v>
      </c>
      <c r="EW40" s="55">
        <v>48</v>
      </c>
      <c r="EX40" s="55">
        <v>48</v>
      </c>
      <c r="EY40" s="55">
        <v>48</v>
      </c>
      <c r="EZ40" s="55">
        <v>48</v>
      </c>
      <c r="FA40" s="56">
        <v>49</v>
      </c>
      <c r="FB40" s="160">
        <v>50</v>
      </c>
      <c r="FC40" s="160">
        <v>51</v>
      </c>
      <c r="FD40" s="160">
        <v>53</v>
      </c>
      <c r="FE40" s="160">
        <v>53</v>
      </c>
      <c r="FF40" s="160">
        <v>53</v>
      </c>
      <c r="FG40" s="160">
        <v>53</v>
      </c>
      <c r="FH40" s="160">
        <v>53</v>
      </c>
      <c r="FI40" s="160">
        <v>53</v>
      </c>
      <c r="FJ40" s="160">
        <v>54</v>
      </c>
      <c r="FK40" s="160">
        <v>54</v>
      </c>
      <c r="FL40" s="160">
        <v>54</v>
      </c>
      <c r="FM40" s="39">
        <v>54</v>
      </c>
      <c r="FN40" s="77">
        <v>60</v>
      </c>
      <c r="FO40" s="39">
        <v>62</v>
      </c>
      <c r="FP40" s="39">
        <v>64</v>
      </c>
      <c r="FQ40" s="39">
        <v>66</v>
      </c>
      <c r="FR40" s="39">
        <v>68</v>
      </c>
      <c r="FS40" s="39">
        <v>70</v>
      </c>
      <c r="FT40" s="39">
        <v>72</v>
      </c>
      <c r="FU40" s="39">
        <v>72</v>
      </c>
      <c r="FV40" s="39">
        <v>72</v>
      </c>
      <c r="FW40" s="39">
        <v>78</v>
      </c>
      <c r="FX40" s="39">
        <v>79</v>
      </c>
      <c r="FY40" s="197">
        <v>80</v>
      </c>
      <c r="FZ40" s="39">
        <v>85</v>
      </c>
      <c r="GA40" s="39">
        <v>87</v>
      </c>
      <c r="GB40" s="39">
        <v>90</v>
      </c>
      <c r="GC40" s="39">
        <v>93</v>
      </c>
      <c r="GD40" s="39">
        <v>95</v>
      </c>
      <c r="GE40" s="39">
        <v>97</v>
      </c>
      <c r="GF40" s="39">
        <v>100</v>
      </c>
      <c r="GG40" s="39">
        <v>102</v>
      </c>
      <c r="GH40" s="39">
        <v>104</v>
      </c>
      <c r="GI40" s="39">
        <v>106</v>
      </c>
      <c r="GJ40" s="39">
        <v>106</v>
      </c>
      <c r="GK40" s="197">
        <v>106</v>
      </c>
      <c r="GL40" s="39">
        <v>107</v>
      </c>
      <c r="GM40" s="39">
        <v>107</v>
      </c>
      <c r="GN40" s="39">
        <v>107</v>
      </c>
      <c r="GO40" s="39">
        <v>107</v>
      </c>
    </row>
    <row r="41" spans="1:197" s="1" customFormat="1" ht="20.149999999999999" customHeight="1" thickBot="1" x14ac:dyDescent="0.4">
      <c r="A41" s="32" t="s">
        <v>267</v>
      </c>
      <c r="B41" s="61">
        <f>SUM(B35:B40)</f>
        <v>4842</v>
      </c>
      <c r="C41" s="62">
        <f t="shared" ref="C41:BN41" si="12">SUM(C35:C40)</f>
        <v>5433</v>
      </c>
      <c r="D41" s="62">
        <f t="shared" si="12"/>
        <v>6460</v>
      </c>
      <c r="E41" s="62">
        <f t="shared" si="12"/>
        <v>7507</v>
      </c>
      <c r="F41" s="62">
        <f t="shared" si="12"/>
        <v>9034</v>
      </c>
      <c r="G41" s="62">
        <f t="shared" si="12"/>
        <v>10951</v>
      </c>
      <c r="H41" s="62">
        <f t="shared" si="12"/>
        <v>13274</v>
      </c>
      <c r="I41" s="62">
        <f t="shared" si="12"/>
        <v>15565</v>
      </c>
      <c r="J41" s="62">
        <f t="shared" si="12"/>
        <v>18431</v>
      </c>
      <c r="K41" s="62">
        <f t="shared" si="12"/>
        <v>21898</v>
      </c>
      <c r="L41" s="62">
        <f t="shared" si="12"/>
        <v>25864</v>
      </c>
      <c r="M41" s="62">
        <f t="shared" si="12"/>
        <v>28912</v>
      </c>
      <c r="N41" s="61">
        <f t="shared" si="12"/>
        <v>33073</v>
      </c>
      <c r="O41" s="62">
        <f t="shared" si="12"/>
        <v>37759</v>
      </c>
      <c r="P41" s="62">
        <f t="shared" si="12"/>
        <v>44858</v>
      </c>
      <c r="Q41" s="62">
        <f t="shared" si="12"/>
        <v>51274</v>
      </c>
      <c r="R41" s="62">
        <f t="shared" si="12"/>
        <v>58638</v>
      </c>
      <c r="S41" s="62">
        <f t="shared" si="12"/>
        <v>68203</v>
      </c>
      <c r="T41" s="62">
        <f t="shared" si="12"/>
        <v>79526</v>
      </c>
      <c r="U41" s="62">
        <f t="shared" si="12"/>
        <v>93770</v>
      </c>
      <c r="V41" s="62">
        <f t="shared" si="12"/>
        <v>111274</v>
      </c>
      <c r="W41" s="62">
        <f t="shared" si="12"/>
        <v>131750</v>
      </c>
      <c r="X41" s="62">
        <f t="shared" si="12"/>
        <v>188963</v>
      </c>
      <c r="Y41" s="62">
        <f t="shared" si="12"/>
        <v>235382</v>
      </c>
      <c r="Z41" s="61">
        <f t="shared" si="12"/>
        <v>243825</v>
      </c>
      <c r="AA41" s="62">
        <f t="shared" si="12"/>
        <v>287909</v>
      </c>
      <c r="AB41" s="62">
        <f t="shared" si="12"/>
        <v>314955</v>
      </c>
      <c r="AC41" s="62">
        <f t="shared" si="12"/>
        <v>320461</v>
      </c>
      <c r="AD41" s="62">
        <f t="shared" si="12"/>
        <v>330953</v>
      </c>
      <c r="AE41" s="62">
        <f t="shared" si="12"/>
        <v>344226</v>
      </c>
      <c r="AF41" s="62">
        <f t="shared" si="12"/>
        <v>370965</v>
      </c>
      <c r="AG41" s="62">
        <f t="shared" si="12"/>
        <v>374882</v>
      </c>
      <c r="AH41" s="62">
        <f t="shared" si="12"/>
        <v>380124</v>
      </c>
      <c r="AI41" s="62">
        <f t="shared" si="12"/>
        <v>390875</v>
      </c>
      <c r="AJ41" s="62">
        <f t="shared" si="12"/>
        <v>396683</v>
      </c>
      <c r="AK41" s="127">
        <f t="shared" si="12"/>
        <v>402759</v>
      </c>
      <c r="AL41" s="62">
        <f t="shared" si="12"/>
        <v>409223</v>
      </c>
      <c r="AM41" s="62">
        <f t="shared" si="12"/>
        <v>416254</v>
      </c>
      <c r="AN41" s="62">
        <f t="shared" si="12"/>
        <v>424431</v>
      </c>
      <c r="AO41" s="62">
        <f t="shared" si="12"/>
        <v>432893</v>
      </c>
      <c r="AP41" s="62">
        <f t="shared" si="12"/>
        <v>441471</v>
      </c>
      <c r="AQ41" s="62">
        <f t="shared" si="12"/>
        <v>454201</v>
      </c>
      <c r="AR41" s="62">
        <f t="shared" si="12"/>
        <v>460971</v>
      </c>
      <c r="AS41" s="62">
        <f t="shared" si="12"/>
        <v>468851</v>
      </c>
      <c r="AT41" s="62">
        <f t="shared" si="12"/>
        <v>477235</v>
      </c>
      <c r="AU41" s="62">
        <f t="shared" si="12"/>
        <v>486241</v>
      </c>
      <c r="AV41" s="62">
        <f t="shared" si="12"/>
        <v>496512</v>
      </c>
      <c r="AW41" s="63">
        <f t="shared" si="12"/>
        <v>505123</v>
      </c>
      <c r="AX41" s="62">
        <f t="shared" si="12"/>
        <v>513405</v>
      </c>
      <c r="AY41" s="62">
        <f t="shared" si="12"/>
        <v>522456</v>
      </c>
      <c r="AZ41" s="62">
        <f t="shared" si="12"/>
        <v>538349</v>
      </c>
      <c r="BA41" s="62">
        <f t="shared" si="12"/>
        <v>546593</v>
      </c>
      <c r="BB41" s="62">
        <f t="shared" si="12"/>
        <v>555651</v>
      </c>
      <c r="BC41" s="62">
        <f t="shared" si="12"/>
        <v>565804</v>
      </c>
      <c r="BD41" s="62">
        <f t="shared" si="12"/>
        <v>577094</v>
      </c>
      <c r="BE41" s="62">
        <f t="shared" si="12"/>
        <v>587910</v>
      </c>
      <c r="BF41" s="62">
        <f t="shared" si="12"/>
        <v>600829</v>
      </c>
      <c r="BG41" s="62">
        <f t="shared" si="12"/>
        <v>614287</v>
      </c>
      <c r="BH41" s="62">
        <f t="shared" si="12"/>
        <v>627016</v>
      </c>
      <c r="BI41" s="63">
        <f t="shared" si="12"/>
        <v>640427</v>
      </c>
      <c r="BJ41" s="62">
        <f t="shared" si="12"/>
        <v>648985</v>
      </c>
      <c r="BK41" s="62">
        <f t="shared" si="12"/>
        <v>659476</v>
      </c>
      <c r="BL41" s="62">
        <f t="shared" si="12"/>
        <v>676359</v>
      </c>
      <c r="BM41" s="62">
        <f t="shared" si="12"/>
        <v>687323</v>
      </c>
      <c r="BN41" s="62">
        <f t="shared" si="12"/>
        <v>698929</v>
      </c>
      <c r="BO41" s="62">
        <f t="shared" ref="BO41:DZ41" si="13">SUM(BO35:BO40)</f>
        <v>715703</v>
      </c>
      <c r="BP41" s="62">
        <f t="shared" si="13"/>
        <v>727397</v>
      </c>
      <c r="BQ41" s="62">
        <f t="shared" si="13"/>
        <v>739050</v>
      </c>
      <c r="BR41" s="62">
        <f t="shared" si="13"/>
        <v>758457</v>
      </c>
      <c r="BS41" s="62">
        <f t="shared" si="13"/>
        <v>775246</v>
      </c>
      <c r="BT41" s="62">
        <f t="shared" si="13"/>
        <v>797029</v>
      </c>
      <c r="BU41" s="63">
        <f t="shared" si="13"/>
        <v>823071</v>
      </c>
      <c r="BV41" s="62">
        <f t="shared" si="13"/>
        <v>838149</v>
      </c>
      <c r="BW41" s="62">
        <f t="shared" si="13"/>
        <v>841465</v>
      </c>
      <c r="BX41" s="62">
        <f t="shared" si="13"/>
        <v>845895</v>
      </c>
      <c r="BY41" s="62">
        <f t="shared" si="13"/>
        <v>849274</v>
      </c>
      <c r="BZ41" s="62">
        <f t="shared" si="13"/>
        <v>852745</v>
      </c>
      <c r="CA41" s="62">
        <f t="shared" si="13"/>
        <v>856871</v>
      </c>
      <c r="CB41" s="62">
        <f t="shared" si="13"/>
        <v>860122</v>
      </c>
      <c r="CC41" s="62">
        <f t="shared" si="13"/>
        <v>863182</v>
      </c>
      <c r="CD41" s="62">
        <f t="shared" si="13"/>
        <v>866994</v>
      </c>
      <c r="CE41" s="62">
        <f t="shared" si="13"/>
        <v>869834</v>
      </c>
      <c r="CF41" s="62">
        <f t="shared" si="13"/>
        <v>873283</v>
      </c>
      <c r="CG41" s="63">
        <f t="shared" si="13"/>
        <v>875883</v>
      </c>
      <c r="CH41" s="62">
        <f t="shared" si="13"/>
        <v>878363</v>
      </c>
      <c r="CI41" s="62">
        <f t="shared" si="13"/>
        <v>881036</v>
      </c>
      <c r="CJ41" s="62">
        <f t="shared" si="13"/>
        <v>884664</v>
      </c>
      <c r="CK41" s="62">
        <f t="shared" si="13"/>
        <v>887079</v>
      </c>
      <c r="CL41" s="62">
        <f t="shared" si="13"/>
        <v>890318</v>
      </c>
      <c r="CM41" s="62">
        <f t="shared" si="13"/>
        <v>893548</v>
      </c>
      <c r="CN41" s="62">
        <f t="shared" si="13"/>
        <v>896405</v>
      </c>
      <c r="CO41" s="62">
        <f t="shared" si="13"/>
        <v>899607</v>
      </c>
      <c r="CP41" s="62">
        <f t="shared" si="13"/>
        <v>902969</v>
      </c>
      <c r="CQ41" s="62">
        <f t="shared" si="13"/>
        <v>906124</v>
      </c>
      <c r="CR41" s="62">
        <f t="shared" si="13"/>
        <v>909877</v>
      </c>
      <c r="CS41" s="63">
        <f t="shared" si="13"/>
        <v>912340</v>
      </c>
      <c r="CT41" s="62">
        <f t="shared" si="13"/>
        <v>915144</v>
      </c>
      <c r="CU41" s="62">
        <f t="shared" si="13"/>
        <v>917867</v>
      </c>
      <c r="CV41" s="62">
        <f t="shared" si="13"/>
        <v>921201</v>
      </c>
      <c r="CW41" s="62">
        <f t="shared" si="13"/>
        <v>924204</v>
      </c>
      <c r="CX41" s="62">
        <f t="shared" si="13"/>
        <v>927570</v>
      </c>
      <c r="CY41" s="62">
        <f t="shared" si="13"/>
        <v>931044</v>
      </c>
      <c r="CZ41" s="62">
        <f t="shared" si="13"/>
        <v>934315</v>
      </c>
      <c r="DA41" s="62">
        <f t="shared" si="13"/>
        <v>938038</v>
      </c>
      <c r="DB41" s="62">
        <f t="shared" si="13"/>
        <v>941897</v>
      </c>
      <c r="DC41" s="62">
        <f t="shared" si="13"/>
        <v>946281</v>
      </c>
      <c r="DD41" s="62">
        <f t="shared" si="13"/>
        <v>951125</v>
      </c>
      <c r="DE41" s="63">
        <f t="shared" si="13"/>
        <v>955160</v>
      </c>
      <c r="DF41" s="62">
        <f t="shared" si="13"/>
        <v>960178</v>
      </c>
      <c r="DG41" s="62">
        <f t="shared" si="13"/>
        <v>966215</v>
      </c>
      <c r="DH41" s="62">
        <f t="shared" si="13"/>
        <v>981257</v>
      </c>
      <c r="DI41" s="62">
        <f t="shared" si="13"/>
        <v>983349</v>
      </c>
      <c r="DJ41" s="62">
        <f t="shared" si="13"/>
        <v>985992</v>
      </c>
      <c r="DK41" s="62">
        <f t="shared" si="13"/>
        <v>988857</v>
      </c>
      <c r="DL41" s="62">
        <f t="shared" si="13"/>
        <v>991776</v>
      </c>
      <c r="DM41" s="62">
        <f t="shared" si="13"/>
        <v>994864</v>
      </c>
      <c r="DN41" s="62">
        <f t="shared" si="13"/>
        <v>998247</v>
      </c>
      <c r="DO41" s="62">
        <f t="shared" si="13"/>
        <v>1001812</v>
      </c>
      <c r="DP41" s="62">
        <f t="shared" si="13"/>
        <v>1005454</v>
      </c>
      <c r="DQ41" s="63">
        <f t="shared" si="13"/>
        <v>1007952</v>
      </c>
      <c r="DR41" s="62">
        <f t="shared" si="13"/>
        <v>1011115</v>
      </c>
      <c r="DS41" s="62">
        <f t="shared" si="13"/>
        <v>1014166</v>
      </c>
      <c r="DT41" s="62">
        <f t="shared" si="13"/>
        <v>1017411</v>
      </c>
      <c r="DU41" s="62">
        <f t="shared" si="13"/>
        <v>1018081</v>
      </c>
      <c r="DV41" s="62">
        <f t="shared" si="13"/>
        <v>1019164</v>
      </c>
      <c r="DW41" s="62">
        <f t="shared" si="13"/>
        <v>1021545</v>
      </c>
      <c r="DX41" s="62">
        <f t="shared" si="13"/>
        <v>1024831</v>
      </c>
      <c r="DY41" s="62">
        <f t="shared" si="13"/>
        <v>1028055</v>
      </c>
      <c r="DZ41" s="62">
        <f t="shared" si="13"/>
        <v>1032162</v>
      </c>
      <c r="EA41" s="62">
        <f t="shared" ref="EA41:GL41" si="14">SUM(EA35:EA40)</f>
        <v>1036140</v>
      </c>
      <c r="EB41" s="62">
        <f t="shared" si="14"/>
        <v>1040474</v>
      </c>
      <c r="EC41" s="63">
        <f t="shared" si="14"/>
        <v>1043624</v>
      </c>
      <c r="ED41" s="62">
        <f t="shared" si="14"/>
        <v>1047265</v>
      </c>
      <c r="EE41" s="62">
        <f t="shared" si="14"/>
        <v>1050836</v>
      </c>
      <c r="EF41" s="62">
        <f t="shared" si="14"/>
        <v>1055797</v>
      </c>
      <c r="EG41" s="62">
        <f t="shared" si="14"/>
        <v>1060770</v>
      </c>
      <c r="EH41" s="62">
        <f t="shared" si="14"/>
        <v>1065790</v>
      </c>
      <c r="EI41" s="62">
        <f t="shared" si="14"/>
        <v>1070986</v>
      </c>
      <c r="EJ41" s="62">
        <f t="shared" si="14"/>
        <v>1075865</v>
      </c>
      <c r="EK41" s="62">
        <f t="shared" si="14"/>
        <v>1080908</v>
      </c>
      <c r="EL41" s="62">
        <f t="shared" si="14"/>
        <v>1086780</v>
      </c>
      <c r="EM41" s="62">
        <f t="shared" si="14"/>
        <v>1092339</v>
      </c>
      <c r="EN41" s="62">
        <f t="shared" si="14"/>
        <v>1099374</v>
      </c>
      <c r="EO41" s="63">
        <f t="shared" si="14"/>
        <v>1104516</v>
      </c>
      <c r="EP41" s="62">
        <f t="shared" si="14"/>
        <v>1110570</v>
      </c>
      <c r="EQ41" s="62">
        <f t="shared" si="14"/>
        <v>1118067</v>
      </c>
      <c r="ER41" s="62">
        <f t="shared" si="14"/>
        <v>1128134</v>
      </c>
      <c r="ES41" s="62">
        <f t="shared" si="14"/>
        <v>1137951</v>
      </c>
      <c r="ET41" s="62">
        <f t="shared" si="14"/>
        <v>1149050</v>
      </c>
      <c r="EU41" s="62">
        <f t="shared" si="14"/>
        <v>1160492</v>
      </c>
      <c r="EV41" s="62">
        <f t="shared" si="14"/>
        <v>1171692</v>
      </c>
      <c r="EW41" s="62">
        <f t="shared" si="14"/>
        <v>1184073</v>
      </c>
      <c r="EX41" s="62">
        <f t="shared" si="14"/>
        <v>1198575</v>
      </c>
      <c r="EY41" s="62">
        <f t="shared" si="14"/>
        <v>1212834</v>
      </c>
      <c r="EZ41" s="62">
        <f t="shared" si="14"/>
        <v>1229115</v>
      </c>
      <c r="FA41" s="63">
        <f t="shared" si="14"/>
        <v>1241462</v>
      </c>
      <c r="FB41" s="62">
        <f t="shared" si="14"/>
        <v>1257958</v>
      </c>
      <c r="FC41" s="62">
        <f t="shared" si="14"/>
        <v>1275659</v>
      </c>
      <c r="FD41" s="62">
        <f t="shared" si="14"/>
        <v>1295826</v>
      </c>
      <c r="FE41" s="62">
        <f t="shared" si="14"/>
        <v>1311932</v>
      </c>
      <c r="FF41" s="62">
        <f t="shared" si="14"/>
        <v>1330099</v>
      </c>
      <c r="FG41" s="62">
        <f t="shared" si="14"/>
        <v>1348710</v>
      </c>
      <c r="FH41" s="62">
        <f t="shared" si="14"/>
        <v>1364599</v>
      </c>
      <c r="FI41" s="62">
        <f t="shared" si="14"/>
        <v>1380680</v>
      </c>
      <c r="FJ41" s="62">
        <f t="shared" si="14"/>
        <v>1396479</v>
      </c>
      <c r="FK41" s="158">
        <f t="shared" si="14"/>
        <v>1412077</v>
      </c>
      <c r="FL41" s="158">
        <f t="shared" si="14"/>
        <v>1428161</v>
      </c>
      <c r="FM41" s="158">
        <f t="shared" si="14"/>
        <v>1438392</v>
      </c>
      <c r="FN41" s="122">
        <f t="shared" si="14"/>
        <v>1451670</v>
      </c>
      <c r="FO41" s="158">
        <f t="shared" si="14"/>
        <v>1465630</v>
      </c>
      <c r="FP41" s="158">
        <f t="shared" si="14"/>
        <v>1480747</v>
      </c>
      <c r="FQ41" s="158">
        <f t="shared" si="14"/>
        <v>1496183</v>
      </c>
      <c r="FR41" s="158">
        <f t="shared" si="14"/>
        <v>1512376</v>
      </c>
      <c r="FS41" s="158">
        <f t="shared" si="14"/>
        <v>1528095</v>
      </c>
      <c r="FT41" s="158">
        <f t="shared" si="14"/>
        <v>1544519</v>
      </c>
      <c r="FU41" s="158">
        <f t="shared" si="14"/>
        <v>1560064</v>
      </c>
      <c r="FV41" s="158">
        <f t="shared" si="14"/>
        <v>1577178</v>
      </c>
      <c r="FW41" s="158">
        <f t="shared" si="14"/>
        <v>1597157</v>
      </c>
      <c r="FX41" s="158">
        <f t="shared" si="14"/>
        <v>1618222</v>
      </c>
      <c r="FY41" s="198">
        <f t="shared" si="14"/>
        <v>1632367</v>
      </c>
      <c r="FZ41" s="158">
        <f t="shared" si="14"/>
        <v>1649982</v>
      </c>
      <c r="GA41" s="158">
        <f t="shared" si="14"/>
        <v>1670419</v>
      </c>
      <c r="GB41" s="158">
        <f t="shared" si="14"/>
        <v>1695077</v>
      </c>
      <c r="GC41" s="158">
        <f t="shared" si="14"/>
        <v>1715525</v>
      </c>
      <c r="GD41" s="158">
        <f t="shared" si="14"/>
        <v>1738716</v>
      </c>
      <c r="GE41" s="158">
        <f t="shared" si="14"/>
        <v>1762390</v>
      </c>
      <c r="GF41" s="158">
        <f t="shared" si="14"/>
        <v>1785352</v>
      </c>
      <c r="GG41" s="158">
        <f t="shared" si="14"/>
        <v>1805813</v>
      </c>
      <c r="GH41" s="158">
        <f t="shared" si="14"/>
        <v>1829821</v>
      </c>
      <c r="GI41" s="158">
        <f t="shared" si="14"/>
        <v>1856070</v>
      </c>
      <c r="GJ41" s="158">
        <f t="shared" si="14"/>
        <v>1879974</v>
      </c>
      <c r="GK41" s="198">
        <f t="shared" si="14"/>
        <v>1898394</v>
      </c>
      <c r="GL41" s="158">
        <f t="shared" si="14"/>
        <v>1917996</v>
      </c>
      <c r="GM41" s="158">
        <f t="shared" ref="GM41:GO41" si="15">SUM(GM35:GM40)</f>
        <v>1940756</v>
      </c>
      <c r="GN41" s="158">
        <f t="shared" si="15"/>
        <v>1968034</v>
      </c>
      <c r="GO41" s="158">
        <f t="shared" si="15"/>
        <v>1990415</v>
      </c>
    </row>
    <row r="42" spans="1:197" s="25" customFormat="1" ht="20.149999999999999" customHeight="1" thickTop="1" x14ac:dyDescent="0.35">
      <c r="A42" s="26" t="s">
        <v>268</v>
      </c>
      <c r="B42" s="55"/>
      <c r="C42" s="55"/>
      <c r="D42" s="55"/>
      <c r="E42" s="55"/>
      <c r="F42" s="55"/>
      <c r="G42" s="55"/>
      <c r="H42" s="55"/>
      <c r="I42" s="55"/>
      <c r="J42" s="55"/>
      <c r="K42" s="55"/>
      <c r="L42" s="55"/>
      <c r="M42" s="56"/>
      <c r="N42" s="57"/>
      <c r="O42" s="55"/>
      <c r="P42" s="55"/>
      <c r="Q42" s="55"/>
      <c r="R42" s="55"/>
      <c r="S42" s="55"/>
      <c r="T42" s="55"/>
      <c r="U42" s="55"/>
      <c r="V42" s="55"/>
      <c r="W42" s="55"/>
      <c r="X42" s="55"/>
      <c r="Y42" s="56"/>
      <c r="Z42" s="57"/>
      <c r="AA42" s="55"/>
      <c r="AB42" s="55"/>
      <c r="AC42" s="55"/>
      <c r="AD42" s="55"/>
      <c r="AE42" s="55"/>
      <c r="AF42" s="55"/>
      <c r="AG42" s="55"/>
      <c r="AH42" s="55"/>
      <c r="AI42" s="55"/>
      <c r="AJ42" s="55"/>
      <c r="AK42" s="56"/>
      <c r="AL42" s="57"/>
      <c r="AM42" s="55"/>
      <c r="AN42" s="55"/>
      <c r="AO42" s="55"/>
      <c r="AP42" s="55"/>
      <c r="AQ42" s="55"/>
      <c r="AR42" s="55"/>
      <c r="AS42" s="55"/>
      <c r="AT42" s="55"/>
      <c r="AU42" s="55"/>
      <c r="AV42" s="55"/>
      <c r="AW42" s="56"/>
      <c r="AX42" s="55"/>
      <c r="AY42" s="55"/>
      <c r="AZ42" s="55"/>
      <c r="BA42" s="55"/>
      <c r="BB42" s="55"/>
      <c r="BC42" s="55"/>
      <c r="BD42" s="55"/>
      <c r="BE42" s="55"/>
      <c r="BF42" s="55"/>
      <c r="BG42" s="55"/>
      <c r="BH42" s="55"/>
      <c r="BI42" s="56"/>
      <c r="BJ42" s="55"/>
      <c r="BK42" s="55"/>
      <c r="BL42" s="55"/>
      <c r="BM42" s="55"/>
      <c r="BN42" s="55"/>
      <c r="BO42" s="55"/>
      <c r="BP42" s="55"/>
      <c r="BQ42" s="55"/>
      <c r="BR42" s="55"/>
      <c r="BS42" s="55"/>
      <c r="BT42" s="55"/>
      <c r="BU42" s="56"/>
      <c r="BV42" s="55"/>
      <c r="BW42" s="55"/>
      <c r="BX42" s="55"/>
      <c r="BY42" s="55"/>
      <c r="BZ42" s="55"/>
      <c r="CA42" s="55"/>
      <c r="CB42" s="55"/>
      <c r="CC42" s="55"/>
      <c r="CD42" s="55"/>
      <c r="CE42" s="55"/>
      <c r="CF42" s="55"/>
      <c r="CG42" s="56"/>
      <c r="CH42" s="55"/>
      <c r="CI42" s="55"/>
      <c r="CJ42" s="55"/>
      <c r="CK42" s="55"/>
      <c r="CL42" s="55"/>
      <c r="CM42" s="55"/>
      <c r="CN42" s="55"/>
      <c r="CO42" s="55"/>
      <c r="CP42" s="55"/>
      <c r="CQ42" s="55"/>
      <c r="CR42" s="55"/>
      <c r="CS42" s="56"/>
      <c r="CT42" s="55"/>
      <c r="CU42" s="55"/>
      <c r="CV42" s="55"/>
      <c r="CW42" s="55"/>
      <c r="CX42" s="55"/>
      <c r="CY42" s="55"/>
      <c r="CZ42" s="55"/>
      <c r="DA42" s="55"/>
      <c r="DB42" s="55"/>
      <c r="DC42" s="55"/>
      <c r="DD42" s="55"/>
      <c r="DE42" s="56"/>
      <c r="DF42" s="55"/>
      <c r="DG42" s="55"/>
      <c r="DH42" s="55"/>
      <c r="DI42" s="55"/>
      <c r="DJ42" s="55"/>
      <c r="DK42" s="55"/>
      <c r="DL42" s="55"/>
      <c r="DM42" s="55"/>
      <c r="DN42" s="55"/>
      <c r="DO42" s="55"/>
      <c r="DP42" s="55"/>
      <c r="DQ42" s="56"/>
      <c r="DR42" s="55"/>
      <c r="DS42" s="55"/>
      <c r="DT42" s="55"/>
      <c r="DU42" s="55"/>
      <c r="DV42" s="55"/>
      <c r="DW42" s="55"/>
      <c r="DX42" s="55"/>
      <c r="DY42" s="55"/>
      <c r="DZ42" s="55"/>
      <c r="EA42" s="55"/>
      <c r="EB42" s="55"/>
      <c r="EC42" s="56"/>
      <c r="ED42" s="55"/>
      <c r="EE42" s="55"/>
      <c r="EF42" s="55"/>
      <c r="EG42" s="55"/>
      <c r="EH42" s="55"/>
      <c r="EI42" s="55"/>
      <c r="EJ42" s="55"/>
      <c r="EK42" s="55"/>
      <c r="EL42" s="55"/>
      <c r="EM42" s="55"/>
      <c r="EN42" s="55"/>
      <c r="EO42" s="56"/>
      <c r="EP42" s="55"/>
      <c r="EQ42" s="55"/>
      <c r="ER42" s="55"/>
      <c r="ES42" s="55"/>
      <c r="ET42" s="55"/>
      <c r="EU42" s="55"/>
      <c r="EV42" s="55"/>
      <c r="EW42" s="55"/>
      <c r="EX42" s="55"/>
      <c r="EY42" s="123"/>
      <c r="EZ42" s="123"/>
      <c r="FA42" s="56"/>
      <c r="FB42" s="123"/>
      <c r="FC42" s="123"/>
      <c r="FD42" s="123"/>
      <c r="FE42" s="123"/>
      <c r="FF42" s="123"/>
      <c r="FG42" s="123"/>
      <c r="FH42" s="123"/>
      <c r="FI42" s="123"/>
      <c r="FJ42" s="38"/>
      <c r="FK42" s="38"/>
      <c r="FL42" s="38"/>
      <c r="FM42" s="38"/>
      <c r="FN42" s="167"/>
      <c r="FO42" s="38"/>
      <c r="FP42" s="38"/>
      <c r="FQ42" s="38"/>
      <c r="FR42" s="38"/>
      <c r="FS42" s="38"/>
      <c r="FT42" s="38"/>
      <c r="FU42" s="39"/>
      <c r="FV42" s="39"/>
      <c r="FW42" s="39"/>
      <c r="FX42" s="39"/>
      <c r="FY42" s="197"/>
      <c r="FZ42" s="39"/>
      <c r="GA42" s="39"/>
      <c r="GB42" s="39"/>
      <c r="GC42" s="39"/>
      <c r="GD42" s="39"/>
      <c r="GE42" s="39"/>
      <c r="GF42" s="39"/>
      <c r="GG42" s="39"/>
      <c r="GH42" s="39"/>
      <c r="GI42" s="39"/>
      <c r="GJ42" s="39"/>
      <c r="GK42" s="197"/>
      <c r="GL42" s="39"/>
      <c r="GM42" s="39"/>
      <c r="GN42" s="39"/>
      <c r="GO42" s="39"/>
    </row>
    <row r="43" spans="1:197" s="30" customFormat="1" ht="20.149999999999999" customHeight="1" x14ac:dyDescent="0.35">
      <c r="A43" s="31" t="s">
        <v>1623</v>
      </c>
      <c r="B43" s="55">
        <v>136</v>
      </c>
      <c r="C43" s="55">
        <v>136</v>
      </c>
      <c r="D43" s="55">
        <v>143</v>
      </c>
      <c r="E43" s="55">
        <v>156</v>
      </c>
      <c r="F43" s="55">
        <v>158</v>
      </c>
      <c r="G43" s="55">
        <v>173</v>
      </c>
      <c r="H43" s="55">
        <v>175</v>
      </c>
      <c r="I43" s="55">
        <v>177</v>
      </c>
      <c r="J43" s="55">
        <v>178</v>
      </c>
      <c r="K43" s="55">
        <v>182</v>
      </c>
      <c r="L43" s="55">
        <v>201</v>
      </c>
      <c r="M43" s="56">
        <v>206</v>
      </c>
      <c r="N43" s="57">
        <v>206</v>
      </c>
      <c r="O43" s="55">
        <v>207</v>
      </c>
      <c r="P43" s="55">
        <v>217</v>
      </c>
      <c r="Q43" s="55">
        <v>219</v>
      </c>
      <c r="R43" s="55">
        <v>227</v>
      </c>
      <c r="S43" s="55">
        <v>229</v>
      </c>
      <c r="T43" s="55">
        <v>230</v>
      </c>
      <c r="U43" s="55">
        <v>236</v>
      </c>
      <c r="V43" s="55">
        <v>259</v>
      </c>
      <c r="W43" s="55">
        <v>273</v>
      </c>
      <c r="X43" s="55">
        <v>299</v>
      </c>
      <c r="Y43" s="56">
        <v>317</v>
      </c>
      <c r="Z43" s="57">
        <v>379</v>
      </c>
      <c r="AA43" s="55">
        <v>394</v>
      </c>
      <c r="AB43" s="55">
        <v>441</v>
      </c>
      <c r="AC43" s="55">
        <v>453</v>
      </c>
      <c r="AD43" s="55">
        <v>465</v>
      </c>
      <c r="AE43" s="55">
        <v>472</v>
      </c>
      <c r="AF43" s="55">
        <v>500</v>
      </c>
      <c r="AG43" s="55">
        <v>570</v>
      </c>
      <c r="AH43" s="55">
        <v>671</v>
      </c>
      <c r="AI43" s="55">
        <v>729</v>
      </c>
      <c r="AJ43" s="55">
        <v>784</v>
      </c>
      <c r="AK43" s="56">
        <v>826</v>
      </c>
      <c r="AL43" s="57">
        <v>925</v>
      </c>
      <c r="AM43" s="55">
        <v>1011</v>
      </c>
      <c r="AN43" s="55">
        <v>1060</v>
      </c>
      <c r="AO43" s="55">
        <v>1093</v>
      </c>
      <c r="AP43" s="55">
        <v>1166</v>
      </c>
      <c r="AQ43" s="55">
        <v>1196</v>
      </c>
      <c r="AR43" s="55">
        <v>1261</v>
      </c>
      <c r="AS43" s="55">
        <v>1392</v>
      </c>
      <c r="AT43" s="55">
        <v>1501</v>
      </c>
      <c r="AU43" s="55">
        <v>1604</v>
      </c>
      <c r="AV43" s="55">
        <v>1688</v>
      </c>
      <c r="AW43" s="56">
        <v>1833</v>
      </c>
      <c r="AX43" s="55">
        <v>1893</v>
      </c>
      <c r="AY43" s="55">
        <v>1979</v>
      </c>
      <c r="AZ43" s="55">
        <v>2095</v>
      </c>
      <c r="BA43" s="55">
        <v>2219</v>
      </c>
      <c r="BB43" s="55">
        <v>2392</v>
      </c>
      <c r="BC43" s="55">
        <v>2585</v>
      </c>
      <c r="BD43" s="55">
        <v>2784</v>
      </c>
      <c r="BE43" s="55">
        <v>3002</v>
      </c>
      <c r="BF43" s="55">
        <v>3196</v>
      </c>
      <c r="BG43" s="55">
        <v>3371</v>
      </c>
      <c r="BH43" s="55">
        <v>3598</v>
      </c>
      <c r="BI43" s="56">
        <v>3738</v>
      </c>
      <c r="BJ43" s="55">
        <v>3860</v>
      </c>
      <c r="BK43" s="55">
        <v>3987</v>
      </c>
      <c r="BL43" s="55">
        <v>4109</v>
      </c>
      <c r="BM43" s="55">
        <v>4225</v>
      </c>
      <c r="BN43" s="55">
        <v>4379</v>
      </c>
      <c r="BO43" s="55">
        <v>4542</v>
      </c>
      <c r="BP43" s="55">
        <v>4720</v>
      </c>
      <c r="BQ43" s="55">
        <v>4962</v>
      </c>
      <c r="BR43" s="55">
        <v>5331</v>
      </c>
      <c r="BS43" s="55">
        <v>5505</v>
      </c>
      <c r="BT43" s="55">
        <v>5727</v>
      </c>
      <c r="BU43" s="56">
        <v>5958</v>
      </c>
      <c r="BV43" s="55">
        <v>6215</v>
      </c>
      <c r="BW43" s="55">
        <v>6478</v>
      </c>
      <c r="BX43" s="55">
        <v>6761</v>
      </c>
      <c r="BY43" s="55">
        <v>6966</v>
      </c>
      <c r="BZ43" s="55">
        <v>7035</v>
      </c>
      <c r="CA43" s="55">
        <v>7120</v>
      </c>
      <c r="CB43" s="55">
        <v>7227</v>
      </c>
      <c r="CC43" s="55">
        <v>7332</v>
      </c>
      <c r="CD43" s="55">
        <v>7847</v>
      </c>
      <c r="CE43" s="55">
        <v>7874</v>
      </c>
      <c r="CF43" s="55">
        <v>7908</v>
      </c>
      <c r="CG43" s="56">
        <v>7922</v>
      </c>
      <c r="CH43" s="55">
        <v>7953</v>
      </c>
      <c r="CI43" s="55">
        <v>8073</v>
      </c>
      <c r="CJ43" s="55">
        <v>8313</v>
      </c>
      <c r="CK43" s="55">
        <v>8323</v>
      </c>
      <c r="CL43" s="55">
        <v>8345</v>
      </c>
      <c r="CM43" s="55">
        <v>8404</v>
      </c>
      <c r="CN43" s="55">
        <v>8413</v>
      </c>
      <c r="CO43" s="55">
        <v>8431</v>
      </c>
      <c r="CP43" s="55">
        <v>8458</v>
      </c>
      <c r="CQ43" s="55">
        <v>8490</v>
      </c>
      <c r="CR43" s="55">
        <v>8538</v>
      </c>
      <c r="CS43" s="56">
        <v>8547</v>
      </c>
      <c r="CT43" s="55">
        <v>8562</v>
      </c>
      <c r="CU43" s="55">
        <v>8591</v>
      </c>
      <c r="CV43" s="55">
        <v>8623</v>
      </c>
      <c r="CW43" s="55">
        <v>8641</v>
      </c>
      <c r="CX43" s="55">
        <v>8649</v>
      </c>
      <c r="CY43" s="55">
        <v>8664</v>
      </c>
      <c r="CZ43" s="55">
        <v>8671</v>
      </c>
      <c r="DA43" s="55">
        <v>8700</v>
      </c>
      <c r="DB43" s="55">
        <v>8702</v>
      </c>
      <c r="DC43" s="55">
        <v>8781</v>
      </c>
      <c r="DD43" s="55">
        <v>8824</v>
      </c>
      <c r="DE43" s="56">
        <v>8827</v>
      </c>
      <c r="DF43" s="55">
        <v>8889</v>
      </c>
      <c r="DG43" s="55">
        <v>8933</v>
      </c>
      <c r="DH43" s="55">
        <v>8941</v>
      </c>
      <c r="DI43" s="55">
        <v>8965</v>
      </c>
      <c r="DJ43" s="55">
        <v>8984</v>
      </c>
      <c r="DK43" s="55">
        <v>9021</v>
      </c>
      <c r="DL43" s="55">
        <v>9047</v>
      </c>
      <c r="DM43" s="55">
        <v>9070</v>
      </c>
      <c r="DN43" s="55">
        <v>9103</v>
      </c>
      <c r="DO43" s="55">
        <v>9115</v>
      </c>
      <c r="DP43" s="55">
        <v>9133</v>
      </c>
      <c r="DQ43" s="56">
        <v>9135</v>
      </c>
      <c r="DR43" s="55">
        <v>9143</v>
      </c>
      <c r="DS43" s="55">
        <v>9151</v>
      </c>
      <c r="DT43" s="55">
        <v>9168</v>
      </c>
      <c r="DU43" s="55">
        <v>9168</v>
      </c>
      <c r="DV43" s="55">
        <v>9169</v>
      </c>
      <c r="DW43" s="55">
        <v>9194</v>
      </c>
      <c r="DX43" s="55">
        <v>9195</v>
      </c>
      <c r="DY43" s="55">
        <v>9237</v>
      </c>
      <c r="DZ43" s="55">
        <v>9255</v>
      </c>
      <c r="EA43" s="55">
        <v>9278</v>
      </c>
      <c r="EB43" s="55">
        <v>9284</v>
      </c>
      <c r="EC43" s="56">
        <v>9284</v>
      </c>
      <c r="ED43" s="55">
        <v>9321</v>
      </c>
      <c r="EE43" s="55">
        <v>9325</v>
      </c>
      <c r="EF43" s="55">
        <v>9342</v>
      </c>
      <c r="EG43" s="55">
        <v>9349</v>
      </c>
      <c r="EH43" s="55">
        <v>9366</v>
      </c>
      <c r="EI43" s="55">
        <v>9397</v>
      </c>
      <c r="EJ43" s="55">
        <v>9410</v>
      </c>
      <c r="EK43" s="55">
        <v>9441</v>
      </c>
      <c r="EL43" s="55">
        <v>9492</v>
      </c>
      <c r="EM43" s="55">
        <v>9529</v>
      </c>
      <c r="EN43" s="55">
        <v>9567</v>
      </c>
      <c r="EO43" s="56">
        <v>9578</v>
      </c>
      <c r="EP43" s="55">
        <v>9605</v>
      </c>
      <c r="EQ43" s="55">
        <v>9637</v>
      </c>
      <c r="ER43" s="55">
        <v>9651</v>
      </c>
      <c r="ES43" s="55">
        <v>9657</v>
      </c>
      <c r="ET43" s="55">
        <v>9694</v>
      </c>
      <c r="EU43" s="55">
        <v>9706</v>
      </c>
      <c r="EV43" s="55">
        <v>9724</v>
      </c>
      <c r="EW43" s="55">
        <v>9755</v>
      </c>
      <c r="EX43" s="55">
        <v>9782</v>
      </c>
      <c r="EY43" s="55">
        <v>9804</v>
      </c>
      <c r="EZ43" s="55">
        <v>9830</v>
      </c>
      <c r="FA43" s="56">
        <v>9844</v>
      </c>
      <c r="FB43" s="55">
        <v>9860</v>
      </c>
      <c r="FC43" s="55">
        <v>9880</v>
      </c>
      <c r="FD43" s="55">
        <v>9902</v>
      </c>
      <c r="FE43" s="55">
        <v>9913</v>
      </c>
      <c r="FF43" s="55">
        <v>9927</v>
      </c>
      <c r="FG43" s="55">
        <v>9939</v>
      </c>
      <c r="FH43" s="55">
        <v>9958</v>
      </c>
      <c r="FI43" s="55">
        <v>9988</v>
      </c>
      <c r="FJ43" s="39">
        <v>10027</v>
      </c>
      <c r="FK43" s="39">
        <v>10069</v>
      </c>
      <c r="FL43" s="39">
        <v>10092</v>
      </c>
      <c r="FM43" s="39">
        <v>10101</v>
      </c>
      <c r="FN43" s="77">
        <v>10115</v>
      </c>
      <c r="FO43" s="39">
        <v>10184</v>
      </c>
      <c r="FP43" s="39">
        <v>10198</v>
      </c>
      <c r="FQ43" s="39">
        <v>10271</v>
      </c>
      <c r="FR43" s="39">
        <v>10318</v>
      </c>
      <c r="FS43" s="39">
        <v>10404</v>
      </c>
      <c r="FT43" s="39">
        <v>10448</v>
      </c>
      <c r="FU43" s="38">
        <v>10514</v>
      </c>
      <c r="FV43" s="38">
        <v>10580</v>
      </c>
      <c r="FW43" s="38">
        <v>10695</v>
      </c>
      <c r="FX43" s="38">
        <v>10819</v>
      </c>
      <c r="FY43" s="196">
        <v>10852</v>
      </c>
      <c r="FZ43" s="38">
        <v>10893</v>
      </c>
      <c r="GA43" s="38">
        <v>10963</v>
      </c>
      <c r="GB43" s="38">
        <v>11043</v>
      </c>
      <c r="GC43" s="38">
        <v>11106</v>
      </c>
      <c r="GD43" s="38">
        <v>11250</v>
      </c>
      <c r="GE43" s="38">
        <v>11353</v>
      </c>
      <c r="GF43" s="38">
        <v>11418</v>
      </c>
      <c r="GG43" s="38">
        <v>11496</v>
      </c>
      <c r="GH43" s="38">
        <v>11537</v>
      </c>
      <c r="GI43" s="38">
        <v>11640</v>
      </c>
      <c r="GJ43" s="38">
        <v>11784</v>
      </c>
      <c r="GK43" s="196">
        <v>11832</v>
      </c>
      <c r="GL43" s="38">
        <v>11914</v>
      </c>
      <c r="GM43" s="38">
        <v>11992</v>
      </c>
      <c r="GN43" s="38">
        <v>12108</v>
      </c>
      <c r="GO43" s="38">
        <v>12212</v>
      </c>
    </row>
    <row r="44" spans="1:197" s="1" customFormat="1" ht="20.149999999999999" customHeight="1" x14ac:dyDescent="0.35">
      <c r="A44" s="31" t="s">
        <v>1626</v>
      </c>
      <c r="B44" s="55">
        <v>100</v>
      </c>
      <c r="C44" s="55">
        <v>100</v>
      </c>
      <c r="D44" s="55">
        <v>100</v>
      </c>
      <c r="E44" s="55">
        <v>100</v>
      </c>
      <c r="F44" s="55">
        <v>100</v>
      </c>
      <c r="G44" s="55">
        <v>100</v>
      </c>
      <c r="H44" s="55">
        <v>100</v>
      </c>
      <c r="I44" s="55">
        <v>100</v>
      </c>
      <c r="J44" s="55">
        <v>100</v>
      </c>
      <c r="K44" s="55">
        <v>101</v>
      </c>
      <c r="L44" s="55">
        <v>101</v>
      </c>
      <c r="M44" s="56">
        <v>102</v>
      </c>
      <c r="N44" s="57">
        <v>102</v>
      </c>
      <c r="O44" s="55">
        <v>103</v>
      </c>
      <c r="P44" s="55">
        <v>104</v>
      </c>
      <c r="Q44" s="55">
        <v>105</v>
      </c>
      <c r="R44" s="55">
        <v>110</v>
      </c>
      <c r="S44" s="55">
        <v>116</v>
      </c>
      <c r="T44" s="55">
        <v>119</v>
      </c>
      <c r="U44" s="55">
        <v>122</v>
      </c>
      <c r="V44" s="55">
        <v>125</v>
      </c>
      <c r="W44" s="55">
        <v>134</v>
      </c>
      <c r="X44" s="55">
        <v>144</v>
      </c>
      <c r="Y44" s="56">
        <v>163</v>
      </c>
      <c r="Z44" s="57">
        <v>182</v>
      </c>
      <c r="AA44" s="55">
        <v>187</v>
      </c>
      <c r="AB44" s="55">
        <v>194</v>
      </c>
      <c r="AC44" s="55">
        <v>203</v>
      </c>
      <c r="AD44" s="55">
        <v>215</v>
      </c>
      <c r="AE44" s="55">
        <v>220</v>
      </c>
      <c r="AF44" s="55">
        <v>235</v>
      </c>
      <c r="AG44" s="55">
        <v>276</v>
      </c>
      <c r="AH44" s="55">
        <v>321</v>
      </c>
      <c r="AI44" s="55">
        <v>406</v>
      </c>
      <c r="AJ44" s="55">
        <v>499</v>
      </c>
      <c r="AK44" s="56">
        <v>577</v>
      </c>
      <c r="AL44" s="57">
        <v>678</v>
      </c>
      <c r="AM44" s="55">
        <v>766</v>
      </c>
      <c r="AN44" s="55">
        <v>889</v>
      </c>
      <c r="AO44" s="55">
        <v>1007</v>
      </c>
      <c r="AP44" s="55">
        <v>1142</v>
      </c>
      <c r="AQ44" s="55">
        <v>1273</v>
      </c>
      <c r="AR44" s="55">
        <v>1482</v>
      </c>
      <c r="AS44" s="55">
        <v>1771</v>
      </c>
      <c r="AT44" s="55">
        <v>2141</v>
      </c>
      <c r="AU44" s="55">
        <v>2463</v>
      </c>
      <c r="AV44" s="55">
        <v>2830</v>
      </c>
      <c r="AW44" s="56">
        <v>3099</v>
      </c>
      <c r="AX44" s="55">
        <v>3452</v>
      </c>
      <c r="AY44" s="55">
        <v>4457</v>
      </c>
      <c r="AZ44" s="55">
        <v>4699</v>
      </c>
      <c r="BA44" s="55">
        <v>4937</v>
      </c>
      <c r="BB44" s="55">
        <v>5212</v>
      </c>
      <c r="BC44" s="55">
        <v>5505</v>
      </c>
      <c r="BD44" s="55">
        <v>5757</v>
      </c>
      <c r="BE44" s="55">
        <v>6036</v>
      </c>
      <c r="BF44" s="55">
        <v>6373</v>
      </c>
      <c r="BG44" s="55">
        <v>6712</v>
      </c>
      <c r="BH44" s="55">
        <v>7007</v>
      </c>
      <c r="BI44" s="56">
        <v>7249</v>
      </c>
      <c r="BJ44" s="55">
        <v>7466</v>
      </c>
      <c r="BK44" s="55">
        <v>7725</v>
      </c>
      <c r="BL44" s="55">
        <v>7982</v>
      </c>
      <c r="BM44" s="55">
        <v>8249</v>
      </c>
      <c r="BN44" s="55">
        <v>8521</v>
      </c>
      <c r="BO44" s="55">
        <v>8796</v>
      </c>
      <c r="BP44" s="55">
        <v>9070</v>
      </c>
      <c r="BQ44" s="55">
        <v>9530</v>
      </c>
      <c r="BR44" s="55">
        <v>10501</v>
      </c>
      <c r="BS44" s="55">
        <v>10637</v>
      </c>
      <c r="BT44" s="55">
        <v>10766</v>
      </c>
      <c r="BU44" s="56">
        <v>10874</v>
      </c>
      <c r="BV44" s="55">
        <v>10997</v>
      </c>
      <c r="BW44" s="55">
        <v>11101</v>
      </c>
      <c r="BX44" s="55">
        <v>11233</v>
      </c>
      <c r="BY44" s="55">
        <v>11375</v>
      </c>
      <c r="BZ44" s="55">
        <v>11528</v>
      </c>
      <c r="CA44" s="55">
        <v>11708</v>
      </c>
      <c r="CB44" s="55">
        <v>11838</v>
      </c>
      <c r="CC44" s="55">
        <v>12052</v>
      </c>
      <c r="CD44" s="55">
        <v>12488</v>
      </c>
      <c r="CE44" s="55">
        <v>12500</v>
      </c>
      <c r="CF44" s="55">
        <v>12531</v>
      </c>
      <c r="CG44" s="56">
        <v>12561</v>
      </c>
      <c r="CH44" s="55">
        <v>12581</v>
      </c>
      <c r="CI44" s="55">
        <v>12618</v>
      </c>
      <c r="CJ44" s="55">
        <v>12736</v>
      </c>
      <c r="CK44" s="55">
        <v>12739</v>
      </c>
      <c r="CL44" s="55">
        <v>12740</v>
      </c>
      <c r="CM44" s="55">
        <v>12740</v>
      </c>
      <c r="CN44" s="55">
        <v>12741</v>
      </c>
      <c r="CO44" s="55">
        <v>12746</v>
      </c>
      <c r="CP44" s="55">
        <v>12749</v>
      </c>
      <c r="CQ44" s="55">
        <v>12749</v>
      </c>
      <c r="CR44" s="55">
        <v>12752</v>
      </c>
      <c r="CS44" s="56">
        <v>12753</v>
      </c>
      <c r="CT44" s="55">
        <v>12755</v>
      </c>
      <c r="CU44" s="55">
        <v>12766</v>
      </c>
      <c r="CV44" s="55">
        <v>12779</v>
      </c>
      <c r="CW44" s="55">
        <v>12791</v>
      </c>
      <c r="CX44" s="55">
        <v>12798</v>
      </c>
      <c r="CY44" s="55">
        <v>12806</v>
      </c>
      <c r="CZ44" s="55">
        <v>12816</v>
      </c>
      <c r="DA44" s="55">
        <v>12827</v>
      </c>
      <c r="DB44" s="55">
        <v>12833</v>
      </c>
      <c r="DC44" s="55">
        <v>12835</v>
      </c>
      <c r="DD44" s="55">
        <v>12838</v>
      </c>
      <c r="DE44" s="56">
        <v>12844</v>
      </c>
      <c r="DF44" s="55">
        <v>12849</v>
      </c>
      <c r="DG44" s="55">
        <v>12856</v>
      </c>
      <c r="DH44" s="55">
        <v>12861</v>
      </c>
      <c r="DI44" s="55">
        <v>12863</v>
      </c>
      <c r="DJ44" s="55">
        <v>12866</v>
      </c>
      <c r="DK44" s="55">
        <v>12872</v>
      </c>
      <c r="DL44" s="55">
        <v>12878</v>
      </c>
      <c r="DM44" s="55">
        <v>12882</v>
      </c>
      <c r="DN44" s="55">
        <v>12889</v>
      </c>
      <c r="DO44" s="55">
        <v>12892</v>
      </c>
      <c r="DP44" s="55">
        <v>12894</v>
      </c>
      <c r="DQ44" s="56">
        <v>12897</v>
      </c>
      <c r="DR44" s="55">
        <v>12904</v>
      </c>
      <c r="DS44" s="55">
        <v>12915</v>
      </c>
      <c r="DT44" s="55">
        <v>12921</v>
      </c>
      <c r="DU44" s="55">
        <v>12922</v>
      </c>
      <c r="DV44" s="55">
        <v>12922</v>
      </c>
      <c r="DW44" s="55">
        <v>12933</v>
      </c>
      <c r="DX44" s="55">
        <v>12945</v>
      </c>
      <c r="DY44" s="55">
        <v>12953</v>
      </c>
      <c r="DZ44" s="55">
        <v>12964</v>
      </c>
      <c r="EA44" s="55">
        <v>12967</v>
      </c>
      <c r="EB44" s="55">
        <v>12979</v>
      </c>
      <c r="EC44" s="56">
        <v>12984</v>
      </c>
      <c r="ED44" s="55">
        <v>12990</v>
      </c>
      <c r="EE44" s="55">
        <v>13000</v>
      </c>
      <c r="EF44" s="55">
        <v>13015</v>
      </c>
      <c r="EG44" s="55">
        <v>13034</v>
      </c>
      <c r="EH44" s="55">
        <v>13067</v>
      </c>
      <c r="EI44" s="55">
        <v>13099</v>
      </c>
      <c r="EJ44" s="55">
        <v>13116</v>
      </c>
      <c r="EK44" s="55">
        <v>13149</v>
      </c>
      <c r="EL44" s="55">
        <v>13200</v>
      </c>
      <c r="EM44" s="55">
        <v>13223</v>
      </c>
      <c r="EN44" s="55">
        <v>13292</v>
      </c>
      <c r="EO44" s="56">
        <v>13322</v>
      </c>
      <c r="EP44" s="55">
        <v>13403</v>
      </c>
      <c r="EQ44" s="55">
        <v>13449</v>
      </c>
      <c r="ER44" s="55">
        <v>13523</v>
      </c>
      <c r="ES44" s="55">
        <v>13598</v>
      </c>
      <c r="ET44" s="55">
        <v>13734</v>
      </c>
      <c r="EU44" s="55">
        <v>13855</v>
      </c>
      <c r="EV44" s="55">
        <v>13964</v>
      </c>
      <c r="EW44" s="55">
        <v>14085</v>
      </c>
      <c r="EX44" s="55">
        <v>14248</v>
      </c>
      <c r="EY44" s="55">
        <v>14396</v>
      </c>
      <c r="EZ44" s="55">
        <v>14604</v>
      </c>
      <c r="FA44" s="56">
        <v>14730</v>
      </c>
      <c r="FB44" s="55">
        <v>14907</v>
      </c>
      <c r="FC44" s="55">
        <v>15045</v>
      </c>
      <c r="FD44" s="55">
        <v>15172</v>
      </c>
      <c r="FE44" s="55">
        <v>15255</v>
      </c>
      <c r="FF44" s="55">
        <v>15388</v>
      </c>
      <c r="FG44" s="55">
        <v>15533</v>
      </c>
      <c r="FH44" s="55">
        <v>15665</v>
      </c>
      <c r="FI44" s="55">
        <v>15822</v>
      </c>
      <c r="FJ44" s="39">
        <v>15947</v>
      </c>
      <c r="FK44" s="39">
        <v>16079</v>
      </c>
      <c r="FL44" s="39">
        <v>16204</v>
      </c>
      <c r="FM44" s="39">
        <v>16289</v>
      </c>
      <c r="FN44" s="77">
        <v>16376</v>
      </c>
      <c r="FO44" s="39">
        <v>16475</v>
      </c>
      <c r="FP44" s="39">
        <v>16540</v>
      </c>
      <c r="FQ44" s="39">
        <v>16645</v>
      </c>
      <c r="FR44" s="39">
        <v>16756</v>
      </c>
      <c r="FS44" s="39">
        <v>16889</v>
      </c>
      <c r="FT44" s="39">
        <v>17016</v>
      </c>
      <c r="FU44" s="39">
        <v>17148</v>
      </c>
      <c r="FV44" s="39">
        <v>17257</v>
      </c>
      <c r="FW44" s="39">
        <v>17370</v>
      </c>
      <c r="FX44" s="39">
        <v>17483</v>
      </c>
      <c r="FY44" s="197">
        <v>17534</v>
      </c>
      <c r="FZ44" s="39">
        <v>17631</v>
      </c>
      <c r="GA44" s="39">
        <v>17724</v>
      </c>
      <c r="GB44" s="39">
        <v>17859</v>
      </c>
      <c r="GC44" s="39">
        <v>17980</v>
      </c>
      <c r="GD44" s="39">
        <v>18181</v>
      </c>
      <c r="GE44" s="39">
        <v>18361</v>
      </c>
      <c r="GF44" s="39">
        <v>18503</v>
      </c>
      <c r="GG44" s="39">
        <v>18661</v>
      </c>
      <c r="GH44" s="39">
        <v>18824</v>
      </c>
      <c r="GI44" s="39">
        <v>19002</v>
      </c>
      <c r="GJ44" s="39">
        <v>19170</v>
      </c>
      <c r="GK44" s="197">
        <v>19269</v>
      </c>
      <c r="GL44" s="39">
        <v>19422</v>
      </c>
      <c r="GM44" s="39">
        <v>19581</v>
      </c>
      <c r="GN44" s="39">
        <v>19781</v>
      </c>
      <c r="GO44" s="39">
        <v>20022</v>
      </c>
    </row>
    <row r="45" spans="1:197" s="1" customFormat="1" ht="20.149999999999999" customHeight="1" x14ac:dyDescent="0.35">
      <c r="A45" s="31" t="s">
        <v>1625</v>
      </c>
      <c r="B45" s="55">
        <v>14</v>
      </c>
      <c r="C45" s="55">
        <v>14</v>
      </c>
      <c r="D45" s="55">
        <v>15</v>
      </c>
      <c r="E45" s="55">
        <v>15</v>
      </c>
      <c r="F45" s="55">
        <v>15</v>
      </c>
      <c r="G45" s="55">
        <v>16</v>
      </c>
      <c r="H45" s="55">
        <v>17</v>
      </c>
      <c r="I45" s="55">
        <v>17</v>
      </c>
      <c r="J45" s="55">
        <v>17</v>
      </c>
      <c r="K45" s="55">
        <v>17</v>
      </c>
      <c r="L45" s="55">
        <v>17</v>
      </c>
      <c r="M45" s="56">
        <v>17</v>
      </c>
      <c r="N45" s="57">
        <v>17</v>
      </c>
      <c r="O45" s="55">
        <v>17</v>
      </c>
      <c r="P45" s="55">
        <v>17</v>
      </c>
      <c r="Q45" s="55">
        <v>17</v>
      </c>
      <c r="R45" s="55">
        <v>17</v>
      </c>
      <c r="S45" s="55">
        <v>17</v>
      </c>
      <c r="T45" s="55">
        <v>17</v>
      </c>
      <c r="U45" s="55">
        <v>17</v>
      </c>
      <c r="V45" s="55">
        <v>17</v>
      </c>
      <c r="W45" s="55">
        <v>18</v>
      </c>
      <c r="X45" s="55">
        <v>18</v>
      </c>
      <c r="Y45" s="56">
        <v>19</v>
      </c>
      <c r="Z45" s="57">
        <v>19</v>
      </c>
      <c r="AA45" s="55">
        <v>21</v>
      </c>
      <c r="AB45" s="55">
        <v>23</v>
      </c>
      <c r="AC45" s="55">
        <v>24</v>
      </c>
      <c r="AD45" s="55">
        <v>24</v>
      </c>
      <c r="AE45" s="55">
        <v>24</v>
      </c>
      <c r="AF45" s="55">
        <v>24</v>
      </c>
      <c r="AG45" s="55">
        <v>28</v>
      </c>
      <c r="AH45" s="55">
        <v>31</v>
      </c>
      <c r="AI45" s="55">
        <v>38</v>
      </c>
      <c r="AJ45" s="55">
        <v>49</v>
      </c>
      <c r="AK45" s="56">
        <v>54</v>
      </c>
      <c r="AL45" s="57">
        <v>60</v>
      </c>
      <c r="AM45" s="55">
        <v>64</v>
      </c>
      <c r="AN45" s="55">
        <v>69</v>
      </c>
      <c r="AO45" s="55">
        <v>74</v>
      </c>
      <c r="AP45" s="55">
        <v>89</v>
      </c>
      <c r="AQ45" s="55">
        <v>112</v>
      </c>
      <c r="AR45" s="55">
        <v>132</v>
      </c>
      <c r="AS45" s="55">
        <v>178</v>
      </c>
      <c r="AT45" s="55">
        <v>200</v>
      </c>
      <c r="AU45" s="55">
        <v>225</v>
      </c>
      <c r="AV45" s="55">
        <v>272</v>
      </c>
      <c r="AW45" s="56">
        <v>306</v>
      </c>
      <c r="AX45" s="55">
        <v>361</v>
      </c>
      <c r="AY45" s="55">
        <v>567</v>
      </c>
      <c r="AZ45" s="55">
        <v>588</v>
      </c>
      <c r="BA45" s="55">
        <v>614</v>
      </c>
      <c r="BB45" s="55">
        <v>657</v>
      </c>
      <c r="BC45" s="55">
        <v>692</v>
      </c>
      <c r="BD45" s="55">
        <v>720</v>
      </c>
      <c r="BE45" s="55">
        <v>741</v>
      </c>
      <c r="BF45" s="55">
        <v>782</v>
      </c>
      <c r="BG45" s="55">
        <v>814</v>
      </c>
      <c r="BH45" s="55">
        <v>852</v>
      </c>
      <c r="BI45" s="56">
        <v>889</v>
      </c>
      <c r="BJ45" s="55">
        <v>952</v>
      </c>
      <c r="BK45" s="55">
        <v>1051</v>
      </c>
      <c r="BL45" s="55">
        <v>1193</v>
      </c>
      <c r="BM45" s="55">
        <v>1247</v>
      </c>
      <c r="BN45" s="55">
        <v>1296</v>
      </c>
      <c r="BO45" s="55">
        <v>1360</v>
      </c>
      <c r="BP45" s="55">
        <v>1398</v>
      </c>
      <c r="BQ45" s="55">
        <v>1495</v>
      </c>
      <c r="BR45" s="55">
        <v>1761</v>
      </c>
      <c r="BS45" s="55">
        <v>1779</v>
      </c>
      <c r="BT45" s="55">
        <v>1796</v>
      </c>
      <c r="BU45" s="56">
        <v>1809</v>
      </c>
      <c r="BV45" s="55">
        <v>1825</v>
      </c>
      <c r="BW45" s="55">
        <v>1838</v>
      </c>
      <c r="BX45" s="55">
        <v>1860</v>
      </c>
      <c r="BY45" s="55">
        <v>1879</v>
      </c>
      <c r="BZ45" s="55">
        <v>1908</v>
      </c>
      <c r="CA45" s="55">
        <v>1952</v>
      </c>
      <c r="CB45" s="55">
        <v>1995</v>
      </c>
      <c r="CC45" s="55">
        <v>2063</v>
      </c>
      <c r="CD45" s="55">
        <v>2265</v>
      </c>
      <c r="CE45" s="55">
        <v>2269</v>
      </c>
      <c r="CF45" s="55">
        <v>2274</v>
      </c>
      <c r="CG45" s="56">
        <v>2280</v>
      </c>
      <c r="CH45" s="55">
        <v>2282</v>
      </c>
      <c r="CI45" s="55">
        <v>2297</v>
      </c>
      <c r="CJ45" s="55">
        <v>2345</v>
      </c>
      <c r="CK45" s="55">
        <v>2347</v>
      </c>
      <c r="CL45" s="55">
        <v>2347</v>
      </c>
      <c r="CM45" s="55">
        <v>2349</v>
      </c>
      <c r="CN45" s="55">
        <v>2350</v>
      </c>
      <c r="CO45" s="55">
        <v>2353</v>
      </c>
      <c r="CP45" s="55">
        <v>2353</v>
      </c>
      <c r="CQ45" s="55">
        <v>2354</v>
      </c>
      <c r="CR45" s="55">
        <v>2359</v>
      </c>
      <c r="CS45" s="56">
        <v>2364</v>
      </c>
      <c r="CT45" s="55">
        <v>2364</v>
      </c>
      <c r="CU45" s="55">
        <v>2365</v>
      </c>
      <c r="CV45" s="55">
        <v>2365</v>
      </c>
      <c r="CW45" s="55">
        <v>2368</v>
      </c>
      <c r="CX45" s="55">
        <v>2369</v>
      </c>
      <c r="CY45" s="55">
        <v>2370</v>
      </c>
      <c r="CZ45" s="55">
        <v>2371</v>
      </c>
      <c r="DA45" s="55">
        <v>2374</v>
      </c>
      <c r="DB45" s="55">
        <v>2375</v>
      </c>
      <c r="DC45" s="55">
        <v>2376</v>
      </c>
      <c r="DD45" s="55">
        <v>2378</v>
      </c>
      <c r="DE45" s="56">
        <v>2380</v>
      </c>
      <c r="DF45" s="55">
        <v>2380</v>
      </c>
      <c r="DG45" s="55">
        <v>2382</v>
      </c>
      <c r="DH45" s="55">
        <v>2382</v>
      </c>
      <c r="DI45" s="55">
        <v>2382</v>
      </c>
      <c r="DJ45" s="55">
        <v>2382</v>
      </c>
      <c r="DK45" s="55">
        <v>2385</v>
      </c>
      <c r="DL45" s="55">
        <v>2385</v>
      </c>
      <c r="DM45" s="55">
        <v>2386</v>
      </c>
      <c r="DN45" s="55">
        <v>2388</v>
      </c>
      <c r="DO45" s="55">
        <v>2389</v>
      </c>
      <c r="DP45" s="55">
        <v>2390</v>
      </c>
      <c r="DQ45" s="56">
        <v>2391</v>
      </c>
      <c r="DR45" s="55">
        <v>2392</v>
      </c>
      <c r="DS45" s="55">
        <v>2392</v>
      </c>
      <c r="DT45" s="55">
        <v>2393</v>
      </c>
      <c r="DU45" s="55">
        <v>2394</v>
      </c>
      <c r="DV45" s="55">
        <v>2394</v>
      </c>
      <c r="DW45" s="55">
        <v>2396</v>
      </c>
      <c r="DX45" s="55">
        <v>2399</v>
      </c>
      <c r="DY45" s="55">
        <v>2399</v>
      </c>
      <c r="DZ45" s="55">
        <v>2401</v>
      </c>
      <c r="EA45" s="55">
        <v>2401</v>
      </c>
      <c r="EB45" s="55">
        <v>2401</v>
      </c>
      <c r="EC45" s="56">
        <v>2401</v>
      </c>
      <c r="ED45" s="55">
        <v>2402</v>
      </c>
      <c r="EE45" s="55">
        <v>2402</v>
      </c>
      <c r="EF45" s="55">
        <v>2404</v>
      </c>
      <c r="EG45" s="55">
        <v>2409</v>
      </c>
      <c r="EH45" s="55">
        <v>2412</v>
      </c>
      <c r="EI45" s="55">
        <v>2416</v>
      </c>
      <c r="EJ45" s="55">
        <v>2417</v>
      </c>
      <c r="EK45" s="55">
        <v>2418</v>
      </c>
      <c r="EL45" s="55">
        <v>2420</v>
      </c>
      <c r="EM45" s="55">
        <v>2424</v>
      </c>
      <c r="EN45" s="55">
        <v>2426</v>
      </c>
      <c r="EO45" s="56">
        <v>2429</v>
      </c>
      <c r="EP45" s="55">
        <v>2433</v>
      </c>
      <c r="EQ45" s="55">
        <v>2441</v>
      </c>
      <c r="ER45" s="55">
        <v>2450</v>
      </c>
      <c r="ES45" s="55">
        <v>2454</v>
      </c>
      <c r="ET45" s="55">
        <v>2463</v>
      </c>
      <c r="EU45" s="55">
        <v>2475</v>
      </c>
      <c r="EV45" s="55">
        <v>2484</v>
      </c>
      <c r="EW45" s="55">
        <v>2495</v>
      </c>
      <c r="EX45" s="55">
        <v>2507</v>
      </c>
      <c r="EY45" s="55">
        <v>2530</v>
      </c>
      <c r="EZ45" s="55">
        <v>2547</v>
      </c>
      <c r="FA45" s="56">
        <v>2561</v>
      </c>
      <c r="FB45" s="55">
        <v>2578</v>
      </c>
      <c r="FC45" s="55">
        <v>2601</v>
      </c>
      <c r="FD45" s="55">
        <v>2622</v>
      </c>
      <c r="FE45" s="55">
        <v>2650</v>
      </c>
      <c r="FF45" s="55">
        <v>2670</v>
      </c>
      <c r="FG45" s="55">
        <v>2684</v>
      </c>
      <c r="FH45" s="55">
        <v>2695</v>
      </c>
      <c r="FI45" s="55">
        <v>2702</v>
      </c>
      <c r="FJ45" s="39">
        <v>2719</v>
      </c>
      <c r="FK45" s="39">
        <v>2749</v>
      </c>
      <c r="FL45" s="39">
        <v>2761</v>
      </c>
      <c r="FM45" s="39">
        <v>2772</v>
      </c>
      <c r="FN45" s="77">
        <v>2781</v>
      </c>
      <c r="FO45" s="39">
        <v>2798</v>
      </c>
      <c r="FP45" s="39">
        <v>2804</v>
      </c>
      <c r="FQ45" s="39">
        <v>2831</v>
      </c>
      <c r="FR45" s="39">
        <v>2839</v>
      </c>
      <c r="FS45" s="39">
        <v>2847</v>
      </c>
      <c r="FT45" s="39">
        <v>2854</v>
      </c>
      <c r="FU45" s="39">
        <v>2862</v>
      </c>
      <c r="FV45" s="39">
        <v>2866</v>
      </c>
      <c r="FW45" s="39">
        <v>2871</v>
      </c>
      <c r="FX45" s="39">
        <v>2879</v>
      </c>
      <c r="FY45" s="197">
        <v>2884</v>
      </c>
      <c r="FZ45" s="39">
        <v>2889</v>
      </c>
      <c r="GA45" s="39">
        <v>2900</v>
      </c>
      <c r="GB45" s="39">
        <v>2906</v>
      </c>
      <c r="GC45" s="39">
        <v>2919</v>
      </c>
      <c r="GD45" s="39">
        <v>2932</v>
      </c>
      <c r="GE45" s="39">
        <v>2953</v>
      </c>
      <c r="GF45" s="39">
        <v>2965</v>
      </c>
      <c r="GG45" s="39">
        <v>2979</v>
      </c>
      <c r="GH45" s="39">
        <v>2989</v>
      </c>
      <c r="GI45" s="39">
        <v>3009</v>
      </c>
      <c r="GJ45" s="39">
        <v>3027</v>
      </c>
      <c r="GK45" s="197">
        <v>3037</v>
      </c>
      <c r="GL45" s="39">
        <v>3051</v>
      </c>
      <c r="GM45" s="39">
        <v>3065</v>
      </c>
      <c r="GN45" s="39">
        <v>3077</v>
      </c>
      <c r="GO45" s="39">
        <v>3084</v>
      </c>
    </row>
    <row r="46" spans="1:197" s="1" customFormat="1" ht="20.149999999999999" customHeight="1" x14ac:dyDescent="0.35">
      <c r="A46" s="31" t="s">
        <v>1627</v>
      </c>
      <c r="B46" s="55">
        <v>0</v>
      </c>
      <c r="C46" s="55">
        <v>0</v>
      </c>
      <c r="D46" s="55">
        <v>0</v>
      </c>
      <c r="E46" s="55">
        <v>0</v>
      </c>
      <c r="F46" s="55">
        <v>0</v>
      </c>
      <c r="G46" s="55">
        <v>0</v>
      </c>
      <c r="H46" s="55">
        <v>0</v>
      </c>
      <c r="I46" s="55">
        <v>0</v>
      </c>
      <c r="J46" s="55">
        <v>0</v>
      </c>
      <c r="K46" s="55">
        <v>0</v>
      </c>
      <c r="L46" s="55">
        <v>0</v>
      </c>
      <c r="M46" s="56">
        <v>0</v>
      </c>
      <c r="N46" s="57">
        <v>0</v>
      </c>
      <c r="O46" s="55">
        <v>0</v>
      </c>
      <c r="P46" s="55">
        <v>0</v>
      </c>
      <c r="Q46" s="55">
        <v>0</v>
      </c>
      <c r="R46" s="55">
        <v>0</v>
      </c>
      <c r="S46" s="55">
        <v>0</v>
      </c>
      <c r="T46" s="55">
        <v>0</v>
      </c>
      <c r="U46" s="55">
        <v>0</v>
      </c>
      <c r="V46" s="55">
        <v>0</v>
      </c>
      <c r="W46" s="55">
        <v>0</v>
      </c>
      <c r="X46" s="55">
        <v>0</v>
      </c>
      <c r="Y46" s="56">
        <v>0</v>
      </c>
      <c r="Z46" s="57">
        <v>0</v>
      </c>
      <c r="AA46" s="55">
        <v>0</v>
      </c>
      <c r="AB46" s="55">
        <v>0</v>
      </c>
      <c r="AC46" s="55">
        <v>0</v>
      </c>
      <c r="AD46" s="55">
        <v>0</v>
      </c>
      <c r="AE46" s="55">
        <v>0</v>
      </c>
      <c r="AF46" s="55">
        <v>0</v>
      </c>
      <c r="AG46" s="55">
        <v>0</v>
      </c>
      <c r="AH46" s="55">
        <v>0</v>
      </c>
      <c r="AI46" s="55">
        <v>1</v>
      </c>
      <c r="AJ46" s="55">
        <v>2</v>
      </c>
      <c r="AK46" s="56">
        <v>2</v>
      </c>
      <c r="AL46" s="57">
        <v>2</v>
      </c>
      <c r="AM46" s="55">
        <v>2</v>
      </c>
      <c r="AN46" s="55">
        <v>2</v>
      </c>
      <c r="AO46" s="55">
        <v>2</v>
      </c>
      <c r="AP46" s="55">
        <v>2</v>
      </c>
      <c r="AQ46" s="55">
        <v>2</v>
      </c>
      <c r="AR46" s="55">
        <v>2</v>
      </c>
      <c r="AS46" s="55">
        <v>2</v>
      </c>
      <c r="AT46" s="55">
        <v>2</v>
      </c>
      <c r="AU46" s="55">
        <v>2</v>
      </c>
      <c r="AV46" s="55">
        <v>6</v>
      </c>
      <c r="AW46" s="56">
        <v>6</v>
      </c>
      <c r="AX46" s="55">
        <v>9</v>
      </c>
      <c r="AY46" s="55">
        <v>14</v>
      </c>
      <c r="AZ46" s="55">
        <v>17</v>
      </c>
      <c r="BA46" s="55">
        <v>17</v>
      </c>
      <c r="BB46" s="55">
        <v>24</v>
      </c>
      <c r="BC46" s="55">
        <v>29</v>
      </c>
      <c r="BD46" s="55">
        <v>37</v>
      </c>
      <c r="BE46" s="55">
        <v>39</v>
      </c>
      <c r="BF46" s="55">
        <v>40</v>
      </c>
      <c r="BG46" s="55">
        <v>44</v>
      </c>
      <c r="BH46" s="55">
        <v>45</v>
      </c>
      <c r="BI46" s="56">
        <v>49</v>
      </c>
      <c r="BJ46" s="55">
        <v>54</v>
      </c>
      <c r="BK46" s="55">
        <v>54</v>
      </c>
      <c r="BL46" s="55">
        <v>61</v>
      </c>
      <c r="BM46" s="55">
        <v>64</v>
      </c>
      <c r="BN46" s="55">
        <v>71</v>
      </c>
      <c r="BO46" s="55">
        <v>74</v>
      </c>
      <c r="BP46" s="55">
        <v>78</v>
      </c>
      <c r="BQ46" s="55">
        <v>92</v>
      </c>
      <c r="BR46" s="55">
        <v>107</v>
      </c>
      <c r="BS46" s="55">
        <v>110</v>
      </c>
      <c r="BT46" s="55">
        <v>110</v>
      </c>
      <c r="BU46" s="56">
        <v>111</v>
      </c>
      <c r="BV46" s="55">
        <v>111</v>
      </c>
      <c r="BW46" s="55">
        <v>112</v>
      </c>
      <c r="BX46" s="55">
        <v>112</v>
      </c>
      <c r="BY46" s="55">
        <v>113</v>
      </c>
      <c r="BZ46" s="55">
        <v>114</v>
      </c>
      <c r="CA46" s="55">
        <v>115</v>
      </c>
      <c r="CB46" s="55">
        <v>116</v>
      </c>
      <c r="CC46" s="55">
        <v>117</v>
      </c>
      <c r="CD46" s="55">
        <v>117</v>
      </c>
      <c r="CE46" s="55">
        <v>117</v>
      </c>
      <c r="CF46" s="55">
        <v>117</v>
      </c>
      <c r="CG46" s="56">
        <v>117</v>
      </c>
      <c r="CH46" s="55">
        <v>120</v>
      </c>
      <c r="CI46" s="55">
        <v>123</v>
      </c>
      <c r="CJ46" s="55">
        <v>132</v>
      </c>
      <c r="CK46" s="55">
        <v>132</v>
      </c>
      <c r="CL46" s="55">
        <v>133</v>
      </c>
      <c r="CM46" s="55">
        <v>133</v>
      </c>
      <c r="CN46" s="55">
        <v>133</v>
      </c>
      <c r="CO46" s="55">
        <v>133</v>
      </c>
      <c r="CP46" s="55">
        <v>133</v>
      </c>
      <c r="CQ46" s="55">
        <v>133</v>
      </c>
      <c r="CR46" s="55">
        <v>133</v>
      </c>
      <c r="CS46" s="56">
        <v>133</v>
      </c>
      <c r="CT46" s="55">
        <v>133</v>
      </c>
      <c r="CU46" s="55">
        <v>133</v>
      </c>
      <c r="CV46" s="55">
        <v>140</v>
      </c>
      <c r="CW46" s="55">
        <v>140</v>
      </c>
      <c r="CX46" s="55">
        <v>140</v>
      </c>
      <c r="CY46" s="55">
        <v>140</v>
      </c>
      <c r="CZ46" s="55">
        <v>140</v>
      </c>
      <c r="DA46" s="55">
        <v>140</v>
      </c>
      <c r="DB46" s="55">
        <v>140</v>
      </c>
      <c r="DC46" s="55">
        <v>140</v>
      </c>
      <c r="DD46" s="55">
        <v>140</v>
      </c>
      <c r="DE46" s="56">
        <v>140</v>
      </c>
      <c r="DF46" s="55">
        <v>140</v>
      </c>
      <c r="DG46" s="55">
        <v>140</v>
      </c>
      <c r="DH46" s="55">
        <v>140</v>
      </c>
      <c r="DI46" s="55">
        <v>140</v>
      </c>
      <c r="DJ46" s="55">
        <v>140</v>
      </c>
      <c r="DK46" s="55">
        <v>140</v>
      </c>
      <c r="DL46" s="55">
        <v>140</v>
      </c>
      <c r="DM46" s="55">
        <v>140</v>
      </c>
      <c r="DN46" s="55">
        <v>140</v>
      </c>
      <c r="DO46" s="55">
        <v>140</v>
      </c>
      <c r="DP46" s="55">
        <v>140</v>
      </c>
      <c r="DQ46" s="56">
        <v>140</v>
      </c>
      <c r="DR46" s="55">
        <v>140</v>
      </c>
      <c r="DS46" s="55">
        <v>140</v>
      </c>
      <c r="DT46" s="55">
        <v>140</v>
      </c>
      <c r="DU46" s="55">
        <v>140</v>
      </c>
      <c r="DV46" s="55">
        <v>140</v>
      </c>
      <c r="DW46" s="55">
        <v>140</v>
      </c>
      <c r="DX46" s="55">
        <v>140</v>
      </c>
      <c r="DY46" s="55">
        <v>142</v>
      </c>
      <c r="DZ46" s="55">
        <v>142</v>
      </c>
      <c r="EA46" s="55">
        <v>142</v>
      </c>
      <c r="EB46" s="55">
        <v>142</v>
      </c>
      <c r="EC46" s="56">
        <v>142</v>
      </c>
      <c r="ED46" s="55">
        <v>142</v>
      </c>
      <c r="EE46" s="55">
        <v>142</v>
      </c>
      <c r="EF46" s="55">
        <v>142</v>
      </c>
      <c r="EG46" s="55">
        <v>142</v>
      </c>
      <c r="EH46" s="55">
        <v>142</v>
      </c>
      <c r="EI46" s="55">
        <v>142</v>
      </c>
      <c r="EJ46" s="55">
        <v>142</v>
      </c>
      <c r="EK46" s="55">
        <v>142</v>
      </c>
      <c r="EL46" s="55">
        <v>142</v>
      </c>
      <c r="EM46" s="55">
        <v>142</v>
      </c>
      <c r="EN46" s="55">
        <v>142</v>
      </c>
      <c r="EO46" s="56">
        <v>142</v>
      </c>
      <c r="EP46" s="55">
        <v>142</v>
      </c>
      <c r="EQ46" s="55">
        <v>142</v>
      </c>
      <c r="ER46" s="55">
        <v>143</v>
      </c>
      <c r="ES46" s="55">
        <v>143</v>
      </c>
      <c r="ET46" s="55">
        <v>144</v>
      </c>
      <c r="EU46" s="55">
        <v>144</v>
      </c>
      <c r="EV46" s="55">
        <v>144</v>
      </c>
      <c r="EW46" s="55">
        <v>144</v>
      </c>
      <c r="EX46" s="55">
        <v>144</v>
      </c>
      <c r="EY46" s="55">
        <v>144</v>
      </c>
      <c r="EZ46" s="55">
        <v>144</v>
      </c>
      <c r="FA46" s="56">
        <v>144</v>
      </c>
      <c r="FB46" s="55">
        <v>144</v>
      </c>
      <c r="FC46" s="55">
        <v>144</v>
      </c>
      <c r="FD46" s="55">
        <v>144</v>
      </c>
      <c r="FE46" s="55">
        <v>144</v>
      </c>
      <c r="FF46" s="55">
        <v>144</v>
      </c>
      <c r="FG46" s="55">
        <v>144</v>
      </c>
      <c r="FH46" s="55">
        <v>144</v>
      </c>
      <c r="FI46" s="55">
        <v>144</v>
      </c>
      <c r="FJ46" s="39">
        <v>145</v>
      </c>
      <c r="FK46" s="39">
        <v>151</v>
      </c>
      <c r="FL46" s="39">
        <v>151</v>
      </c>
      <c r="FM46" s="39">
        <v>151</v>
      </c>
      <c r="FN46" s="77">
        <v>151</v>
      </c>
      <c r="FO46" s="39">
        <v>151</v>
      </c>
      <c r="FP46" s="39">
        <v>151</v>
      </c>
      <c r="FQ46" s="39">
        <v>151</v>
      </c>
      <c r="FR46" s="39">
        <v>151</v>
      </c>
      <c r="FS46" s="39">
        <v>151</v>
      </c>
      <c r="FT46" s="39">
        <v>152</v>
      </c>
      <c r="FU46" s="39">
        <v>152</v>
      </c>
      <c r="FV46" s="39">
        <v>152</v>
      </c>
      <c r="FW46" s="39">
        <v>152</v>
      </c>
      <c r="FX46" s="39">
        <v>152</v>
      </c>
      <c r="FY46" s="197">
        <v>153</v>
      </c>
      <c r="FZ46" s="39">
        <v>153</v>
      </c>
      <c r="GA46" s="39">
        <v>153</v>
      </c>
      <c r="GB46" s="39">
        <v>153</v>
      </c>
      <c r="GC46" s="39">
        <v>153</v>
      </c>
      <c r="GD46" s="39">
        <v>153</v>
      </c>
      <c r="GE46" s="39">
        <v>153</v>
      </c>
      <c r="GF46" s="39">
        <v>154</v>
      </c>
      <c r="GG46" s="39">
        <v>155</v>
      </c>
      <c r="GH46" s="39">
        <v>155</v>
      </c>
      <c r="GI46" s="39">
        <v>155</v>
      </c>
      <c r="GJ46" s="39">
        <v>155</v>
      </c>
      <c r="GK46" s="197">
        <v>155</v>
      </c>
      <c r="GL46" s="39">
        <v>155</v>
      </c>
      <c r="GM46" s="39">
        <v>156</v>
      </c>
      <c r="GN46" s="39">
        <v>156</v>
      </c>
      <c r="GO46" s="39">
        <v>156</v>
      </c>
    </row>
    <row r="47" spans="1:197" s="1" customFormat="1" ht="20.149999999999999" customHeight="1" x14ac:dyDescent="0.35">
      <c r="A47" s="31" t="s">
        <v>1624</v>
      </c>
      <c r="B47" s="55">
        <v>0</v>
      </c>
      <c r="C47" s="55">
        <v>0</v>
      </c>
      <c r="D47" s="55">
        <v>0</v>
      </c>
      <c r="E47" s="55">
        <v>0</v>
      </c>
      <c r="F47" s="55">
        <v>0</v>
      </c>
      <c r="G47" s="55">
        <v>0</v>
      </c>
      <c r="H47" s="55">
        <v>0</v>
      </c>
      <c r="I47" s="55">
        <v>0</v>
      </c>
      <c r="J47" s="55">
        <v>0</v>
      </c>
      <c r="K47" s="55">
        <v>0</v>
      </c>
      <c r="L47" s="55">
        <v>0</v>
      </c>
      <c r="M47" s="56">
        <v>0</v>
      </c>
      <c r="N47" s="57">
        <v>0</v>
      </c>
      <c r="O47" s="55">
        <v>0</v>
      </c>
      <c r="P47" s="55">
        <v>0</v>
      </c>
      <c r="Q47" s="55">
        <v>0</v>
      </c>
      <c r="R47" s="55">
        <v>0</v>
      </c>
      <c r="S47" s="55">
        <v>0</v>
      </c>
      <c r="T47" s="55">
        <v>0</v>
      </c>
      <c r="U47" s="55">
        <v>0</v>
      </c>
      <c r="V47" s="55">
        <v>0</v>
      </c>
      <c r="W47" s="55">
        <v>0</v>
      </c>
      <c r="X47" s="55">
        <v>0</v>
      </c>
      <c r="Y47" s="56">
        <v>0</v>
      </c>
      <c r="Z47" s="57">
        <v>0</v>
      </c>
      <c r="AA47" s="55">
        <v>0</v>
      </c>
      <c r="AB47" s="55">
        <v>0</v>
      </c>
      <c r="AC47" s="55">
        <v>0</v>
      </c>
      <c r="AD47" s="55">
        <v>0</v>
      </c>
      <c r="AE47" s="55">
        <v>0</v>
      </c>
      <c r="AF47" s="55">
        <v>0</v>
      </c>
      <c r="AG47" s="55">
        <v>0</v>
      </c>
      <c r="AH47" s="55">
        <v>0</v>
      </c>
      <c r="AI47" s="55">
        <v>0</v>
      </c>
      <c r="AJ47" s="55">
        <v>0</v>
      </c>
      <c r="AK47" s="56">
        <v>0</v>
      </c>
      <c r="AL47" s="57">
        <v>0</v>
      </c>
      <c r="AM47" s="55">
        <v>0</v>
      </c>
      <c r="AN47" s="55">
        <v>0</v>
      </c>
      <c r="AO47" s="55">
        <v>0</v>
      </c>
      <c r="AP47" s="55">
        <v>0</v>
      </c>
      <c r="AQ47" s="55">
        <v>0</v>
      </c>
      <c r="AR47" s="55">
        <v>0</v>
      </c>
      <c r="AS47" s="55">
        <v>0</v>
      </c>
      <c r="AT47" s="55">
        <v>0</v>
      </c>
      <c r="AU47" s="55">
        <v>0</v>
      </c>
      <c r="AV47" s="55">
        <v>0</v>
      </c>
      <c r="AW47" s="56">
        <v>0</v>
      </c>
      <c r="AX47" s="55">
        <v>0</v>
      </c>
      <c r="AY47" s="55">
        <v>0</v>
      </c>
      <c r="AZ47" s="55">
        <v>0</v>
      </c>
      <c r="BA47" s="55">
        <v>0</v>
      </c>
      <c r="BB47" s="55">
        <v>0</v>
      </c>
      <c r="BC47" s="55">
        <v>0</v>
      </c>
      <c r="BD47" s="55">
        <v>0</v>
      </c>
      <c r="BE47" s="55">
        <v>0</v>
      </c>
      <c r="BF47" s="55">
        <v>0</v>
      </c>
      <c r="BG47" s="55">
        <v>0</v>
      </c>
      <c r="BH47" s="55">
        <v>0</v>
      </c>
      <c r="BI47" s="56">
        <v>0</v>
      </c>
      <c r="BJ47" s="55">
        <v>0</v>
      </c>
      <c r="BK47" s="55">
        <v>0</v>
      </c>
      <c r="BL47" s="55">
        <v>0</v>
      </c>
      <c r="BM47" s="55">
        <v>0</v>
      </c>
      <c r="BN47" s="55">
        <v>0</v>
      </c>
      <c r="BO47" s="55">
        <v>0</v>
      </c>
      <c r="BP47" s="55">
        <v>0</v>
      </c>
      <c r="BQ47" s="55">
        <v>0</v>
      </c>
      <c r="BR47" s="55">
        <v>0</v>
      </c>
      <c r="BS47" s="55">
        <v>0</v>
      </c>
      <c r="BT47" s="55">
        <v>0</v>
      </c>
      <c r="BU47" s="56">
        <v>0</v>
      </c>
      <c r="BV47" s="55">
        <v>0</v>
      </c>
      <c r="BW47" s="55">
        <v>0</v>
      </c>
      <c r="BX47" s="55">
        <v>0</v>
      </c>
      <c r="BY47" s="55">
        <v>1</v>
      </c>
      <c r="BZ47" s="55">
        <v>1</v>
      </c>
      <c r="CA47" s="55">
        <v>1</v>
      </c>
      <c r="CB47" s="55">
        <v>1</v>
      </c>
      <c r="CC47" s="55">
        <v>1</v>
      </c>
      <c r="CD47" s="55">
        <v>1</v>
      </c>
      <c r="CE47" s="55">
        <v>1</v>
      </c>
      <c r="CF47" s="55">
        <v>1</v>
      </c>
      <c r="CG47" s="56">
        <v>1</v>
      </c>
      <c r="CH47" s="55">
        <v>1</v>
      </c>
      <c r="CI47" s="55">
        <v>3</v>
      </c>
      <c r="CJ47" s="55">
        <v>8</v>
      </c>
      <c r="CK47" s="55">
        <v>8</v>
      </c>
      <c r="CL47" s="55">
        <v>8</v>
      </c>
      <c r="CM47" s="55">
        <v>8</v>
      </c>
      <c r="CN47" s="55">
        <v>8</v>
      </c>
      <c r="CO47" s="55">
        <v>8</v>
      </c>
      <c r="CP47" s="55">
        <v>8</v>
      </c>
      <c r="CQ47" s="55">
        <v>8</v>
      </c>
      <c r="CR47" s="55">
        <v>8</v>
      </c>
      <c r="CS47" s="56">
        <v>10</v>
      </c>
      <c r="CT47" s="55">
        <v>10</v>
      </c>
      <c r="CU47" s="55">
        <v>11</v>
      </c>
      <c r="CV47" s="55">
        <v>12</v>
      </c>
      <c r="CW47" s="55">
        <v>13</v>
      </c>
      <c r="CX47" s="55">
        <v>14</v>
      </c>
      <c r="CY47" s="55">
        <v>14</v>
      </c>
      <c r="CZ47" s="55">
        <v>14</v>
      </c>
      <c r="DA47" s="55">
        <v>14</v>
      </c>
      <c r="DB47" s="55">
        <v>14</v>
      </c>
      <c r="DC47" s="55">
        <v>14</v>
      </c>
      <c r="DD47" s="55">
        <v>14</v>
      </c>
      <c r="DE47" s="56">
        <v>14</v>
      </c>
      <c r="DF47" s="55">
        <v>14</v>
      </c>
      <c r="DG47" s="55">
        <v>14</v>
      </c>
      <c r="DH47" s="55">
        <v>14</v>
      </c>
      <c r="DI47" s="55">
        <v>14</v>
      </c>
      <c r="DJ47" s="55">
        <v>14</v>
      </c>
      <c r="DK47" s="55">
        <v>14</v>
      </c>
      <c r="DL47" s="55">
        <v>14</v>
      </c>
      <c r="DM47" s="55">
        <v>14</v>
      </c>
      <c r="DN47" s="55">
        <v>14</v>
      </c>
      <c r="DO47" s="55">
        <v>14</v>
      </c>
      <c r="DP47" s="55">
        <v>14</v>
      </c>
      <c r="DQ47" s="56">
        <v>14</v>
      </c>
      <c r="DR47" s="55">
        <v>14</v>
      </c>
      <c r="DS47" s="55">
        <v>14</v>
      </c>
      <c r="DT47" s="55">
        <v>14</v>
      </c>
      <c r="DU47" s="55">
        <v>14</v>
      </c>
      <c r="DV47" s="55">
        <v>14</v>
      </c>
      <c r="DW47" s="55">
        <v>14</v>
      </c>
      <c r="DX47" s="55">
        <v>14</v>
      </c>
      <c r="DY47" s="55">
        <v>14</v>
      </c>
      <c r="DZ47" s="55">
        <v>14</v>
      </c>
      <c r="EA47" s="55">
        <v>14</v>
      </c>
      <c r="EB47" s="55">
        <v>14</v>
      </c>
      <c r="EC47" s="56">
        <v>14</v>
      </c>
      <c r="ED47" s="55">
        <v>14</v>
      </c>
      <c r="EE47" s="55">
        <v>14</v>
      </c>
      <c r="EF47" s="55">
        <v>14</v>
      </c>
      <c r="EG47" s="55">
        <v>14</v>
      </c>
      <c r="EH47" s="55">
        <v>14</v>
      </c>
      <c r="EI47" s="55">
        <v>14</v>
      </c>
      <c r="EJ47" s="55">
        <v>14</v>
      </c>
      <c r="EK47" s="55">
        <v>14</v>
      </c>
      <c r="EL47" s="55">
        <v>14</v>
      </c>
      <c r="EM47" s="55">
        <v>14</v>
      </c>
      <c r="EN47" s="55">
        <v>14</v>
      </c>
      <c r="EO47" s="56">
        <v>14</v>
      </c>
      <c r="EP47" s="55">
        <v>14</v>
      </c>
      <c r="EQ47" s="55">
        <v>14</v>
      </c>
      <c r="ER47" s="55">
        <v>14</v>
      </c>
      <c r="ES47" s="55">
        <v>14</v>
      </c>
      <c r="ET47" s="55">
        <v>14</v>
      </c>
      <c r="EU47" s="55">
        <v>14</v>
      </c>
      <c r="EV47" s="55">
        <v>14</v>
      </c>
      <c r="EW47" s="55">
        <v>14</v>
      </c>
      <c r="EX47" s="55">
        <v>14</v>
      </c>
      <c r="EY47" s="55">
        <v>14</v>
      </c>
      <c r="EZ47" s="55">
        <v>14</v>
      </c>
      <c r="FA47" s="56">
        <v>14</v>
      </c>
      <c r="FB47" s="55">
        <v>14</v>
      </c>
      <c r="FC47" s="55">
        <v>14</v>
      </c>
      <c r="FD47" s="55">
        <v>14</v>
      </c>
      <c r="FE47" s="55">
        <v>14</v>
      </c>
      <c r="FF47" s="55">
        <v>14</v>
      </c>
      <c r="FG47" s="55">
        <v>14</v>
      </c>
      <c r="FH47" s="55">
        <v>14</v>
      </c>
      <c r="FI47" s="55">
        <v>14</v>
      </c>
      <c r="FJ47" s="39">
        <v>14</v>
      </c>
      <c r="FK47" s="39">
        <v>14</v>
      </c>
      <c r="FL47" s="39">
        <v>14</v>
      </c>
      <c r="FM47" s="39">
        <v>14</v>
      </c>
      <c r="FN47" s="77">
        <v>14</v>
      </c>
      <c r="FO47" s="39">
        <v>14</v>
      </c>
      <c r="FP47" s="39">
        <v>14</v>
      </c>
      <c r="FQ47" s="39">
        <v>14</v>
      </c>
      <c r="FR47" s="39">
        <v>14</v>
      </c>
      <c r="FS47" s="39">
        <v>14</v>
      </c>
      <c r="FT47" s="39">
        <v>14</v>
      </c>
      <c r="FU47" s="39">
        <v>14</v>
      </c>
      <c r="FV47" s="39">
        <v>14</v>
      </c>
      <c r="FW47" s="39">
        <v>14</v>
      </c>
      <c r="FX47" s="39">
        <v>14</v>
      </c>
      <c r="FY47" s="197">
        <v>14</v>
      </c>
      <c r="FZ47" s="39">
        <v>14</v>
      </c>
      <c r="GA47" s="39">
        <v>14</v>
      </c>
      <c r="GB47" s="39">
        <v>14</v>
      </c>
      <c r="GC47" s="39">
        <v>14</v>
      </c>
      <c r="GD47" s="39">
        <v>14</v>
      </c>
      <c r="GE47" s="39">
        <v>14</v>
      </c>
      <c r="GF47" s="39">
        <v>14</v>
      </c>
      <c r="GG47" s="39">
        <v>14</v>
      </c>
      <c r="GH47" s="39">
        <v>14</v>
      </c>
      <c r="GI47" s="39">
        <v>14</v>
      </c>
      <c r="GJ47" s="39">
        <v>14</v>
      </c>
      <c r="GK47" s="197">
        <v>14</v>
      </c>
      <c r="GL47" s="39">
        <v>14</v>
      </c>
      <c r="GM47" s="39">
        <v>14</v>
      </c>
      <c r="GN47" s="39">
        <v>14</v>
      </c>
      <c r="GO47" s="39">
        <v>14</v>
      </c>
    </row>
    <row r="48" spans="1:197" s="1" customFormat="1" ht="20.149999999999999" customHeight="1" x14ac:dyDescent="0.4">
      <c r="A48" s="31" t="s">
        <v>1628</v>
      </c>
      <c r="B48" s="58">
        <v>0</v>
      </c>
      <c r="C48" s="58">
        <v>0</v>
      </c>
      <c r="D48" s="58">
        <v>0</v>
      </c>
      <c r="E48" s="58">
        <v>0</v>
      </c>
      <c r="F48" s="58">
        <v>0</v>
      </c>
      <c r="G48" s="58">
        <v>0</v>
      </c>
      <c r="H48" s="58">
        <v>0</v>
      </c>
      <c r="I48" s="58">
        <v>0</v>
      </c>
      <c r="J48" s="58">
        <v>0</v>
      </c>
      <c r="K48" s="58">
        <v>0</v>
      </c>
      <c r="L48" s="58">
        <v>0</v>
      </c>
      <c r="M48" s="59">
        <v>0</v>
      </c>
      <c r="N48" s="60">
        <v>0</v>
      </c>
      <c r="O48" s="58">
        <v>0</v>
      </c>
      <c r="P48" s="58">
        <v>0</v>
      </c>
      <c r="Q48" s="58">
        <v>0</v>
      </c>
      <c r="R48" s="58">
        <v>0</v>
      </c>
      <c r="S48" s="58">
        <v>0</v>
      </c>
      <c r="T48" s="58">
        <v>0</v>
      </c>
      <c r="U48" s="58">
        <v>0</v>
      </c>
      <c r="V48" s="58">
        <v>0</v>
      </c>
      <c r="W48" s="58">
        <v>0</v>
      </c>
      <c r="X48" s="58">
        <v>0</v>
      </c>
      <c r="Y48" s="59">
        <v>0</v>
      </c>
      <c r="Z48" s="60">
        <v>0</v>
      </c>
      <c r="AA48" s="58">
        <v>0</v>
      </c>
      <c r="AB48" s="58">
        <v>0</v>
      </c>
      <c r="AC48" s="58">
        <v>0</v>
      </c>
      <c r="AD48" s="58">
        <v>0</v>
      </c>
      <c r="AE48" s="58">
        <v>0</v>
      </c>
      <c r="AF48" s="58">
        <v>0</v>
      </c>
      <c r="AG48" s="58">
        <v>0</v>
      </c>
      <c r="AH48" s="58">
        <v>0</v>
      </c>
      <c r="AI48" s="58">
        <v>0</v>
      </c>
      <c r="AJ48" s="58">
        <v>0</v>
      </c>
      <c r="AK48" s="59">
        <v>0</v>
      </c>
      <c r="AL48" s="60">
        <v>0</v>
      </c>
      <c r="AM48" s="58">
        <v>0</v>
      </c>
      <c r="AN48" s="58">
        <v>0</v>
      </c>
      <c r="AO48" s="58">
        <v>0</v>
      </c>
      <c r="AP48" s="58">
        <v>0</v>
      </c>
      <c r="AQ48" s="58">
        <v>0</v>
      </c>
      <c r="AR48" s="58">
        <v>0</v>
      </c>
      <c r="AS48" s="58">
        <v>0</v>
      </c>
      <c r="AT48" s="58">
        <v>0</v>
      </c>
      <c r="AU48" s="58">
        <v>0</v>
      </c>
      <c r="AV48" s="58">
        <v>0</v>
      </c>
      <c r="AW48" s="59">
        <v>0</v>
      </c>
      <c r="AX48" s="58">
        <v>0</v>
      </c>
      <c r="AY48" s="58">
        <v>0</v>
      </c>
      <c r="AZ48" s="58">
        <v>0</v>
      </c>
      <c r="BA48" s="58">
        <v>0</v>
      </c>
      <c r="BB48" s="58">
        <v>0</v>
      </c>
      <c r="BC48" s="58">
        <v>0</v>
      </c>
      <c r="BD48" s="58">
        <v>0</v>
      </c>
      <c r="BE48" s="58">
        <v>0</v>
      </c>
      <c r="BF48" s="58">
        <v>0</v>
      </c>
      <c r="BG48" s="58">
        <v>0</v>
      </c>
      <c r="BH48" s="58">
        <v>0</v>
      </c>
      <c r="BI48" s="59">
        <v>0</v>
      </c>
      <c r="BJ48" s="58">
        <v>0</v>
      </c>
      <c r="BK48" s="58">
        <v>0</v>
      </c>
      <c r="BL48" s="58">
        <v>0</v>
      </c>
      <c r="BM48" s="58">
        <v>0</v>
      </c>
      <c r="BN48" s="58">
        <v>0</v>
      </c>
      <c r="BO48" s="58">
        <v>0</v>
      </c>
      <c r="BP48" s="58">
        <v>0</v>
      </c>
      <c r="BQ48" s="58">
        <v>0</v>
      </c>
      <c r="BR48" s="58">
        <v>0</v>
      </c>
      <c r="BS48" s="58">
        <v>0</v>
      </c>
      <c r="BT48" s="58">
        <v>0</v>
      </c>
      <c r="BU48" s="59">
        <v>0</v>
      </c>
      <c r="BV48" s="58">
        <v>0</v>
      </c>
      <c r="BW48" s="58">
        <v>0</v>
      </c>
      <c r="BX48" s="58">
        <v>0</v>
      </c>
      <c r="BY48" s="58">
        <v>0</v>
      </c>
      <c r="BZ48" s="58">
        <v>0</v>
      </c>
      <c r="CA48" s="58">
        <v>0</v>
      </c>
      <c r="CB48" s="58">
        <v>0</v>
      </c>
      <c r="CC48" s="58">
        <v>0</v>
      </c>
      <c r="CD48" s="58">
        <v>0</v>
      </c>
      <c r="CE48" s="58">
        <v>0</v>
      </c>
      <c r="CF48" s="58">
        <v>0</v>
      </c>
      <c r="CG48" s="59">
        <v>0</v>
      </c>
      <c r="CH48" s="55">
        <v>0</v>
      </c>
      <c r="CI48" s="55">
        <v>0</v>
      </c>
      <c r="CJ48" s="55">
        <v>1</v>
      </c>
      <c r="CK48" s="55">
        <v>1</v>
      </c>
      <c r="CL48" s="55">
        <v>1</v>
      </c>
      <c r="CM48" s="55">
        <v>1</v>
      </c>
      <c r="CN48" s="55">
        <v>1</v>
      </c>
      <c r="CO48" s="55">
        <v>1</v>
      </c>
      <c r="CP48" s="55">
        <v>1</v>
      </c>
      <c r="CQ48" s="55">
        <v>1</v>
      </c>
      <c r="CR48" s="55">
        <v>1</v>
      </c>
      <c r="CS48" s="56">
        <v>1</v>
      </c>
      <c r="CT48" s="55">
        <v>2</v>
      </c>
      <c r="CU48" s="55">
        <v>2</v>
      </c>
      <c r="CV48" s="55">
        <v>2</v>
      </c>
      <c r="CW48" s="55">
        <v>2</v>
      </c>
      <c r="CX48" s="55">
        <v>2</v>
      </c>
      <c r="CY48" s="55">
        <v>2</v>
      </c>
      <c r="CZ48" s="55">
        <v>2</v>
      </c>
      <c r="DA48" s="55">
        <v>2</v>
      </c>
      <c r="DB48" s="55">
        <v>2</v>
      </c>
      <c r="DC48" s="55">
        <v>2</v>
      </c>
      <c r="DD48" s="58">
        <v>2</v>
      </c>
      <c r="DE48" s="59">
        <v>2</v>
      </c>
      <c r="DF48" s="55">
        <v>2</v>
      </c>
      <c r="DG48" s="55">
        <v>2</v>
      </c>
      <c r="DH48" s="58">
        <v>2</v>
      </c>
      <c r="DI48" s="55">
        <v>2</v>
      </c>
      <c r="DJ48" s="55">
        <v>2</v>
      </c>
      <c r="DK48" s="55">
        <v>2</v>
      </c>
      <c r="DL48" s="58">
        <v>2</v>
      </c>
      <c r="DM48" s="55">
        <v>2</v>
      </c>
      <c r="DN48" s="55">
        <v>2</v>
      </c>
      <c r="DO48" s="55">
        <v>2</v>
      </c>
      <c r="DP48" s="55">
        <v>2</v>
      </c>
      <c r="DQ48" s="59">
        <v>2</v>
      </c>
      <c r="DR48" s="55">
        <v>2</v>
      </c>
      <c r="DS48" s="55">
        <v>2</v>
      </c>
      <c r="DT48" s="55">
        <v>2</v>
      </c>
      <c r="DU48" s="55">
        <v>2</v>
      </c>
      <c r="DV48" s="55">
        <v>2</v>
      </c>
      <c r="DW48" s="55">
        <v>2</v>
      </c>
      <c r="DX48" s="55">
        <v>2</v>
      </c>
      <c r="DY48" s="55">
        <v>2</v>
      </c>
      <c r="DZ48" s="55">
        <v>2</v>
      </c>
      <c r="EA48" s="55">
        <v>2</v>
      </c>
      <c r="EB48" s="55">
        <v>2</v>
      </c>
      <c r="EC48" s="56">
        <v>2</v>
      </c>
      <c r="ED48" s="55">
        <v>2</v>
      </c>
      <c r="EE48" s="55">
        <v>2</v>
      </c>
      <c r="EF48" s="55">
        <v>2</v>
      </c>
      <c r="EG48" s="55">
        <v>2</v>
      </c>
      <c r="EH48" s="55">
        <v>2</v>
      </c>
      <c r="EI48" s="55">
        <v>2</v>
      </c>
      <c r="EJ48" s="55">
        <v>2</v>
      </c>
      <c r="EK48" s="55">
        <v>2</v>
      </c>
      <c r="EL48" s="55">
        <v>2</v>
      </c>
      <c r="EM48" s="55">
        <v>2</v>
      </c>
      <c r="EN48" s="55">
        <v>2</v>
      </c>
      <c r="EO48" s="56">
        <v>2</v>
      </c>
      <c r="EP48" s="55">
        <v>2</v>
      </c>
      <c r="EQ48" s="55">
        <v>2</v>
      </c>
      <c r="ER48" s="55">
        <v>2</v>
      </c>
      <c r="ES48" s="55">
        <v>2</v>
      </c>
      <c r="ET48" s="55">
        <v>2</v>
      </c>
      <c r="EU48" s="55">
        <v>2</v>
      </c>
      <c r="EV48" s="55">
        <v>2</v>
      </c>
      <c r="EW48" s="55">
        <v>2</v>
      </c>
      <c r="EX48" s="55">
        <v>2</v>
      </c>
      <c r="EY48" s="55">
        <v>2</v>
      </c>
      <c r="EZ48" s="55">
        <v>2</v>
      </c>
      <c r="FA48" s="56">
        <v>2</v>
      </c>
      <c r="FB48" s="55">
        <v>2</v>
      </c>
      <c r="FC48" s="55">
        <v>2</v>
      </c>
      <c r="FD48" s="55">
        <v>2</v>
      </c>
      <c r="FE48" s="55">
        <v>2</v>
      </c>
      <c r="FF48" s="55">
        <v>2</v>
      </c>
      <c r="FG48" s="55">
        <v>2</v>
      </c>
      <c r="FH48" s="55">
        <v>2</v>
      </c>
      <c r="FI48" s="55">
        <v>2</v>
      </c>
      <c r="FJ48" s="39">
        <v>2</v>
      </c>
      <c r="FK48" s="39">
        <v>2</v>
      </c>
      <c r="FL48" s="39">
        <v>2</v>
      </c>
      <c r="FM48" s="39">
        <v>2</v>
      </c>
      <c r="FN48" s="77">
        <v>2</v>
      </c>
      <c r="FO48" s="39">
        <v>2</v>
      </c>
      <c r="FP48" s="39">
        <v>2</v>
      </c>
      <c r="FQ48" s="39">
        <v>2</v>
      </c>
      <c r="FR48" s="39">
        <v>2</v>
      </c>
      <c r="FS48" s="39">
        <v>2</v>
      </c>
      <c r="FT48" s="39">
        <v>2</v>
      </c>
      <c r="FU48" s="39">
        <v>2</v>
      </c>
      <c r="FV48" s="39">
        <v>2</v>
      </c>
      <c r="FW48" s="39">
        <v>2</v>
      </c>
      <c r="FX48" s="39">
        <v>2</v>
      </c>
      <c r="FY48" s="197">
        <v>2</v>
      </c>
      <c r="FZ48" s="39">
        <v>2</v>
      </c>
      <c r="GA48" s="39">
        <v>2</v>
      </c>
      <c r="GB48" s="39">
        <v>2</v>
      </c>
      <c r="GC48" s="39">
        <v>2</v>
      </c>
      <c r="GD48" s="39">
        <v>2</v>
      </c>
      <c r="GE48" s="39">
        <v>2</v>
      </c>
      <c r="GF48" s="39">
        <v>2</v>
      </c>
      <c r="GG48" s="39">
        <v>2</v>
      </c>
      <c r="GH48" s="39">
        <v>2</v>
      </c>
      <c r="GI48" s="39">
        <v>2</v>
      </c>
      <c r="GJ48" s="39">
        <v>2</v>
      </c>
      <c r="GK48" s="197">
        <v>2</v>
      </c>
      <c r="GL48" s="39">
        <v>2</v>
      </c>
      <c r="GM48" s="39">
        <v>2</v>
      </c>
      <c r="GN48" s="39">
        <v>2</v>
      </c>
      <c r="GO48" s="39">
        <v>2</v>
      </c>
    </row>
    <row r="49" spans="1:197" s="1" customFormat="1" ht="20.149999999999999" customHeight="1" thickBot="1" x14ac:dyDescent="0.4">
      <c r="A49" s="32" t="s">
        <v>267</v>
      </c>
      <c r="B49" s="61">
        <f>SUM(B43:B48)</f>
        <v>250</v>
      </c>
      <c r="C49" s="62">
        <f t="shared" ref="C49:BN49" si="16">SUM(C43:C48)</f>
        <v>250</v>
      </c>
      <c r="D49" s="62">
        <f t="shared" si="16"/>
        <v>258</v>
      </c>
      <c r="E49" s="62">
        <f t="shared" si="16"/>
        <v>271</v>
      </c>
      <c r="F49" s="62">
        <f t="shared" si="16"/>
        <v>273</v>
      </c>
      <c r="G49" s="62">
        <f t="shared" si="16"/>
        <v>289</v>
      </c>
      <c r="H49" s="62">
        <f t="shared" si="16"/>
        <v>292</v>
      </c>
      <c r="I49" s="62">
        <f t="shared" si="16"/>
        <v>294</v>
      </c>
      <c r="J49" s="62">
        <f t="shared" si="16"/>
        <v>295</v>
      </c>
      <c r="K49" s="62">
        <f t="shared" si="16"/>
        <v>300</v>
      </c>
      <c r="L49" s="62">
        <f t="shared" si="16"/>
        <v>319</v>
      </c>
      <c r="M49" s="62">
        <f t="shared" si="16"/>
        <v>325</v>
      </c>
      <c r="N49" s="61">
        <f t="shared" si="16"/>
        <v>325</v>
      </c>
      <c r="O49" s="62">
        <f t="shared" si="16"/>
        <v>327</v>
      </c>
      <c r="P49" s="62">
        <f t="shared" si="16"/>
        <v>338</v>
      </c>
      <c r="Q49" s="62">
        <f t="shared" si="16"/>
        <v>341</v>
      </c>
      <c r="R49" s="62">
        <f t="shared" si="16"/>
        <v>354</v>
      </c>
      <c r="S49" s="62">
        <f t="shared" si="16"/>
        <v>362</v>
      </c>
      <c r="T49" s="62">
        <f t="shared" si="16"/>
        <v>366</v>
      </c>
      <c r="U49" s="62">
        <f t="shared" si="16"/>
        <v>375</v>
      </c>
      <c r="V49" s="62">
        <f t="shared" si="16"/>
        <v>401</v>
      </c>
      <c r="W49" s="62">
        <f t="shared" si="16"/>
        <v>425</v>
      </c>
      <c r="X49" s="62">
        <f t="shared" si="16"/>
        <v>461</v>
      </c>
      <c r="Y49" s="62">
        <f t="shared" si="16"/>
        <v>499</v>
      </c>
      <c r="Z49" s="61">
        <f t="shared" si="16"/>
        <v>580</v>
      </c>
      <c r="AA49" s="62">
        <f t="shared" si="16"/>
        <v>602</v>
      </c>
      <c r="AB49" s="62">
        <f t="shared" si="16"/>
        <v>658</v>
      </c>
      <c r="AC49" s="62">
        <f t="shared" si="16"/>
        <v>680</v>
      </c>
      <c r="AD49" s="62">
        <f t="shared" si="16"/>
        <v>704</v>
      </c>
      <c r="AE49" s="62">
        <f t="shared" si="16"/>
        <v>716</v>
      </c>
      <c r="AF49" s="62">
        <f t="shared" si="16"/>
        <v>759</v>
      </c>
      <c r="AG49" s="62">
        <f t="shared" si="16"/>
        <v>874</v>
      </c>
      <c r="AH49" s="62">
        <f t="shared" si="16"/>
        <v>1023</v>
      </c>
      <c r="AI49" s="62">
        <f t="shared" si="16"/>
        <v>1174</v>
      </c>
      <c r="AJ49" s="62">
        <f t="shared" si="16"/>
        <v>1334</v>
      </c>
      <c r="AK49" s="127">
        <f t="shared" si="16"/>
        <v>1459</v>
      </c>
      <c r="AL49" s="62">
        <f t="shared" si="16"/>
        <v>1665</v>
      </c>
      <c r="AM49" s="62">
        <f t="shared" si="16"/>
        <v>1843</v>
      </c>
      <c r="AN49" s="62">
        <f t="shared" si="16"/>
        <v>2020</v>
      </c>
      <c r="AO49" s="62">
        <f t="shared" si="16"/>
        <v>2176</v>
      </c>
      <c r="AP49" s="62">
        <f t="shared" si="16"/>
        <v>2399</v>
      </c>
      <c r="AQ49" s="62">
        <f t="shared" si="16"/>
        <v>2583</v>
      </c>
      <c r="AR49" s="62">
        <f t="shared" si="16"/>
        <v>2877</v>
      </c>
      <c r="AS49" s="62">
        <f t="shared" si="16"/>
        <v>3343</v>
      </c>
      <c r="AT49" s="62">
        <f t="shared" si="16"/>
        <v>3844</v>
      </c>
      <c r="AU49" s="62">
        <f t="shared" si="16"/>
        <v>4294</v>
      </c>
      <c r="AV49" s="62">
        <f t="shared" si="16"/>
        <v>4796</v>
      </c>
      <c r="AW49" s="63">
        <f t="shared" si="16"/>
        <v>5244</v>
      </c>
      <c r="AX49" s="62">
        <f t="shared" si="16"/>
        <v>5715</v>
      </c>
      <c r="AY49" s="62">
        <f t="shared" si="16"/>
        <v>7017</v>
      </c>
      <c r="AZ49" s="62">
        <f t="shared" si="16"/>
        <v>7399</v>
      </c>
      <c r="BA49" s="62">
        <f t="shared" si="16"/>
        <v>7787</v>
      </c>
      <c r="BB49" s="62">
        <f t="shared" si="16"/>
        <v>8285</v>
      </c>
      <c r="BC49" s="62">
        <f t="shared" si="16"/>
        <v>8811</v>
      </c>
      <c r="BD49" s="62">
        <f t="shared" si="16"/>
        <v>9298</v>
      </c>
      <c r="BE49" s="62">
        <f t="shared" si="16"/>
        <v>9818</v>
      </c>
      <c r="BF49" s="62">
        <f t="shared" si="16"/>
        <v>10391</v>
      </c>
      <c r="BG49" s="62">
        <f t="shared" si="16"/>
        <v>10941</v>
      </c>
      <c r="BH49" s="62">
        <f t="shared" si="16"/>
        <v>11502</v>
      </c>
      <c r="BI49" s="63">
        <f t="shared" si="16"/>
        <v>11925</v>
      </c>
      <c r="BJ49" s="62">
        <f t="shared" si="16"/>
        <v>12332</v>
      </c>
      <c r="BK49" s="62">
        <f t="shared" si="16"/>
        <v>12817</v>
      </c>
      <c r="BL49" s="62">
        <f t="shared" si="16"/>
        <v>13345</v>
      </c>
      <c r="BM49" s="62">
        <f t="shared" si="16"/>
        <v>13785</v>
      </c>
      <c r="BN49" s="62">
        <f t="shared" si="16"/>
        <v>14267</v>
      </c>
      <c r="BO49" s="62">
        <f t="shared" ref="BO49:DZ49" si="17">SUM(BO43:BO48)</f>
        <v>14772</v>
      </c>
      <c r="BP49" s="62">
        <f t="shared" si="17"/>
        <v>15266</v>
      </c>
      <c r="BQ49" s="62">
        <f t="shared" si="17"/>
        <v>16079</v>
      </c>
      <c r="BR49" s="62">
        <f t="shared" si="17"/>
        <v>17700</v>
      </c>
      <c r="BS49" s="62">
        <f t="shared" si="17"/>
        <v>18031</v>
      </c>
      <c r="BT49" s="62">
        <f t="shared" si="17"/>
        <v>18399</v>
      </c>
      <c r="BU49" s="63">
        <f t="shared" si="17"/>
        <v>18752</v>
      </c>
      <c r="BV49" s="62">
        <f t="shared" si="17"/>
        <v>19148</v>
      </c>
      <c r="BW49" s="62">
        <f t="shared" si="17"/>
        <v>19529</v>
      </c>
      <c r="BX49" s="62">
        <f t="shared" si="17"/>
        <v>19966</v>
      </c>
      <c r="BY49" s="62">
        <f t="shared" si="17"/>
        <v>20334</v>
      </c>
      <c r="BZ49" s="62">
        <f t="shared" si="17"/>
        <v>20586</v>
      </c>
      <c r="CA49" s="62">
        <f t="shared" si="17"/>
        <v>20896</v>
      </c>
      <c r="CB49" s="62">
        <f t="shared" si="17"/>
        <v>21177</v>
      </c>
      <c r="CC49" s="62">
        <f t="shared" si="17"/>
        <v>21565</v>
      </c>
      <c r="CD49" s="62">
        <f t="shared" si="17"/>
        <v>22718</v>
      </c>
      <c r="CE49" s="62">
        <f t="shared" si="17"/>
        <v>22761</v>
      </c>
      <c r="CF49" s="62">
        <f t="shared" si="17"/>
        <v>22831</v>
      </c>
      <c r="CG49" s="63">
        <f t="shared" si="17"/>
        <v>22881</v>
      </c>
      <c r="CH49" s="62">
        <f t="shared" si="17"/>
        <v>22937</v>
      </c>
      <c r="CI49" s="62">
        <f t="shared" si="17"/>
        <v>23114</v>
      </c>
      <c r="CJ49" s="62">
        <f t="shared" si="17"/>
        <v>23535</v>
      </c>
      <c r="CK49" s="62">
        <f t="shared" si="17"/>
        <v>23550</v>
      </c>
      <c r="CL49" s="62">
        <f t="shared" si="17"/>
        <v>23574</v>
      </c>
      <c r="CM49" s="62">
        <f t="shared" si="17"/>
        <v>23635</v>
      </c>
      <c r="CN49" s="62">
        <f t="shared" si="17"/>
        <v>23646</v>
      </c>
      <c r="CO49" s="62">
        <f t="shared" si="17"/>
        <v>23672</v>
      </c>
      <c r="CP49" s="62">
        <f t="shared" si="17"/>
        <v>23702</v>
      </c>
      <c r="CQ49" s="62">
        <f t="shared" si="17"/>
        <v>23735</v>
      </c>
      <c r="CR49" s="62">
        <f t="shared" si="17"/>
        <v>23791</v>
      </c>
      <c r="CS49" s="63">
        <f t="shared" si="17"/>
        <v>23808</v>
      </c>
      <c r="CT49" s="62">
        <f t="shared" si="17"/>
        <v>23826</v>
      </c>
      <c r="CU49" s="62">
        <f t="shared" si="17"/>
        <v>23868</v>
      </c>
      <c r="CV49" s="62">
        <f t="shared" si="17"/>
        <v>23921</v>
      </c>
      <c r="CW49" s="62">
        <f t="shared" si="17"/>
        <v>23955</v>
      </c>
      <c r="CX49" s="62">
        <f t="shared" si="17"/>
        <v>23972</v>
      </c>
      <c r="CY49" s="62">
        <f t="shared" si="17"/>
        <v>23996</v>
      </c>
      <c r="CZ49" s="62">
        <f t="shared" si="17"/>
        <v>24014</v>
      </c>
      <c r="DA49" s="62">
        <f t="shared" si="17"/>
        <v>24057</v>
      </c>
      <c r="DB49" s="62">
        <f t="shared" si="17"/>
        <v>24066</v>
      </c>
      <c r="DC49" s="62">
        <f t="shared" si="17"/>
        <v>24148</v>
      </c>
      <c r="DD49" s="62">
        <f t="shared" si="17"/>
        <v>24196</v>
      </c>
      <c r="DE49" s="63">
        <f t="shared" si="17"/>
        <v>24207</v>
      </c>
      <c r="DF49" s="62">
        <f t="shared" si="17"/>
        <v>24274</v>
      </c>
      <c r="DG49" s="62">
        <f t="shared" si="17"/>
        <v>24327</v>
      </c>
      <c r="DH49" s="62">
        <f t="shared" si="17"/>
        <v>24340</v>
      </c>
      <c r="DI49" s="62">
        <f t="shared" si="17"/>
        <v>24366</v>
      </c>
      <c r="DJ49" s="62">
        <f t="shared" si="17"/>
        <v>24388</v>
      </c>
      <c r="DK49" s="62">
        <f t="shared" si="17"/>
        <v>24434</v>
      </c>
      <c r="DL49" s="62">
        <f t="shared" si="17"/>
        <v>24466</v>
      </c>
      <c r="DM49" s="62">
        <f t="shared" si="17"/>
        <v>24494</v>
      </c>
      <c r="DN49" s="62">
        <f t="shared" si="17"/>
        <v>24536</v>
      </c>
      <c r="DO49" s="62">
        <f t="shared" si="17"/>
        <v>24552</v>
      </c>
      <c r="DP49" s="62">
        <f t="shared" si="17"/>
        <v>24573</v>
      </c>
      <c r="DQ49" s="63">
        <f t="shared" si="17"/>
        <v>24579</v>
      </c>
      <c r="DR49" s="62">
        <f t="shared" si="17"/>
        <v>24595</v>
      </c>
      <c r="DS49" s="62">
        <f t="shared" si="17"/>
        <v>24614</v>
      </c>
      <c r="DT49" s="62">
        <f t="shared" si="17"/>
        <v>24638</v>
      </c>
      <c r="DU49" s="62">
        <f t="shared" si="17"/>
        <v>24640</v>
      </c>
      <c r="DV49" s="62">
        <f t="shared" si="17"/>
        <v>24641</v>
      </c>
      <c r="DW49" s="62">
        <f t="shared" si="17"/>
        <v>24679</v>
      </c>
      <c r="DX49" s="62">
        <f t="shared" si="17"/>
        <v>24695</v>
      </c>
      <c r="DY49" s="62">
        <f t="shared" si="17"/>
        <v>24747</v>
      </c>
      <c r="DZ49" s="62">
        <f t="shared" si="17"/>
        <v>24778</v>
      </c>
      <c r="EA49" s="62">
        <f t="shared" ref="EA49:GL49" si="18">SUM(EA43:EA48)</f>
        <v>24804</v>
      </c>
      <c r="EB49" s="62">
        <f t="shared" si="18"/>
        <v>24822</v>
      </c>
      <c r="EC49" s="63">
        <f t="shared" si="18"/>
        <v>24827</v>
      </c>
      <c r="ED49" s="62">
        <f t="shared" si="18"/>
        <v>24871</v>
      </c>
      <c r="EE49" s="62">
        <f t="shared" si="18"/>
        <v>24885</v>
      </c>
      <c r="EF49" s="62">
        <f t="shared" si="18"/>
        <v>24919</v>
      </c>
      <c r="EG49" s="62">
        <f t="shared" si="18"/>
        <v>24950</v>
      </c>
      <c r="EH49" s="62">
        <f t="shared" si="18"/>
        <v>25003</v>
      </c>
      <c r="EI49" s="62">
        <f t="shared" si="18"/>
        <v>25070</v>
      </c>
      <c r="EJ49" s="62">
        <f t="shared" si="18"/>
        <v>25101</v>
      </c>
      <c r="EK49" s="62">
        <f t="shared" si="18"/>
        <v>25166</v>
      </c>
      <c r="EL49" s="62">
        <f t="shared" si="18"/>
        <v>25270</v>
      </c>
      <c r="EM49" s="62">
        <f t="shared" si="18"/>
        <v>25334</v>
      </c>
      <c r="EN49" s="62">
        <f t="shared" si="18"/>
        <v>25443</v>
      </c>
      <c r="EO49" s="63">
        <f t="shared" si="18"/>
        <v>25487</v>
      </c>
      <c r="EP49" s="62">
        <f t="shared" si="18"/>
        <v>25599</v>
      </c>
      <c r="EQ49" s="62">
        <f t="shared" si="18"/>
        <v>25685</v>
      </c>
      <c r="ER49" s="62">
        <f t="shared" si="18"/>
        <v>25783</v>
      </c>
      <c r="ES49" s="62">
        <f t="shared" si="18"/>
        <v>25868</v>
      </c>
      <c r="ET49" s="62">
        <f t="shared" si="18"/>
        <v>26051</v>
      </c>
      <c r="EU49" s="62">
        <f t="shared" si="18"/>
        <v>26196</v>
      </c>
      <c r="EV49" s="62">
        <f t="shared" si="18"/>
        <v>26332</v>
      </c>
      <c r="EW49" s="62">
        <f t="shared" si="18"/>
        <v>26495</v>
      </c>
      <c r="EX49" s="62">
        <f t="shared" si="18"/>
        <v>26697</v>
      </c>
      <c r="EY49" s="62">
        <f t="shared" si="18"/>
        <v>26890</v>
      </c>
      <c r="EZ49" s="62">
        <f t="shared" si="18"/>
        <v>27141</v>
      </c>
      <c r="FA49" s="63">
        <f t="shared" si="18"/>
        <v>27295</v>
      </c>
      <c r="FB49" s="62">
        <f t="shared" si="18"/>
        <v>27505</v>
      </c>
      <c r="FC49" s="62">
        <f t="shared" si="18"/>
        <v>27686</v>
      </c>
      <c r="FD49" s="62">
        <f t="shared" si="18"/>
        <v>27856</v>
      </c>
      <c r="FE49" s="62">
        <f t="shared" si="18"/>
        <v>27978</v>
      </c>
      <c r="FF49" s="62">
        <f t="shared" si="18"/>
        <v>28145</v>
      </c>
      <c r="FG49" s="62">
        <f t="shared" si="18"/>
        <v>28316</v>
      </c>
      <c r="FH49" s="62">
        <f t="shared" si="18"/>
        <v>28478</v>
      </c>
      <c r="FI49" s="62">
        <f t="shared" si="18"/>
        <v>28672</v>
      </c>
      <c r="FJ49" s="62">
        <f t="shared" si="18"/>
        <v>28854</v>
      </c>
      <c r="FK49" s="158">
        <f t="shared" si="18"/>
        <v>29064</v>
      </c>
      <c r="FL49" s="158">
        <f t="shared" si="18"/>
        <v>29224</v>
      </c>
      <c r="FM49" s="158">
        <f t="shared" si="18"/>
        <v>29329</v>
      </c>
      <c r="FN49" s="122">
        <f t="shared" si="18"/>
        <v>29439</v>
      </c>
      <c r="FO49" s="158">
        <f t="shared" si="18"/>
        <v>29624</v>
      </c>
      <c r="FP49" s="158">
        <f t="shared" si="18"/>
        <v>29709</v>
      </c>
      <c r="FQ49" s="158">
        <f t="shared" si="18"/>
        <v>29914</v>
      </c>
      <c r="FR49" s="158">
        <f t="shared" si="18"/>
        <v>30080</v>
      </c>
      <c r="FS49" s="158">
        <f t="shared" si="18"/>
        <v>30307</v>
      </c>
      <c r="FT49" s="158">
        <f t="shared" si="18"/>
        <v>30486</v>
      </c>
      <c r="FU49" s="158">
        <f t="shared" si="18"/>
        <v>30692</v>
      </c>
      <c r="FV49" s="158">
        <f t="shared" si="18"/>
        <v>30871</v>
      </c>
      <c r="FW49" s="158">
        <f t="shared" si="18"/>
        <v>31104</v>
      </c>
      <c r="FX49" s="158">
        <f t="shared" si="18"/>
        <v>31349</v>
      </c>
      <c r="FY49" s="198">
        <f t="shared" si="18"/>
        <v>31439</v>
      </c>
      <c r="FZ49" s="158">
        <f t="shared" si="18"/>
        <v>31582</v>
      </c>
      <c r="GA49" s="158">
        <f t="shared" si="18"/>
        <v>31756</v>
      </c>
      <c r="GB49" s="158">
        <f t="shared" si="18"/>
        <v>31977</v>
      </c>
      <c r="GC49" s="158">
        <f t="shared" si="18"/>
        <v>32174</v>
      </c>
      <c r="GD49" s="158">
        <f t="shared" si="18"/>
        <v>32532</v>
      </c>
      <c r="GE49" s="158">
        <f t="shared" si="18"/>
        <v>32836</v>
      </c>
      <c r="GF49" s="158">
        <f t="shared" si="18"/>
        <v>33056</v>
      </c>
      <c r="GG49" s="158">
        <f t="shared" si="18"/>
        <v>33307</v>
      </c>
      <c r="GH49" s="158">
        <f t="shared" si="18"/>
        <v>33521</v>
      </c>
      <c r="GI49" s="158">
        <f t="shared" si="18"/>
        <v>33822</v>
      </c>
      <c r="GJ49" s="158">
        <f t="shared" si="18"/>
        <v>34152</v>
      </c>
      <c r="GK49" s="198">
        <f t="shared" si="18"/>
        <v>34309</v>
      </c>
      <c r="GL49" s="158">
        <f t="shared" si="18"/>
        <v>34558</v>
      </c>
      <c r="GM49" s="158">
        <f t="shared" ref="GM49:GO49" si="19">SUM(GM43:GM48)</f>
        <v>34810</v>
      </c>
      <c r="GN49" s="158">
        <f t="shared" si="19"/>
        <v>35138</v>
      </c>
      <c r="GO49" s="158">
        <f t="shared" si="19"/>
        <v>35490</v>
      </c>
    </row>
    <row r="50" spans="1:197" s="25" customFormat="1" ht="20.149999999999999" customHeight="1" thickTop="1" x14ac:dyDescent="0.35">
      <c r="A50" s="26" t="s">
        <v>269</v>
      </c>
      <c r="B50" s="55"/>
      <c r="C50" s="55"/>
      <c r="D50" s="55"/>
      <c r="E50" s="55"/>
      <c r="F50" s="55"/>
      <c r="G50" s="55"/>
      <c r="H50" s="55"/>
      <c r="I50" s="55"/>
      <c r="J50" s="55"/>
      <c r="K50" s="55"/>
      <c r="L50" s="55"/>
      <c r="M50" s="56"/>
      <c r="N50" s="57"/>
      <c r="O50" s="55"/>
      <c r="P50" s="55"/>
      <c r="Q50" s="55"/>
      <c r="R50" s="55"/>
      <c r="S50" s="55"/>
      <c r="T50" s="55"/>
      <c r="U50" s="55"/>
      <c r="V50" s="55"/>
      <c r="W50" s="55"/>
      <c r="X50" s="55"/>
      <c r="Y50" s="56"/>
      <c r="Z50" s="57"/>
      <c r="AA50" s="55"/>
      <c r="AB50" s="55"/>
      <c r="AC50" s="55"/>
      <c r="AD50" s="55"/>
      <c r="AE50" s="55"/>
      <c r="AF50" s="55"/>
      <c r="AG50" s="55"/>
      <c r="AH50" s="55"/>
      <c r="AI50" s="55"/>
      <c r="AJ50" s="55"/>
      <c r="AK50" s="56"/>
      <c r="AL50" s="57"/>
      <c r="AM50" s="55"/>
      <c r="AN50" s="55"/>
      <c r="AO50" s="55"/>
      <c r="AP50" s="55"/>
      <c r="AQ50" s="55"/>
      <c r="AR50" s="55"/>
      <c r="AS50" s="55"/>
      <c r="AT50" s="55"/>
      <c r="AU50" s="55"/>
      <c r="AV50" s="55"/>
      <c r="AW50" s="56"/>
      <c r="AX50" s="55"/>
      <c r="AY50" s="55"/>
      <c r="AZ50" s="55"/>
      <c r="BA50" s="55"/>
      <c r="BB50" s="55"/>
      <c r="BC50" s="55"/>
      <c r="BD50" s="55"/>
      <c r="BE50" s="55"/>
      <c r="BF50" s="55"/>
      <c r="BG50" s="55"/>
      <c r="BH50" s="55"/>
      <c r="BI50" s="56"/>
      <c r="BJ50" s="55"/>
      <c r="BK50" s="55"/>
      <c r="BL50" s="55"/>
      <c r="BM50" s="55"/>
      <c r="BN50" s="55"/>
      <c r="BO50" s="55"/>
      <c r="BP50" s="55"/>
      <c r="BQ50" s="55"/>
      <c r="BR50" s="55"/>
      <c r="BS50" s="55"/>
      <c r="BT50" s="55"/>
      <c r="BU50" s="56"/>
      <c r="BV50" s="55"/>
      <c r="BW50" s="55"/>
      <c r="BX50" s="55"/>
      <c r="BY50" s="55"/>
      <c r="BZ50" s="55"/>
      <c r="CA50" s="55"/>
      <c r="CB50" s="55"/>
      <c r="CC50" s="55"/>
      <c r="CD50" s="55"/>
      <c r="CE50" s="55"/>
      <c r="CF50" s="55"/>
      <c r="CG50" s="56"/>
      <c r="CH50" s="55"/>
      <c r="CI50" s="55"/>
      <c r="CJ50" s="55"/>
      <c r="CK50" s="55"/>
      <c r="CL50" s="55"/>
      <c r="CM50" s="55"/>
      <c r="CN50" s="55"/>
      <c r="CO50" s="55"/>
      <c r="CP50" s="55"/>
      <c r="CQ50" s="55"/>
      <c r="CR50" s="55"/>
      <c r="CS50" s="56"/>
      <c r="CT50" s="55"/>
      <c r="CU50" s="55"/>
      <c r="CV50" s="55"/>
      <c r="CW50" s="55"/>
      <c r="CX50" s="55"/>
      <c r="CY50" s="55"/>
      <c r="CZ50" s="55"/>
      <c r="DA50" s="55"/>
      <c r="DB50" s="55"/>
      <c r="DC50" s="55"/>
      <c r="DD50" s="55"/>
      <c r="DE50" s="56"/>
      <c r="DF50" s="55"/>
      <c r="DG50" s="55"/>
      <c r="DH50" s="55"/>
      <c r="DI50" s="55"/>
      <c r="DJ50" s="55"/>
      <c r="DK50" s="55"/>
      <c r="DL50" s="55"/>
      <c r="DM50" s="55"/>
      <c r="DN50" s="55"/>
      <c r="DO50" s="55"/>
      <c r="DP50" s="55"/>
      <c r="DQ50" s="56"/>
      <c r="DR50" s="55"/>
      <c r="DS50" s="55"/>
      <c r="DT50" s="55"/>
      <c r="DU50" s="55"/>
      <c r="DV50" s="55"/>
      <c r="DW50" s="55"/>
      <c r="DX50" s="55"/>
      <c r="DY50" s="55"/>
      <c r="DZ50" s="55"/>
      <c r="EA50" s="55"/>
      <c r="EB50" s="55"/>
      <c r="EC50" s="56"/>
      <c r="ED50" s="55"/>
      <c r="EE50" s="55"/>
      <c r="EF50" s="55"/>
      <c r="EG50" s="55"/>
      <c r="EH50" s="55"/>
      <c r="EI50" s="55"/>
      <c r="EJ50" s="55"/>
      <c r="EK50" s="55"/>
      <c r="EL50" s="55"/>
      <c r="EM50" s="55"/>
      <c r="EN50" s="55"/>
      <c r="EO50" s="56"/>
      <c r="EP50" s="55"/>
      <c r="EQ50" s="55"/>
      <c r="ER50" s="55"/>
      <c r="ES50" s="55"/>
      <c r="ET50" s="55"/>
      <c r="EU50" s="55"/>
      <c r="EV50" s="55"/>
      <c r="EW50" s="55"/>
      <c r="EX50" s="55"/>
      <c r="EY50" s="123"/>
      <c r="EZ50" s="123"/>
      <c r="FA50" s="56"/>
      <c r="FB50" s="123"/>
      <c r="FC50" s="123"/>
      <c r="FD50" s="123"/>
      <c r="FE50" s="123"/>
      <c r="FF50" s="123"/>
      <c r="FG50" s="123"/>
      <c r="FH50" s="123"/>
      <c r="FI50" s="123"/>
      <c r="FJ50" s="38"/>
      <c r="FK50" s="38"/>
      <c r="FL50" s="38"/>
      <c r="FM50" s="38"/>
      <c r="FN50" s="167"/>
      <c r="FO50" s="38"/>
      <c r="FP50" s="38"/>
      <c r="FQ50" s="38"/>
      <c r="FR50" s="38"/>
      <c r="FS50" s="38"/>
      <c r="FT50" s="38"/>
      <c r="FU50" s="39"/>
      <c r="FV50" s="39"/>
      <c r="FW50" s="39"/>
      <c r="FX50" s="39"/>
      <c r="FY50" s="197"/>
      <c r="FZ50" s="39"/>
      <c r="GA50" s="39"/>
      <c r="GB50" s="39"/>
      <c r="GC50" s="39"/>
      <c r="GD50" s="39"/>
      <c r="GE50" s="39"/>
      <c r="GF50" s="39"/>
      <c r="GG50" s="39"/>
      <c r="GH50" s="39"/>
      <c r="GI50" s="39"/>
      <c r="GJ50" s="39"/>
      <c r="GK50" s="197"/>
      <c r="GL50" s="39"/>
      <c r="GM50" s="39"/>
      <c r="GN50" s="39"/>
      <c r="GO50" s="39"/>
    </row>
    <row r="51" spans="1:197" s="30" customFormat="1" ht="20.149999999999999" customHeight="1" x14ac:dyDescent="0.35">
      <c r="A51" s="31" t="s">
        <v>1623</v>
      </c>
      <c r="B51" s="55">
        <v>4338</v>
      </c>
      <c r="C51" s="55">
        <v>4893</v>
      </c>
      <c r="D51" s="55">
        <v>5866</v>
      </c>
      <c r="E51" s="55">
        <v>6885</v>
      </c>
      <c r="F51" s="55">
        <v>8340</v>
      </c>
      <c r="G51" s="55">
        <v>10197</v>
      </c>
      <c r="H51" s="55">
        <v>12442</v>
      </c>
      <c r="I51" s="55">
        <v>14654</v>
      </c>
      <c r="J51" s="55">
        <v>17415</v>
      </c>
      <c r="K51" s="55">
        <v>20763</v>
      </c>
      <c r="L51" s="55">
        <v>24625</v>
      </c>
      <c r="M51" s="56">
        <v>27597</v>
      </c>
      <c r="N51" s="57">
        <v>31598</v>
      </c>
      <c r="O51" s="55">
        <v>36102</v>
      </c>
      <c r="P51" s="55">
        <v>42948</v>
      </c>
      <c r="Q51" s="55">
        <v>49006</v>
      </c>
      <c r="R51" s="55">
        <v>55952</v>
      </c>
      <c r="S51" s="55">
        <v>64988</v>
      </c>
      <c r="T51" s="55">
        <v>75356</v>
      </c>
      <c r="U51" s="55">
        <v>88383</v>
      </c>
      <c r="V51" s="55">
        <v>104144</v>
      </c>
      <c r="W51" s="55">
        <v>122362</v>
      </c>
      <c r="X51" s="55">
        <v>172517</v>
      </c>
      <c r="Y51" s="56">
        <v>212571</v>
      </c>
      <c r="Z51" s="57">
        <v>220555</v>
      </c>
      <c r="AA51" s="55">
        <v>257558</v>
      </c>
      <c r="AB51" s="55">
        <v>281777</v>
      </c>
      <c r="AC51" s="55">
        <v>286756</v>
      </c>
      <c r="AD51" s="55">
        <v>295532</v>
      </c>
      <c r="AE51" s="55">
        <v>306112</v>
      </c>
      <c r="AF51" s="55">
        <v>325503</v>
      </c>
      <c r="AG51" s="55">
        <v>329026</v>
      </c>
      <c r="AH51" s="55">
        <v>333420</v>
      </c>
      <c r="AI51" s="55">
        <v>341351</v>
      </c>
      <c r="AJ51" s="55">
        <v>346153</v>
      </c>
      <c r="AK51" s="56">
        <v>351004</v>
      </c>
      <c r="AL51" s="57">
        <v>356174</v>
      </c>
      <c r="AM51" s="55">
        <v>361517</v>
      </c>
      <c r="AN51" s="55">
        <v>367395</v>
      </c>
      <c r="AO51" s="55">
        <v>373212</v>
      </c>
      <c r="AP51" s="55">
        <v>379012</v>
      </c>
      <c r="AQ51" s="55">
        <v>386841</v>
      </c>
      <c r="AR51" s="55">
        <v>391726</v>
      </c>
      <c r="AS51" s="55">
        <v>397277</v>
      </c>
      <c r="AT51" s="55">
        <v>402999</v>
      </c>
      <c r="AU51" s="55">
        <v>409136</v>
      </c>
      <c r="AV51" s="55">
        <v>415937</v>
      </c>
      <c r="AW51" s="56">
        <v>421609</v>
      </c>
      <c r="AX51" s="55">
        <v>427148</v>
      </c>
      <c r="AY51" s="55">
        <v>433229</v>
      </c>
      <c r="AZ51" s="55">
        <v>442505</v>
      </c>
      <c r="BA51" s="55">
        <v>448137</v>
      </c>
      <c r="BB51" s="55">
        <v>454139</v>
      </c>
      <c r="BC51" s="55">
        <v>460684</v>
      </c>
      <c r="BD51" s="55">
        <v>468240</v>
      </c>
      <c r="BE51" s="55">
        <v>475548</v>
      </c>
      <c r="BF51" s="55">
        <v>484366</v>
      </c>
      <c r="BG51" s="55">
        <v>493474</v>
      </c>
      <c r="BH51" s="55">
        <v>501887</v>
      </c>
      <c r="BI51" s="56">
        <v>510127</v>
      </c>
      <c r="BJ51" s="55">
        <v>516543</v>
      </c>
      <c r="BK51" s="55">
        <v>524132</v>
      </c>
      <c r="BL51" s="55">
        <v>535402</v>
      </c>
      <c r="BM51" s="55">
        <v>543244</v>
      </c>
      <c r="BN51" s="55">
        <v>551368</v>
      </c>
      <c r="BO51" s="55">
        <v>562747</v>
      </c>
      <c r="BP51" s="55">
        <v>571223</v>
      </c>
      <c r="BQ51" s="55">
        <v>579601</v>
      </c>
      <c r="BR51" s="55">
        <v>593043</v>
      </c>
      <c r="BS51" s="55">
        <v>605498</v>
      </c>
      <c r="BT51" s="55">
        <v>621742</v>
      </c>
      <c r="BU51" s="56">
        <v>639358</v>
      </c>
      <c r="BV51" s="55">
        <v>650629</v>
      </c>
      <c r="BW51" s="55">
        <v>653631</v>
      </c>
      <c r="BX51" s="55">
        <v>657165</v>
      </c>
      <c r="BY51" s="55">
        <v>660014</v>
      </c>
      <c r="BZ51" s="55">
        <v>662811</v>
      </c>
      <c r="CA51" s="55">
        <v>666058</v>
      </c>
      <c r="CB51" s="55">
        <v>668673</v>
      </c>
      <c r="CC51" s="55">
        <v>671057</v>
      </c>
      <c r="CD51" s="55">
        <v>674386</v>
      </c>
      <c r="CE51" s="55">
        <v>676643</v>
      </c>
      <c r="CF51" s="55">
        <v>679456</v>
      </c>
      <c r="CG51" s="55">
        <v>681379</v>
      </c>
      <c r="CH51" s="77">
        <v>683430</v>
      </c>
      <c r="CI51" s="55">
        <v>685713</v>
      </c>
      <c r="CJ51" s="55">
        <v>688709</v>
      </c>
      <c r="CK51" s="55">
        <v>690595</v>
      </c>
      <c r="CL51" s="55">
        <v>693166</v>
      </c>
      <c r="CM51" s="55">
        <v>695638</v>
      </c>
      <c r="CN51" s="55">
        <v>697784</v>
      </c>
      <c r="CO51" s="55">
        <v>700310</v>
      </c>
      <c r="CP51" s="55">
        <v>702837</v>
      </c>
      <c r="CQ51" s="55">
        <v>705284</v>
      </c>
      <c r="CR51" s="55">
        <v>708276</v>
      </c>
      <c r="CS51" s="55">
        <v>710099</v>
      </c>
      <c r="CT51" s="77">
        <v>712315</v>
      </c>
      <c r="CU51" s="55">
        <v>714428</v>
      </c>
      <c r="CV51" s="55">
        <v>716914</v>
      </c>
      <c r="CW51" s="55">
        <v>719204</v>
      </c>
      <c r="CX51" s="55">
        <v>721753</v>
      </c>
      <c r="CY51" s="55">
        <v>724274</v>
      </c>
      <c r="CZ51" s="55">
        <v>726704</v>
      </c>
      <c r="DA51" s="55">
        <v>729540</v>
      </c>
      <c r="DB51" s="55">
        <v>732322</v>
      </c>
      <c r="DC51" s="55">
        <v>735739</v>
      </c>
      <c r="DD51" s="55">
        <v>739290</v>
      </c>
      <c r="DE51" s="55">
        <v>742053</v>
      </c>
      <c r="DF51" s="77">
        <v>745833</v>
      </c>
      <c r="DG51" s="55">
        <v>749960</v>
      </c>
      <c r="DH51" s="55">
        <v>759564</v>
      </c>
      <c r="DI51" s="55">
        <v>761444</v>
      </c>
      <c r="DJ51" s="55">
        <v>763780</v>
      </c>
      <c r="DK51" s="55">
        <v>766257</v>
      </c>
      <c r="DL51" s="55">
        <v>768630</v>
      </c>
      <c r="DM51" s="55">
        <v>771131</v>
      </c>
      <c r="DN51" s="55">
        <v>773755</v>
      </c>
      <c r="DO51" s="55">
        <v>776416</v>
      </c>
      <c r="DP51" s="55">
        <v>779260</v>
      </c>
      <c r="DQ51" s="55">
        <v>781122</v>
      </c>
      <c r="DR51" s="77">
        <v>783472</v>
      </c>
      <c r="DS51" s="55">
        <v>785696</v>
      </c>
      <c r="DT51" s="55">
        <v>787981</v>
      </c>
      <c r="DU51" s="55">
        <v>788310</v>
      </c>
      <c r="DV51" s="55">
        <v>788862</v>
      </c>
      <c r="DW51" s="55">
        <v>790267</v>
      </c>
      <c r="DX51" s="55">
        <v>792460</v>
      </c>
      <c r="DY51" s="55">
        <v>794737</v>
      </c>
      <c r="DZ51" s="55">
        <v>797584</v>
      </c>
      <c r="EA51" s="55">
        <v>800295</v>
      </c>
      <c r="EB51" s="55">
        <v>803282</v>
      </c>
      <c r="EC51" s="55">
        <v>805422</v>
      </c>
      <c r="ED51" s="77">
        <v>808045</v>
      </c>
      <c r="EE51" s="55">
        <v>810462</v>
      </c>
      <c r="EF51" s="55">
        <v>813736</v>
      </c>
      <c r="EG51" s="55">
        <v>817138</v>
      </c>
      <c r="EH51" s="55">
        <v>820597</v>
      </c>
      <c r="EI51" s="55">
        <v>824081</v>
      </c>
      <c r="EJ51" s="55">
        <v>827246</v>
      </c>
      <c r="EK51" s="55">
        <v>830705</v>
      </c>
      <c r="EL51" s="55">
        <v>834540</v>
      </c>
      <c r="EM51" s="55">
        <v>838097</v>
      </c>
      <c r="EN51" s="55">
        <v>842599</v>
      </c>
      <c r="EO51" s="55">
        <v>845894</v>
      </c>
      <c r="EP51" s="77">
        <v>849631</v>
      </c>
      <c r="EQ51" s="55">
        <v>854420</v>
      </c>
      <c r="ER51" s="55">
        <v>860700</v>
      </c>
      <c r="ES51" s="55">
        <v>866567</v>
      </c>
      <c r="ET51" s="55">
        <v>872854</v>
      </c>
      <c r="EU51" s="55">
        <v>879438</v>
      </c>
      <c r="EV51" s="55">
        <v>885329</v>
      </c>
      <c r="EW51" s="55">
        <v>891813</v>
      </c>
      <c r="EX51" s="55">
        <v>899420</v>
      </c>
      <c r="EY51" s="55">
        <v>906208</v>
      </c>
      <c r="EZ51" s="55">
        <v>913756</v>
      </c>
      <c r="FA51" s="83">
        <v>919377</v>
      </c>
      <c r="FB51" s="55">
        <v>926540</v>
      </c>
      <c r="FC51" s="55">
        <v>934321</v>
      </c>
      <c r="FD51" s="55">
        <v>943193</v>
      </c>
      <c r="FE51" s="55">
        <v>950107</v>
      </c>
      <c r="FF51" s="55">
        <v>957768</v>
      </c>
      <c r="FG51" s="55">
        <v>965883</v>
      </c>
      <c r="FH51" s="55">
        <v>972905</v>
      </c>
      <c r="FI51" s="55">
        <v>979851</v>
      </c>
      <c r="FJ51" s="39">
        <v>986869</v>
      </c>
      <c r="FK51" s="39">
        <v>993820</v>
      </c>
      <c r="FL51" s="39">
        <v>1001347</v>
      </c>
      <c r="FM51" s="39">
        <v>1006004</v>
      </c>
      <c r="FN51" s="77">
        <v>1012337</v>
      </c>
      <c r="FO51" s="39">
        <v>1019187</v>
      </c>
      <c r="FP51" s="39">
        <v>1026940</v>
      </c>
      <c r="FQ51" s="39">
        <v>1034547</v>
      </c>
      <c r="FR51" s="39">
        <v>1042788</v>
      </c>
      <c r="FS51" s="39">
        <v>1051346</v>
      </c>
      <c r="FT51" s="39">
        <v>1059950</v>
      </c>
      <c r="FU51" s="38">
        <v>1068592</v>
      </c>
      <c r="FV51" s="38">
        <v>1078458</v>
      </c>
      <c r="FW51" s="38">
        <v>1090367</v>
      </c>
      <c r="FX51" s="38">
        <v>1103760</v>
      </c>
      <c r="FY51" s="196">
        <v>1112346</v>
      </c>
      <c r="FZ51" s="38">
        <v>1122882</v>
      </c>
      <c r="GA51" s="38">
        <v>1135269</v>
      </c>
      <c r="GB51" s="38">
        <v>1150511</v>
      </c>
      <c r="GC51" s="38">
        <v>1162199</v>
      </c>
      <c r="GD51" s="38">
        <v>1175884</v>
      </c>
      <c r="GE51" s="38">
        <v>1190048</v>
      </c>
      <c r="GF51" s="38">
        <v>1202702</v>
      </c>
      <c r="GG51" s="38">
        <v>1214035</v>
      </c>
      <c r="GH51" s="38">
        <v>1227596</v>
      </c>
      <c r="GI51" s="38">
        <v>1243123</v>
      </c>
      <c r="GJ51" s="38">
        <v>1257711</v>
      </c>
      <c r="GK51" s="196">
        <v>1269087</v>
      </c>
      <c r="GL51" s="38">
        <v>1280993</v>
      </c>
      <c r="GM51" s="38">
        <v>1295373</v>
      </c>
      <c r="GN51" s="38">
        <v>1313040</v>
      </c>
      <c r="GO51" s="38">
        <v>1325782</v>
      </c>
    </row>
    <row r="52" spans="1:197" s="1" customFormat="1" ht="20.149999999999999" customHeight="1" x14ac:dyDescent="0.35">
      <c r="A52" s="31" t="s">
        <v>1626</v>
      </c>
      <c r="B52" s="55">
        <v>584</v>
      </c>
      <c r="C52" s="55">
        <v>614</v>
      </c>
      <c r="D52" s="55">
        <v>659</v>
      </c>
      <c r="E52" s="55">
        <v>689</v>
      </c>
      <c r="F52" s="55">
        <v>743</v>
      </c>
      <c r="G52" s="55">
        <v>804</v>
      </c>
      <c r="H52" s="55">
        <v>873</v>
      </c>
      <c r="I52" s="55">
        <v>940</v>
      </c>
      <c r="J52" s="55">
        <v>1019</v>
      </c>
      <c r="K52" s="55">
        <v>1118</v>
      </c>
      <c r="L52" s="55">
        <v>1215</v>
      </c>
      <c r="M52" s="56">
        <v>1282</v>
      </c>
      <c r="N52" s="57">
        <v>1415</v>
      </c>
      <c r="O52" s="55">
        <v>1558</v>
      </c>
      <c r="P52" s="55">
        <v>1780</v>
      </c>
      <c r="Q52" s="55">
        <v>2084</v>
      </c>
      <c r="R52" s="55">
        <v>2449</v>
      </c>
      <c r="S52" s="55">
        <v>2895</v>
      </c>
      <c r="T52" s="55">
        <v>3527</v>
      </c>
      <c r="U52" s="55">
        <v>4637</v>
      </c>
      <c r="V52" s="55">
        <v>6244</v>
      </c>
      <c r="W52" s="55">
        <v>8350</v>
      </c>
      <c r="X52" s="55">
        <v>14649</v>
      </c>
      <c r="Y52" s="56">
        <v>19516</v>
      </c>
      <c r="Z52" s="57">
        <v>20008</v>
      </c>
      <c r="AA52" s="55">
        <v>25870</v>
      </c>
      <c r="AB52" s="55">
        <v>27859</v>
      </c>
      <c r="AC52" s="55">
        <v>28332</v>
      </c>
      <c r="AD52" s="55">
        <v>29896</v>
      </c>
      <c r="AE52" s="55">
        <v>32251</v>
      </c>
      <c r="AF52" s="55">
        <v>38134</v>
      </c>
      <c r="AG52" s="55">
        <v>38557</v>
      </c>
      <c r="AH52" s="55">
        <v>39445</v>
      </c>
      <c r="AI52" s="55">
        <v>42061</v>
      </c>
      <c r="AJ52" s="55">
        <v>43094</v>
      </c>
      <c r="AK52" s="56">
        <v>44297</v>
      </c>
      <c r="AL52" s="57">
        <v>45630</v>
      </c>
      <c r="AM52" s="55">
        <v>47217</v>
      </c>
      <c r="AN52" s="55">
        <v>49256</v>
      </c>
      <c r="AO52" s="55">
        <v>51605</v>
      </c>
      <c r="AP52" s="55">
        <v>54228</v>
      </c>
      <c r="AQ52" s="55">
        <v>58429</v>
      </c>
      <c r="AR52" s="55">
        <v>60357</v>
      </c>
      <c r="AS52" s="55">
        <v>62776</v>
      </c>
      <c r="AT52" s="55">
        <v>65587</v>
      </c>
      <c r="AU52" s="55">
        <v>68593</v>
      </c>
      <c r="AV52" s="55">
        <v>72182</v>
      </c>
      <c r="AW52" s="56">
        <v>75166</v>
      </c>
      <c r="AX52" s="55">
        <v>78027</v>
      </c>
      <c r="AY52" s="55">
        <v>81783</v>
      </c>
      <c r="AZ52" s="55">
        <v>87633</v>
      </c>
      <c r="BA52" s="55">
        <v>90402</v>
      </c>
      <c r="BB52" s="55">
        <v>93619</v>
      </c>
      <c r="BC52" s="55">
        <v>97265</v>
      </c>
      <c r="BD52" s="55">
        <v>101072</v>
      </c>
      <c r="BE52" s="55">
        <v>104706</v>
      </c>
      <c r="BF52" s="55">
        <v>108867</v>
      </c>
      <c r="BG52" s="55">
        <v>113289</v>
      </c>
      <c r="BH52" s="55">
        <v>117681</v>
      </c>
      <c r="BI52" s="56">
        <v>122415</v>
      </c>
      <c r="BJ52" s="55">
        <v>124678</v>
      </c>
      <c r="BK52" s="55">
        <v>127622</v>
      </c>
      <c r="BL52" s="55">
        <v>132724</v>
      </c>
      <c r="BM52" s="55">
        <v>135881</v>
      </c>
      <c r="BN52" s="55">
        <v>139432</v>
      </c>
      <c r="BO52" s="55">
        <v>144577</v>
      </c>
      <c r="BP52" s="55">
        <v>147777</v>
      </c>
      <c r="BQ52" s="55">
        <v>151242</v>
      </c>
      <c r="BR52" s="55">
        <v>157494</v>
      </c>
      <c r="BS52" s="55">
        <v>161515</v>
      </c>
      <c r="BT52" s="55">
        <v>166439</v>
      </c>
      <c r="BU52" s="56">
        <v>172536</v>
      </c>
      <c r="BV52" s="55">
        <v>175572</v>
      </c>
      <c r="BW52" s="55">
        <v>176109</v>
      </c>
      <c r="BX52" s="55">
        <v>176962</v>
      </c>
      <c r="BY52" s="55">
        <v>177695</v>
      </c>
      <c r="BZ52" s="55">
        <v>178440</v>
      </c>
      <c r="CA52" s="55">
        <v>179353</v>
      </c>
      <c r="CB52" s="55">
        <v>180053</v>
      </c>
      <c r="CC52" s="55">
        <v>180819</v>
      </c>
      <c r="CD52" s="55">
        <v>181914</v>
      </c>
      <c r="CE52" s="55">
        <v>182379</v>
      </c>
      <c r="CF52" s="55">
        <v>182912</v>
      </c>
      <c r="CG52" s="55">
        <v>183408</v>
      </c>
      <c r="CH52" s="77">
        <v>183795</v>
      </c>
      <c r="CI52" s="55">
        <v>184218</v>
      </c>
      <c r="CJ52" s="55">
        <v>184884</v>
      </c>
      <c r="CK52" s="55">
        <v>185281</v>
      </c>
      <c r="CL52" s="55">
        <v>185808</v>
      </c>
      <c r="CM52" s="55">
        <v>186417</v>
      </c>
      <c r="CN52" s="55">
        <v>186963</v>
      </c>
      <c r="CO52" s="55">
        <v>187473</v>
      </c>
      <c r="CP52" s="55">
        <v>188115</v>
      </c>
      <c r="CQ52" s="55">
        <v>188675</v>
      </c>
      <c r="CR52" s="55">
        <v>189273</v>
      </c>
      <c r="CS52" s="55">
        <v>189759</v>
      </c>
      <c r="CT52" s="77">
        <v>190189</v>
      </c>
      <c r="CU52" s="55">
        <v>190673</v>
      </c>
      <c r="CV52" s="55">
        <v>191329</v>
      </c>
      <c r="CW52" s="55">
        <v>191918</v>
      </c>
      <c r="CX52" s="55">
        <v>192585</v>
      </c>
      <c r="CY52" s="55">
        <v>193355</v>
      </c>
      <c r="CZ52" s="55">
        <v>194019</v>
      </c>
      <c r="DA52" s="55">
        <v>194719</v>
      </c>
      <c r="DB52" s="55">
        <v>195605</v>
      </c>
      <c r="DC52" s="55">
        <v>196424</v>
      </c>
      <c r="DD52" s="55">
        <v>197524</v>
      </c>
      <c r="DE52" s="55">
        <v>198544</v>
      </c>
      <c r="DF52" s="77">
        <v>199567</v>
      </c>
      <c r="DG52" s="55">
        <v>201111</v>
      </c>
      <c r="DH52" s="55">
        <v>204931</v>
      </c>
      <c r="DI52" s="55">
        <v>205082</v>
      </c>
      <c r="DJ52" s="55">
        <v>205336</v>
      </c>
      <c r="DK52" s="55">
        <v>205662</v>
      </c>
      <c r="DL52" s="55">
        <v>206121</v>
      </c>
      <c r="DM52" s="55">
        <v>206583</v>
      </c>
      <c r="DN52" s="55">
        <v>207230</v>
      </c>
      <c r="DO52" s="55">
        <v>208000</v>
      </c>
      <c r="DP52" s="55">
        <v>208659</v>
      </c>
      <c r="DQ52" s="55">
        <v>209182</v>
      </c>
      <c r="DR52" s="77">
        <v>209840</v>
      </c>
      <c r="DS52" s="55">
        <v>210520</v>
      </c>
      <c r="DT52" s="55">
        <v>211271</v>
      </c>
      <c r="DU52" s="55">
        <v>211554</v>
      </c>
      <c r="DV52" s="55">
        <v>212031</v>
      </c>
      <c r="DW52" s="55">
        <v>212918</v>
      </c>
      <c r="DX52" s="55">
        <v>213872</v>
      </c>
      <c r="DY52" s="55">
        <v>214741</v>
      </c>
      <c r="DZ52" s="55">
        <v>215849</v>
      </c>
      <c r="EA52" s="55">
        <v>216964</v>
      </c>
      <c r="EB52" s="55">
        <v>218136</v>
      </c>
      <c r="EC52" s="55">
        <v>219002</v>
      </c>
      <c r="ED52" s="77">
        <v>219916</v>
      </c>
      <c r="EE52" s="55">
        <v>220917</v>
      </c>
      <c r="EF52" s="55">
        <v>222396</v>
      </c>
      <c r="EG52" s="55">
        <v>223805</v>
      </c>
      <c r="EH52" s="55">
        <v>225231</v>
      </c>
      <c r="EI52" s="55">
        <v>226828</v>
      </c>
      <c r="EJ52" s="55">
        <v>228337</v>
      </c>
      <c r="EK52" s="55">
        <v>229730</v>
      </c>
      <c r="EL52" s="55">
        <v>231614</v>
      </c>
      <c r="EM52" s="55">
        <v>233414</v>
      </c>
      <c r="EN52" s="55">
        <v>235735</v>
      </c>
      <c r="EO52" s="55">
        <v>237443</v>
      </c>
      <c r="EP52" s="77">
        <v>239625</v>
      </c>
      <c r="EQ52" s="55">
        <v>242155</v>
      </c>
      <c r="ER52" s="55">
        <v>245641</v>
      </c>
      <c r="ES52" s="55">
        <v>249374</v>
      </c>
      <c r="ET52" s="55">
        <v>253967</v>
      </c>
      <c r="EU52" s="55">
        <v>258587</v>
      </c>
      <c r="EV52" s="55">
        <v>263643</v>
      </c>
      <c r="EW52" s="55">
        <v>269289</v>
      </c>
      <c r="EX52" s="55">
        <v>275946</v>
      </c>
      <c r="EY52" s="55">
        <v>283119</v>
      </c>
      <c r="EZ52" s="55">
        <v>291533</v>
      </c>
      <c r="FA52" s="83">
        <v>297972</v>
      </c>
      <c r="FB52" s="55">
        <v>306932</v>
      </c>
      <c r="FC52" s="55">
        <v>316279</v>
      </c>
      <c r="FD52" s="55">
        <v>326859</v>
      </c>
      <c r="FE52" s="55">
        <v>335386</v>
      </c>
      <c r="FF52" s="55">
        <v>345085</v>
      </c>
      <c r="FG52" s="55">
        <v>354699</v>
      </c>
      <c r="FH52" s="55">
        <v>362823</v>
      </c>
      <c r="FI52" s="55">
        <v>371260</v>
      </c>
      <c r="FJ52" s="39">
        <v>379233</v>
      </c>
      <c r="FK52" s="39">
        <v>387199</v>
      </c>
      <c r="FL52" s="39">
        <v>395038</v>
      </c>
      <c r="FM52" s="39">
        <v>400164</v>
      </c>
      <c r="FN52" s="77">
        <v>406410</v>
      </c>
      <c r="FO52" s="39">
        <v>412974</v>
      </c>
      <c r="FP52" s="39">
        <v>419598</v>
      </c>
      <c r="FQ52" s="39">
        <v>426756</v>
      </c>
      <c r="FR52" s="39">
        <v>433875</v>
      </c>
      <c r="FS52" s="39">
        <v>440335</v>
      </c>
      <c r="FT52" s="39">
        <v>447314</v>
      </c>
      <c r="FU52" s="39">
        <v>453464</v>
      </c>
      <c r="FV52" s="39">
        <v>459979</v>
      </c>
      <c r="FW52" s="39">
        <v>467296</v>
      </c>
      <c r="FX52" s="39">
        <v>474198</v>
      </c>
      <c r="FY52" s="197">
        <v>479137</v>
      </c>
      <c r="FZ52" s="39">
        <v>485380</v>
      </c>
      <c r="GA52" s="39">
        <v>492468</v>
      </c>
      <c r="GB52" s="39">
        <v>500849</v>
      </c>
      <c r="GC52" s="39">
        <v>508572</v>
      </c>
      <c r="GD52" s="39">
        <v>517043</v>
      </c>
      <c r="GE52" s="39">
        <v>525510</v>
      </c>
      <c r="GF52" s="39">
        <v>534597</v>
      </c>
      <c r="GG52" s="39">
        <v>542674</v>
      </c>
      <c r="GH52" s="39">
        <v>551845</v>
      </c>
      <c r="GI52" s="39">
        <v>561403</v>
      </c>
      <c r="GJ52" s="39">
        <v>569772</v>
      </c>
      <c r="GK52" s="197">
        <v>575851</v>
      </c>
      <c r="GL52" s="39">
        <v>582553</v>
      </c>
      <c r="GM52" s="39">
        <v>589790</v>
      </c>
      <c r="GN52" s="39">
        <v>598036</v>
      </c>
      <c r="GO52" s="39">
        <v>606375</v>
      </c>
    </row>
    <row r="53" spans="1:197" s="1" customFormat="1" ht="20.149999999999999" customHeight="1" x14ac:dyDescent="0.35">
      <c r="A53" s="31" t="s">
        <v>1625</v>
      </c>
      <c r="B53" s="55">
        <v>153</v>
      </c>
      <c r="C53" s="55">
        <v>159</v>
      </c>
      <c r="D53" s="55">
        <v>176</v>
      </c>
      <c r="E53" s="55">
        <v>187</v>
      </c>
      <c r="F53" s="55">
        <v>205</v>
      </c>
      <c r="G53" s="55">
        <v>218</v>
      </c>
      <c r="H53" s="55">
        <v>228</v>
      </c>
      <c r="I53" s="55">
        <v>242</v>
      </c>
      <c r="J53" s="55">
        <v>269</v>
      </c>
      <c r="K53" s="55">
        <v>290</v>
      </c>
      <c r="L53" s="55">
        <v>315</v>
      </c>
      <c r="M53" s="56">
        <v>328</v>
      </c>
      <c r="N53" s="57">
        <v>355</v>
      </c>
      <c r="O53" s="55">
        <v>393</v>
      </c>
      <c r="P53" s="55">
        <v>432</v>
      </c>
      <c r="Q53" s="55">
        <v>480</v>
      </c>
      <c r="R53" s="55">
        <v>534</v>
      </c>
      <c r="S53" s="55">
        <v>589</v>
      </c>
      <c r="T53" s="55">
        <v>705</v>
      </c>
      <c r="U53" s="55">
        <v>816</v>
      </c>
      <c r="V53" s="55">
        <v>962</v>
      </c>
      <c r="W53" s="55">
        <v>1110</v>
      </c>
      <c r="X53" s="55">
        <v>1887</v>
      </c>
      <c r="Y53" s="56">
        <v>3364</v>
      </c>
      <c r="Z53" s="57">
        <v>3409</v>
      </c>
      <c r="AA53" s="55">
        <v>4586</v>
      </c>
      <c r="AB53" s="55">
        <v>5432</v>
      </c>
      <c r="AC53" s="55">
        <v>5502</v>
      </c>
      <c r="AD53" s="55">
        <v>5664</v>
      </c>
      <c r="AE53" s="55">
        <v>5978</v>
      </c>
      <c r="AF53" s="55">
        <v>7275</v>
      </c>
      <c r="AG53" s="55">
        <v>7340</v>
      </c>
      <c r="AH53" s="55">
        <v>7432</v>
      </c>
      <c r="AI53" s="55">
        <v>7740</v>
      </c>
      <c r="AJ53" s="55">
        <v>7855</v>
      </c>
      <c r="AK53" s="56">
        <v>7981</v>
      </c>
      <c r="AL53" s="57">
        <v>8126</v>
      </c>
      <c r="AM53" s="55">
        <v>8370</v>
      </c>
      <c r="AN53" s="55">
        <v>8706</v>
      </c>
      <c r="AO53" s="55">
        <v>9040</v>
      </c>
      <c r="AP53" s="55">
        <v>9357</v>
      </c>
      <c r="AQ53" s="55">
        <v>10116</v>
      </c>
      <c r="AR53" s="55">
        <v>10306</v>
      </c>
      <c r="AS53" s="55">
        <v>10604</v>
      </c>
      <c r="AT53" s="55">
        <v>10895</v>
      </c>
      <c r="AU53" s="55">
        <v>11160</v>
      </c>
      <c r="AV53" s="55">
        <v>11466</v>
      </c>
      <c r="AW53" s="56">
        <v>11760</v>
      </c>
      <c r="AX53" s="55">
        <v>12057</v>
      </c>
      <c r="AY53" s="55">
        <v>12500</v>
      </c>
      <c r="AZ53" s="55">
        <v>13379</v>
      </c>
      <c r="BA53" s="55">
        <v>13573</v>
      </c>
      <c r="BB53" s="55">
        <v>13847</v>
      </c>
      <c r="BC53" s="55">
        <v>14185</v>
      </c>
      <c r="BD53" s="55">
        <v>14505</v>
      </c>
      <c r="BE53" s="55">
        <v>14824</v>
      </c>
      <c r="BF53" s="55">
        <v>15204</v>
      </c>
      <c r="BG53" s="55">
        <v>15556</v>
      </c>
      <c r="BH53" s="55">
        <v>15927</v>
      </c>
      <c r="BI53" s="56">
        <v>16615</v>
      </c>
      <c r="BJ53" s="55">
        <v>16822</v>
      </c>
      <c r="BK53" s="55">
        <v>17193</v>
      </c>
      <c r="BL53" s="55">
        <v>17827</v>
      </c>
      <c r="BM53" s="55">
        <v>18153</v>
      </c>
      <c r="BN53" s="55">
        <v>18477</v>
      </c>
      <c r="BO53" s="55">
        <v>19005</v>
      </c>
      <c r="BP53" s="55">
        <v>19405</v>
      </c>
      <c r="BQ53" s="55">
        <v>19898</v>
      </c>
      <c r="BR53" s="55">
        <v>21017</v>
      </c>
      <c r="BS53" s="55">
        <v>21495</v>
      </c>
      <c r="BT53" s="55">
        <v>22238</v>
      </c>
      <c r="BU53" s="56">
        <v>24255</v>
      </c>
      <c r="BV53" s="55">
        <v>25213</v>
      </c>
      <c r="BW53" s="55">
        <v>25310</v>
      </c>
      <c r="BX53" s="55">
        <v>25520</v>
      </c>
      <c r="BY53" s="55">
        <v>25656</v>
      </c>
      <c r="BZ53" s="55">
        <v>25802</v>
      </c>
      <c r="CA53" s="55">
        <v>26011</v>
      </c>
      <c r="CB53" s="55">
        <v>26209</v>
      </c>
      <c r="CC53" s="55">
        <v>26478</v>
      </c>
      <c r="CD53" s="55">
        <v>26978</v>
      </c>
      <c r="CE53" s="55">
        <v>27110</v>
      </c>
      <c r="CF53" s="55">
        <v>27260</v>
      </c>
      <c r="CG53" s="55">
        <v>27447</v>
      </c>
      <c r="CH53" s="77">
        <v>27533</v>
      </c>
      <c r="CI53" s="55">
        <v>27648</v>
      </c>
      <c r="CJ53" s="55">
        <v>27899</v>
      </c>
      <c r="CK53" s="55">
        <v>28026</v>
      </c>
      <c r="CL53" s="55">
        <v>28177</v>
      </c>
      <c r="CM53" s="55">
        <v>28364</v>
      </c>
      <c r="CN53" s="55">
        <v>28521</v>
      </c>
      <c r="CO53" s="55">
        <v>28689</v>
      </c>
      <c r="CP53" s="55">
        <v>28888</v>
      </c>
      <c r="CQ53" s="55">
        <v>29053</v>
      </c>
      <c r="CR53" s="55">
        <v>29254</v>
      </c>
      <c r="CS53" s="55">
        <v>29415</v>
      </c>
      <c r="CT53" s="77">
        <v>29580</v>
      </c>
      <c r="CU53" s="55">
        <v>29739</v>
      </c>
      <c r="CV53" s="55">
        <v>29961</v>
      </c>
      <c r="CW53" s="55">
        <v>30104</v>
      </c>
      <c r="CX53" s="55">
        <v>30257</v>
      </c>
      <c r="CY53" s="55">
        <v>30453</v>
      </c>
      <c r="CZ53" s="55">
        <v>30637</v>
      </c>
      <c r="DA53" s="55">
        <v>30847</v>
      </c>
      <c r="DB53" s="55">
        <v>31030</v>
      </c>
      <c r="DC53" s="55">
        <v>31247</v>
      </c>
      <c r="DD53" s="55">
        <v>31462</v>
      </c>
      <c r="DE53" s="55">
        <v>31693</v>
      </c>
      <c r="DF53" s="77">
        <v>31962</v>
      </c>
      <c r="DG53" s="55">
        <v>32367</v>
      </c>
      <c r="DH53" s="55">
        <v>33962</v>
      </c>
      <c r="DI53" s="55">
        <v>34033</v>
      </c>
      <c r="DJ53" s="55">
        <v>34102</v>
      </c>
      <c r="DK53" s="55">
        <v>34201</v>
      </c>
      <c r="DL53" s="55">
        <v>34309</v>
      </c>
      <c r="DM53" s="55">
        <v>34447</v>
      </c>
      <c r="DN53" s="55">
        <v>34585</v>
      </c>
      <c r="DO53" s="55">
        <v>34725</v>
      </c>
      <c r="DP53" s="55">
        <v>34880</v>
      </c>
      <c r="DQ53" s="55">
        <v>34992</v>
      </c>
      <c r="DR53" s="77">
        <v>35151</v>
      </c>
      <c r="DS53" s="55">
        <v>35311</v>
      </c>
      <c r="DT53" s="55">
        <v>35527</v>
      </c>
      <c r="DU53" s="55">
        <v>35579</v>
      </c>
      <c r="DV53" s="55">
        <v>35630</v>
      </c>
      <c r="DW53" s="55">
        <v>35754</v>
      </c>
      <c r="DX53" s="55">
        <v>35902</v>
      </c>
      <c r="DY53" s="55">
        <v>36016</v>
      </c>
      <c r="DZ53" s="55">
        <v>36189</v>
      </c>
      <c r="EA53" s="55">
        <v>36363</v>
      </c>
      <c r="EB53" s="55">
        <v>36552</v>
      </c>
      <c r="EC53" s="55">
        <v>36691</v>
      </c>
      <c r="ED53" s="77">
        <v>36831</v>
      </c>
      <c r="EE53" s="55">
        <v>36993</v>
      </c>
      <c r="EF53" s="55">
        <v>37224</v>
      </c>
      <c r="EG53" s="55">
        <v>37410</v>
      </c>
      <c r="EH53" s="55">
        <v>37591</v>
      </c>
      <c r="EI53" s="55">
        <v>37762</v>
      </c>
      <c r="EJ53" s="55">
        <v>37987</v>
      </c>
      <c r="EK53" s="55">
        <v>38236</v>
      </c>
      <c r="EL53" s="55">
        <v>38476</v>
      </c>
      <c r="EM53" s="55">
        <v>38727</v>
      </c>
      <c r="EN53" s="55">
        <v>39032</v>
      </c>
      <c r="EO53" s="55">
        <v>39201</v>
      </c>
      <c r="EP53" s="77">
        <v>39428</v>
      </c>
      <c r="EQ53" s="55">
        <v>39678</v>
      </c>
      <c r="ER53" s="55">
        <v>40058</v>
      </c>
      <c r="ES53" s="55">
        <v>40341</v>
      </c>
      <c r="ET53" s="55">
        <v>40722</v>
      </c>
      <c r="EU53" s="55">
        <v>41083</v>
      </c>
      <c r="EV53" s="55">
        <v>41457</v>
      </c>
      <c r="EW53" s="55">
        <v>41858</v>
      </c>
      <c r="EX53" s="55">
        <v>42279</v>
      </c>
      <c r="EY53" s="55">
        <v>42740</v>
      </c>
      <c r="EZ53" s="55">
        <v>43285</v>
      </c>
      <c r="FA53" s="83">
        <v>43704</v>
      </c>
      <c r="FB53" s="55">
        <v>44256</v>
      </c>
      <c r="FC53" s="55">
        <v>44982</v>
      </c>
      <c r="FD53" s="55">
        <v>45807</v>
      </c>
      <c r="FE53" s="55">
        <v>46552</v>
      </c>
      <c r="FF53" s="55">
        <v>47474</v>
      </c>
      <c r="FG53" s="55">
        <v>48469</v>
      </c>
      <c r="FH53" s="55">
        <v>49328</v>
      </c>
      <c r="FI53" s="55">
        <v>50169</v>
      </c>
      <c r="FJ53" s="39">
        <v>51107</v>
      </c>
      <c r="FK53" s="39">
        <v>51945</v>
      </c>
      <c r="FL53" s="39">
        <v>52781</v>
      </c>
      <c r="FM53" s="39">
        <v>53311</v>
      </c>
      <c r="FN53" s="77">
        <v>54075</v>
      </c>
      <c r="FO53" s="39">
        <v>54767</v>
      </c>
      <c r="FP53" s="39">
        <v>55545</v>
      </c>
      <c r="FQ53" s="39">
        <v>56374</v>
      </c>
      <c r="FR53" s="39">
        <v>57327</v>
      </c>
      <c r="FS53" s="39">
        <v>58219</v>
      </c>
      <c r="FT53" s="39">
        <v>59190</v>
      </c>
      <c r="FU53" s="39">
        <v>60112</v>
      </c>
      <c r="FV53" s="39">
        <v>61001</v>
      </c>
      <c r="FW53" s="39">
        <v>61950</v>
      </c>
      <c r="FX53" s="39">
        <v>62925</v>
      </c>
      <c r="FY53" s="197">
        <v>63611</v>
      </c>
      <c r="FZ53" s="39">
        <v>64558</v>
      </c>
      <c r="GA53" s="39">
        <v>65656</v>
      </c>
      <c r="GB53" s="39">
        <v>66881</v>
      </c>
      <c r="GC53" s="39">
        <v>68087</v>
      </c>
      <c r="GD53" s="39">
        <v>69434</v>
      </c>
      <c r="GE53" s="39">
        <v>70742</v>
      </c>
      <c r="GF53" s="39">
        <v>72140</v>
      </c>
      <c r="GG53" s="39">
        <v>73403</v>
      </c>
      <c r="GH53" s="39">
        <v>74848</v>
      </c>
      <c r="GI53" s="39">
        <v>76262</v>
      </c>
      <c r="GJ53" s="39">
        <v>77509</v>
      </c>
      <c r="GK53" s="197">
        <v>78612</v>
      </c>
      <c r="GL53" s="39">
        <v>79837</v>
      </c>
      <c r="GM53" s="39">
        <v>81202</v>
      </c>
      <c r="GN53" s="39">
        <v>82863</v>
      </c>
      <c r="GO53" s="39">
        <v>84487</v>
      </c>
    </row>
    <row r="54" spans="1:197" s="1" customFormat="1" ht="20.149999999999999" customHeight="1" x14ac:dyDescent="0.35">
      <c r="A54" s="31" t="s">
        <v>1627</v>
      </c>
      <c r="B54" s="55">
        <v>17</v>
      </c>
      <c r="C54" s="55">
        <v>17</v>
      </c>
      <c r="D54" s="55">
        <v>17</v>
      </c>
      <c r="E54" s="55">
        <v>17</v>
      </c>
      <c r="F54" s="55">
        <v>19</v>
      </c>
      <c r="G54" s="55">
        <v>21</v>
      </c>
      <c r="H54" s="55">
        <v>23</v>
      </c>
      <c r="I54" s="55">
        <v>23</v>
      </c>
      <c r="J54" s="55">
        <v>23</v>
      </c>
      <c r="K54" s="55">
        <v>27</v>
      </c>
      <c r="L54" s="55">
        <v>28</v>
      </c>
      <c r="M54" s="56">
        <v>30</v>
      </c>
      <c r="N54" s="57">
        <v>30</v>
      </c>
      <c r="O54" s="55">
        <v>33</v>
      </c>
      <c r="P54" s="55">
        <v>36</v>
      </c>
      <c r="Q54" s="55">
        <v>45</v>
      </c>
      <c r="R54" s="55">
        <v>57</v>
      </c>
      <c r="S54" s="55">
        <v>93</v>
      </c>
      <c r="T54" s="55">
        <v>304</v>
      </c>
      <c r="U54" s="55">
        <v>309</v>
      </c>
      <c r="V54" s="55">
        <v>325</v>
      </c>
      <c r="W54" s="55">
        <v>353</v>
      </c>
      <c r="X54" s="55">
        <v>371</v>
      </c>
      <c r="Y54" s="56">
        <v>430</v>
      </c>
      <c r="Z54" s="57">
        <v>432</v>
      </c>
      <c r="AA54" s="55">
        <v>496</v>
      </c>
      <c r="AB54" s="55">
        <v>544</v>
      </c>
      <c r="AC54" s="55">
        <v>550</v>
      </c>
      <c r="AD54" s="55">
        <v>564</v>
      </c>
      <c r="AE54" s="55">
        <v>600</v>
      </c>
      <c r="AF54" s="55">
        <v>811</v>
      </c>
      <c r="AG54" s="55">
        <v>832</v>
      </c>
      <c r="AH54" s="55">
        <v>849</v>
      </c>
      <c r="AI54" s="55">
        <v>896</v>
      </c>
      <c r="AJ54" s="55">
        <v>914</v>
      </c>
      <c r="AK54" s="56">
        <v>935</v>
      </c>
      <c r="AL54" s="57">
        <v>957</v>
      </c>
      <c r="AM54" s="55">
        <v>986</v>
      </c>
      <c r="AN54" s="55">
        <v>1052</v>
      </c>
      <c r="AO54" s="55">
        <v>1170</v>
      </c>
      <c r="AP54" s="55">
        <v>1228</v>
      </c>
      <c r="AQ54" s="55">
        <v>1346</v>
      </c>
      <c r="AR54" s="55">
        <v>1407</v>
      </c>
      <c r="AS54" s="55">
        <v>1482</v>
      </c>
      <c r="AT54" s="55">
        <v>1543</v>
      </c>
      <c r="AU54" s="55">
        <v>1591</v>
      </c>
      <c r="AV54" s="55">
        <v>1664</v>
      </c>
      <c r="AW54" s="56">
        <v>1771</v>
      </c>
      <c r="AX54" s="55">
        <v>1819</v>
      </c>
      <c r="AY54" s="55">
        <v>1887</v>
      </c>
      <c r="AZ54" s="55">
        <v>2084</v>
      </c>
      <c r="BA54" s="55">
        <v>2119</v>
      </c>
      <c r="BB54" s="55">
        <v>2178</v>
      </c>
      <c r="BC54" s="55">
        <v>2323</v>
      </c>
      <c r="BD54" s="55">
        <v>2409</v>
      </c>
      <c r="BE54" s="55">
        <v>2483</v>
      </c>
      <c r="BF54" s="55">
        <v>2606</v>
      </c>
      <c r="BG54" s="55">
        <v>2725</v>
      </c>
      <c r="BH54" s="55">
        <v>2833</v>
      </c>
      <c r="BI54" s="56">
        <v>2994</v>
      </c>
      <c r="BJ54" s="55">
        <v>3067</v>
      </c>
      <c r="BK54" s="55">
        <v>3129</v>
      </c>
      <c r="BL54" s="55">
        <v>3387</v>
      </c>
      <c r="BM54" s="55">
        <v>3466</v>
      </c>
      <c r="BN54" s="55">
        <v>3555</v>
      </c>
      <c r="BO54" s="55">
        <v>3781</v>
      </c>
      <c r="BP54" s="55">
        <v>3892</v>
      </c>
      <c r="BQ54" s="55">
        <v>4018</v>
      </c>
      <c r="BR54" s="55">
        <v>4233</v>
      </c>
      <c r="BS54" s="55">
        <v>4396</v>
      </c>
      <c r="BT54" s="55">
        <v>4632</v>
      </c>
      <c r="BU54" s="56">
        <v>5289</v>
      </c>
      <c r="BV54" s="55">
        <v>5493</v>
      </c>
      <c r="BW54" s="55">
        <v>5552</v>
      </c>
      <c r="BX54" s="55">
        <v>5788</v>
      </c>
      <c r="BY54" s="55">
        <v>5815</v>
      </c>
      <c r="BZ54" s="55">
        <v>5850</v>
      </c>
      <c r="CA54" s="55">
        <v>5909</v>
      </c>
      <c r="CB54" s="55">
        <v>5927</v>
      </c>
      <c r="CC54" s="55">
        <v>5954</v>
      </c>
      <c r="CD54" s="55">
        <v>5995</v>
      </c>
      <c r="CE54" s="55">
        <v>6023</v>
      </c>
      <c r="CF54" s="55">
        <v>6046</v>
      </c>
      <c r="CG54" s="55">
        <v>6085</v>
      </c>
      <c r="CH54" s="77">
        <v>6094</v>
      </c>
      <c r="CI54" s="55">
        <v>6120</v>
      </c>
      <c r="CJ54" s="55">
        <v>6234</v>
      </c>
      <c r="CK54" s="55">
        <v>6254</v>
      </c>
      <c r="CL54" s="55">
        <v>6268</v>
      </c>
      <c r="CM54" s="55">
        <v>6291</v>
      </c>
      <c r="CN54" s="55">
        <v>6309</v>
      </c>
      <c r="CO54" s="55">
        <v>6333</v>
      </c>
      <c r="CP54" s="55">
        <v>6357</v>
      </c>
      <c r="CQ54" s="55">
        <v>6372</v>
      </c>
      <c r="CR54" s="55">
        <v>6390</v>
      </c>
      <c r="CS54" s="55">
        <v>6398</v>
      </c>
      <c r="CT54" s="77">
        <v>6408</v>
      </c>
      <c r="CU54" s="55">
        <v>6416</v>
      </c>
      <c r="CV54" s="55">
        <v>6438</v>
      </c>
      <c r="CW54" s="55">
        <v>6452</v>
      </c>
      <c r="CX54" s="55">
        <v>6465</v>
      </c>
      <c r="CY54" s="55">
        <v>6476</v>
      </c>
      <c r="CZ54" s="55">
        <v>6487</v>
      </c>
      <c r="DA54" s="55">
        <v>6507</v>
      </c>
      <c r="DB54" s="55">
        <v>6524</v>
      </c>
      <c r="DC54" s="55">
        <v>6536</v>
      </c>
      <c r="DD54" s="55">
        <v>6562</v>
      </c>
      <c r="DE54" s="55">
        <v>6593</v>
      </c>
      <c r="DF54" s="77">
        <v>6604</v>
      </c>
      <c r="DG54" s="55">
        <v>6618</v>
      </c>
      <c r="DH54" s="55">
        <v>6654</v>
      </c>
      <c r="DI54" s="55">
        <v>6670</v>
      </c>
      <c r="DJ54" s="55">
        <v>6676</v>
      </c>
      <c r="DK54" s="55">
        <v>6685</v>
      </c>
      <c r="DL54" s="55">
        <v>6695</v>
      </c>
      <c r="DM54" s="55">
        <v>6710</v>
      </c>
      <c r="DN54" s="55">
        <v>6725</v>
      </c>
      <c r="DO54" s="55">
        <v>6735</v>
      </c>
      <c r="DP54" s="55">
        <v>6740</v>
      </c>
      <c r="DQ54" s="55">
        <v>6746</v>
      </c>
      <c r="DR54" s="77">
        <v>6756</v>
      </c>
      <c r="DS54" s="55">
        <v>6761</v>
      </c>
      <c r="DT54" s="55">
        <v>6778</v>
      </c>
      <c r="DU54" s="55">
        <v>6786</v>
      </c>
      <c r="DV54" s="55">
        <v>6789</v>
      </c>
      <c r="DW54" s="55">
        <v>6792</v>
      </c>
      <c r="DX54" s="55">
        <v>6799</v>
      </c>
      <c r="DY54" s="55">
        <v>6813</v>
      </c>
      <c r="DZ54" s="55">
        <v>6823</v>
      </c>
      <c r="EA54" s="55">
        <v>6827</v>
      </c>
      <c r="EB54" s="55">
        <v>6831</v>
      </c>
      <c r="EC54" s="55">
        <v>6840</v>
      </c>
      <c r="ED54" s="77">
        <v>6846</v>
      </c>
      <c r="EE54" s="55">
        <v>6851</v>
      </c>
      <c r="EF54" s="55">
        <v>6859</v>
      </c>
      <c r="EG54" s="55">
        <v>6865</v>
      </c>
      <c r="EH54" s="55">
        <v>6871</v>
      </c>
      <c r="EI54" s="55">
        <v>6880</v>
      </c>
      <c r="EJ54" s="55">
        <v>6891</v>
      </c>
      <c r="EK54" s="55">
        <v>6898</v>
      </c>
      <c r="EL54" s="55">
        <v>6915</v>
      </c>
      <c r="EM54" s="55">
        <v>6929</v>
      </c>
      <c r="EN54" s="55">
        <v>6945</v>
      </c>
      <c r="EO54" s="55">
        <v>6959</v>
      </c>
      <c r="EP54" s="77">
        <v>6976</v>
      </c>
      <c r="EQ54" s="55">
        <v>6990</v>
      </c>
      <c r="ER54" s="55">
        <v>7008</v>
      </c>
      <c r="ES54" s="55">
        <v>7026</v>
      </c>
      <c r="ET54" s="55">
        <v>7047</v>
      </c>
      <c r="EU54" s="55">
        <v>7069</v>
      </c>
      <c r="EV54" s="55">
        <v>7083</v>
      </c>
      <c r="EW54" s="55">
        <v>7096</v>
      </c>
      <c r="EX54" s="55">
        <v>7114</v>
      </c>
      <c r="EY54" s="55">
        <v>7144</v>
      </c>
      <c r="EZ54" s="55">
        <v>7169</v>
      </c>
      <c r="FA54" s="83">
        <v>7189</v>
      </c>
      <c r="FB54" s="55">
        <v>7216</v>
      </c>
      <c r="FC54" s="55">
        <v>7242</v>
      </c>
      <c r="FD54" s="55">
        <v>7297</v>
      </c>
      <c r="FE54" s="55">
        <v>7338</v>
      </c>
      <c r="FF54" s="55">
        <v>7390</v>
      </c>
      <c r="FG54" s="55">
        <v>7448</v>
      </c>
      <c r="FH54" s="55">
        <v>7494</v>
      </c>
      <c r="FI54" s="55">
        <v>7545</v>
      </c>
      <c r="FJ54" s="39">
        <v>7595</v>
      </c>
      <c r="FK54" s="39">
        <v>7644</v>
      </c>
      <c r="FL54" s="39">
        <v>7685</v>
      </c>
      <c r="FM54" s="39">
        <v>7708</v>
      </c>
      <c r="FN54" s="77">
        <v>7743</v>
      </c>
      <c r="FO54" s="39">
        <v>7780</v>
      </c>
      <c r="FP54" s="39">
        <v>7820</v>
      </c>
      <c r="FQ54" s="39">
        <v>7862</v>
      </c>
      <c r="FR54" s="39">
        <v>7906</v>
      </c>
      <c r="FS54" s="39">
        <v>7938</v>
      </c>
      <c r="FT54" s="39">
        <v>7985</v>
      </c>
      <c r="FU54" s="39">
        <v>8022</v>
      </c>
      <c r="FV54" s="39">
        <v>8045</v>
      </c>
      <c r="FW54" s="39">
        <v>8075</v>
      </c>
      <c r="FX54" s="39">
        <v>8114</v>
      </c>
      <c r="FY54" s="197">
        <v>8135</v>
      </c>
      <c r="FZ54" s="39">
        <v>8158</v>
      </c>
      <c r="GA54" s="39">
        <v>8193</v>
      </c>
      <c r="GB54" s="39">
        <v>8221</v>
      </c>
      <c r="GC54" s="39">
        <v>8246</v>
      </c>
      <c r="GD54" s="39">
        <v>8290</v>
      </c>
      <c r="GE54" s="39">
        <v>8325</v>
      </c>
      <c r="GF54" s="39">
        <v>8365</v>
      </c>
      <c r="GG54" s="39">
        <v>8401</v>
      </c>
      <c r="GH54" s="39">
        <v>8444</v>
      </c>
      <c r="GI54" s="39">
        <v>8492</v>
      </c>
      <c r="GJ54" s="39">
        <v>8522</v>
      </c>
      <c r="GK54" s="197">
        <v>8541</v>
      </c>
      <c r="GL54" s="39">
        <v>8558</v>
      </c>
      <c r="GM54" s="39">
        <v>8588</v>
      </c>
      <c r="GN54" s="39">
        <v>8620</v>
      </c>
      <c r="GO54" s="39">
        <v>8648</v>
      </c>
    </row>
    <row r="55" spans="1:197" s="1" customFormat="1" ht="20.149999999999999" customHeight="1" x14ac:dyDescent="0.35">
      <c r="A55" s="31" t="s">
        <v>1624</v>
      </c>
      <c r="B55" s="55">
        <v>0</v>
      </c>
      <c r="C55" s="55">
        <v>0</v>
      </c>
      <c r="D55" s="55">
        <v>0</v>
      </c>
      <c r="E55" s="55">
        <v>0</v>
      </c>
      <c r="F55" s="55">
        <v>0</v>
      </c>
      <c r="G55" s="55">
        <v>0</v>
      </c>
      <c r="H55" s="55">
        <v>0</v>
      </c>
      <c r="I55" s="55">
        <v>0</v>
      </c>
      <c r="J55" s="55">
        <v>0</v>
      </c>
      <c r="K55" s="55">
        <v>0</v>
      </c>
      <c r="L55" s="55">
        <v>0</v>
      </c>
      <c r="M55" s="56">
        <v>0</v>
      </c>
      <c r="N55" s="57">
        <v>0</v>
      </c>
      <c r="O55" s="55">
        <v>0</v>
      </c>
      <c r="P55" s="55">
        <v>0</v>
      </c>
      <c r="Q55" s="55">
        <v>0</v>
      </c>
      <c r="R55" s="55">
        <v>0</v>
      </c>
      <c r="S55" s="55">
        <v>0</v>
      </c>
      <c r="T55" s="55">
        <v>0</v>
      </c>
      <c r="U55" s="55">
        <v>0</v>
      </c>
      <c r="V55" s="55">
        <v>0</v>
      </c>
      <c r="W55" s="55">
        <v>0</v>
      </c>
      <c r="X55" s="55">
        <v>0</v>
      </c>
      <c r="Y55" s="56">
        <v>0</v>
      </c>
      <c r="Z55" s="57">
        <v>1</v>
      </c>
      <c r="AA55" s="55">
        <v>1</v>
      </c>
      <c r="AB55" s="55">
        <v>1</v>
      </c>
      <c r="AC55" s="55">
        <v>1</v>
      </c>
      <c r="AD55" s="55">
        <v>1</v>
      </c>
      <c r="AE55" s="55">
        <v>1</v>
      </c>
      <c r="AF55" s="55">
        <v>1</v>
      </c>
      <c r="AG55" s="55">
        <v>1</v>
      </c>
      <c r="AH55" s="55">
        <v>1</v>
      </c>
      <c r="AI55" s="55">
        <v>1</v>
      </c>
      <c r="AJ55" s="55">
        <v>1</v>
      </c>
      <c r="AK55" s="56">
        <v>1</v>
      </c>
      <c r="AL55" s="57">
        <v>1</v>
      </c>
      <c r="AM55" s="55">
        <v>7</v>
      </c>
      <c r="AN55" s="55">
        <v>41</v>
      </c>
      <c r="AO55" s="55">
        <v>41</v>
      </c>
      <c r="AP55" s="55">
        <v>44</v>
      </c>
      <c r="AQ55" s="55">
        <v>51</v>
      </c>
      <c r="AR55" s="55">
        <v>51</v>
      </c>
      <c r="AS55" s="55">
        <v>54</v>
      </c>
      <c r="AT55" s="55">
        <v>54</v>
      </c>
      <c r="AU55" s="55">
        <v>54</v>
      </c>
      <c r="AV55" s="55">
        <v>58</v>
      </c>
      <c r="AW55" s="56">
        <v>60</v>
      </c>
      <c r="AX55" s="55">
        <v>68</v>
      </c>
      <c r="AY55" s="55">
        <v>72</v>
      </c>
      <c r="AZ55" s="55">
        <v>144</v>
      </c>
      <c r="BA55" s="55">
        <v>145</v>
      </c>
      <c r="BB55" s="55">
        <v>149</v>
      </c>
      <c r="BC55" s="55">
        <v>154</v>
      </c>
      <c r="BD55" s="55">
        <v>161</v>
      </c>
      <c r="BE55" s="55">
        <v>162</v>
      </c>
      <c r="BF55" s="55">
        <v>170</v>
      </c>
      <c r="BG55" s="55">
        <v>175</v>
      </c>
      <c r="BH55" s="55">
        <v>181</v>
      </c>
      <c r="BI55" s="56">
        <v>190</v>
      </c>
      <c r="BJ55" s="55">
        <v>196</v>
      </c>
      <c r="BK55" s="55">
        <v>206</v>
      </c>
      <c r="BL55" s="55">
        <v>335</v>
      </c>
      <c r="BM55" s="55">
        <v>335</v>
      </c>
      <c r="BN55" s="55">
        <v>335</v>
      </c>
      <c r="BO55" s="55">
        <v>336</v>
      </c>
      <c r="BP55" s="55">
        <v>337</v>
      </c>
      <c r="BQ55" s="55">
        <v>341</v>
      </c>
      <c r="BR55" s="55">
        <v>341</v>
      </c>
      <c r="BS55" s="55">
        <v>344</v>
      </c>
      <c r="BT55" s="55">
        <v>348</v>
      </c>
      <c r="BU55" s="56">
        <v>356</v>
      </c>
      <c r="BV55" s="55">
        <v>360</v>
      </c>
      <c r="BW55" s="55">
        <v>362</v>
      </c>
      <c r="BX55" s="55">
        <v>387</v>
      </c>
      <c r="BY55" s="55">
        <v>389</v>
      </c>
      <c r="BZ55" s="55">
        <v>389</v>
      </c>
      <c r="CA55" s="55">
        <v>397</v>
      </c>
      <c r="CB55" s="55">
        <v>398</v>
      </c>
      <c r="CC55" s="55">
        <v>400</v>
      </c>
      <c r="CD55" s="55">
        <v>400</v>
      </c>
      <c r="CE55" s="55">
        <v>401</v>
      </c>
      <c r="CF55" s="55">
        <v>401</v>
      </c>
      <c r="CG55" s="55">
        <v>406</v>
      </c>
      <c r="CH55" s="77">
        <v>409</v>
      </c>
      <c r="CI55" s="55">
        <v>412</v>
      </c>
      <c r="CJ55" s="55">
        <v>433</v>
      </c>
      <c r="CK55" s="55">
        <v>433</v>
      </c>
      <c r="CL55" s="55">
        <v>433</v>
      </c>
      <c r="CM55" s="55">
        <v>433</v>
      </c>
      <c r="CN55" s="55">
        <v>434</v>
      </c>
      <c r="CO55" s="55">
        <v>434</v>
      </c>
      <c r="CP55" s="55">
        <v>434</v>
      </c>
      <c r="CQ55" s="55">
        <v>435</v>
      </c>
      <c r="CR55" s="55">
        <v>435</v>
      </c>
      <c r="CS55" s="55">
        <v>437</v>
      </c>
      <c r="CT55" s="77">
        <v>437</v>
      </c>
      <c r="CU55" s="55">
        <v>438</v>
      </c>
      <c r="CV55" s="55">
        <v>439</v>
      </c>
      <c r="CW55" s="55">
        <v>440</v>
      </c>
      <c r="CX55" s="55">
        <v>441</v>
      </c>
      <c r="CY55" s="55">
        <v>441</v>
      </c>
      <c r="CZ55" s="55">
        <v>441</v>
      </c>
      <c r="DA55" s="55">
        <v>441</v>
      </c>
      <c r="DB55" s="55">
        <v>441</v>
      </c>
      <c r="DC55" s="55">
        <v>442</v>
      </c>
      <c r="DD55" s="55">
        <v>442</v>
      </c>
      <c r="DE55" s="55">
        <v>443</v>
      </c>
      <c r="DF55" s="77">
        <v>444</v>
      </c>
      <c r="DG55" s="55">
        <v>444</v>
      </c>
      <c r="DH55" s="55">
        <v>444</v>
      </c>
      <c r="DI55" s="55">
        <v>444</v>
      </c>
      <c r="DJ55" s="55">
        <v>444</v>
      </c>
      <c r="DK55" s="55">
        <v>444</v>
      </c>
      <c r="DL55" s="55">
        <v>445</v>
      </c>
      <c r="DM55" s="55">
        <v>445</v>
      </c>
      <c r="DN55" s="55">
        <v>446</v>
      </c>
      <c r="DO55" s="55">
        <v>446</v>
      </c>
      <c r="DP55" s="55">
        <v>446</v>
      </c>
      <c r="DQ55" s="55">
        <v>446</v>
      </c>
      <c r="DR55" s="77">
        <v>448</v>
      </c>
      <c r="DS55" s="55">
        <v>449</v>
      </c>
      <c r="DT55" s="55">
        <v>449</v>
      </c>
      <c r="DU55" s="55">
        <v>449</v>
      </c>
      <c r="DV55" s="55">
        <v>450</v>
      </c>
      <c r="DW55" s="55">
        <v>450</v>
      </c>
      <c r="DX55" s="55">
        <v>450</v>
      </c>
      <c r="DY55" s="55">
        <v>451</v>
      </c>
      <c r="DZ55" s="55">
        <v>451</v>
      </c>
      <c r="EA55" s="55">
        <v>451</v>
      </c>
      <c r="EB55" s="55">
        <v>451</v>
      </c>
      <c r="EC55" s="55">
        <v>452</v>
      </c>
      <c r="ED55" s="77">
        <v>453</v>
      </c>
      <c r="EE55" s="55">
        <v>453</v>
      </c>
      <c r="EF55" s="55">
        <v>454</v>
      </c>
      <c r="EG55" s="55">
        <v>454</v>
      </c>
      <c r="EH55" s="55">
        <v>455</v>
      </c>
      <c r="EI55" s="55">
        <v>457</v>
      </c>
      <c r="EJ55" s="55">
        <v>457</v>
      </c>
      <c r="EK55" s="55">
        <v>457</v>
      </c>
      <c r="EL55" s="55">
        <v>457</v>
      </c>
      <c r="EM55" s="55">
        <v>457</v>
      </c>
      <c r="EN55" s="55">
        <v>457</v>
      </c>
      <c r="EO55" s="55">
        <v>457</v>
      </c>
      <c r="EP55" s="77">
        <v>460</v>
      </c>
      <c r="EQ55" s="55">
        <v>460</v>
      </c>
      <c r="ER55" s="55">
        <v>461</v>
      </c>
      <c r="ES55" s="55">
        <v>461</v>
      </c>
      <c r="ET55" s="55">
        <v>461</v>
      </c>
      <c r="EU55" s="55">
        <v>461</v>
      </c>
      <c r="EV55" s="55">
        <v>462</v>
      </c>
      <c r="EW55" s="55">
        <v>462</v>
      </c>
      <c r="EX55" s="55">
        <v>463</v>
      </c>
      <c r="EY55" s="55">
        <v>463</v>
      </c>
      <c r="EZ55" s="55">
        <v>463</v>
      </c>
      <c r="FA55" s="83">
        <v>464</v>
      </c>
      <c r="FB55" s="55">
        <v>467</v>
      </c>
      <c r="FC55" s="55">
        <v>468</v>
      </c>
      <c r="FD55" s="55">
        <v>471</v>
      </c>
      <c r="FE55" s="55">
        <v>472</v>
      </c>
      <c r="FF55" s="55">
        <v>472</v>
      </c>
      <c r="FG55" s="55">
        <v>472</v>
      </c>
      <c r="FH55" s="55">
        <v>472</v>
      </c>
      <c r="FI55" s="55">
        <v>472</v>
      </c>
      <c r="FJ55" s="39">
        <v>473</v>
      </c>
      <c r="FK55" s="39">
        <v>477</v>
      </c>
      <c r="FL55" s="39">
        <v>478</v>
      </c>
      <c r="FM55" s="39">
        <v>478</v>
      </c>
      <c r="FN55" s="77">
        <v>482</v>
      </c>
      <c r="FO55" s="39">
        <v>482</v>
      </c>
      <c r="FP55" s="39">
        <v>487</v>
      </c>
      <c r="FQ55" s="39">
        <v>490</v>
      </c>
      <c r="FR55" s="39">
        <v>490</v>
      </c>
      <c r="FS55" s="39">
        <v>492</v>
      </c>
      <c r="FT55" s="39">
        <v>492</v>
      </c>
      <c r="FU55" s="39">
        <v>492</v>
      </c>
      <c r="FV55" s="39">
        <v>492</v>
      </c>
      <c r="FW55" s="39">
        <v>493</v>
      </c>
      <c r="FX55" s="39">
        <v>493</v>
      </c>
      <c r="FY55" s="197">
        <v>495</v>
      </c>
      <c r="FZ55" s="39">
        <v>499</v>
      </c>
      <c r="GA55" s="39">
        <v>500</v>
      </c>
      <c r="GB55" s="39">
        <v>500</v>
      </c>
      <c r="GC55" s="39">
        <v>500</v>
      </c>
      <c r="GD55" s="39">
        <v>500</v>
      </c>
      <c r="GE55" s="39">
        <v>502</v>
      </c>
      <c r="GF55" s="39">
        <v>502</v>
      </c>
      <c r="GG55" s="39">
        <v>503</v>
      </c>
      <c r="GH55" s="39">
        <v>503</v>
      </c>
      <c r="GI55" s="39">
        <v>504</v>
      </c>
      <c r="GJ55" s="39">
        <v>504</v>
      </c>
      <c r="GK55" s="197">
        <v>504</v>
      </c>
      <c r="GL55" s="39">
        <v>504</v>
      </c>
      <c r="GM55" s="39">
        <v>504</v>
      </c>
      <c r="GN55" s="39">
        <v>504</v>
      </c>
      <c r="GO55" s="39">
        <v>504</v>
      </c>
    </row>
    <row r="56" spans="1:197" s="1" customFormat="1" ht="20.149999999999999" customHeight="1" x14ac:dyDescent="0.4">
      <c r="A56" s="31" t="s">
        <v>1628</v>
      </c>
      <c r="B56" s="58">
        <v>0</v>
      </c>
      <c r="C56" s="58">
        <v>0</v>
      </c>
      <c r="D56" s="58">
        <v>0</v>
      </c>
      <c r="E56" s="58">
        <v>0</v>
      </c>
      <c r="F56" s="58">
        <v>0</v>
      </c>
      <c r="G56" s="58">
        <v>0</v>
      </c>
      <c r="H56" s="58">
        <v>0</v>
      </c>
      <c r="I56" s="58">
        <v>0</v>
      </c>
      <c r="J56" s="58">
        <v>0</v>
      </c>
      <c r="K56" s="58">
        <v>0</v>
      </c>
      <c r="L56" s="58">
        <v>0</v>
      </c>
      <c r="M56" s="59">
        <v>0</v>
      </c>
      <c r="N56" s="60">
        <v>0</v>
      </c>
      <c r="O56" s="58">
        <v>0</v>
      </c>
      <c r="P56" s="58">
        <v>0</v>
      </c>
      <c r="Q56" s="58">
        <v>0</v>
      </c>
      <c r="R56" s="58">
        <v>0</v>
      </c>
      <c r="S56" s="58">
        <v>0</v>
      </c>
      <c r="T56" s="58">
        <v>0</v>
      </c>
      <c r="U56" s="58">
        <v>0</v>
      </c>
      <c r="V56" s="58">
        <v>0</v>
      </c>
      <c r="W56" s="58">
        <v>0</v>
      </c>
      <c r="X56" s="58">
        <v>0</v>
      </c>
      <c r="Y56" s="59">
        <v>0</v>
      </c>
      <c r="Z56" s="60">
        <v>0</v>
      </c>
      <c r="AA56" s="58">
        <v>0</v>
      </c>
      <c r="AB56" s="58">
        <v>0</v>
      </c>
      <c r="AC56" s="58">
        <v>0</v>
      </c>
      <c r="AD56" s="58">
        <v>0</v>
      </c>
      <c r="AE56" s="58">
        <v>0</v>
      </c>
      <c r="AF56" s="58">
        <v>0</v>
      </c>
      <c r="AG56" s="58">
        <v>0</v>
      </c>
      <c r="AH56" s="58">
        <v>0</v>
      </c>
      <c r="AI56" s="58">
        <v>0</v>
      </c>
      <c r="AJ56" s="58">
        <v>0</v>
      </c>
      <c r="AK56" s="59">
        <v>0</v>
      </c>
      <c r="AL56" s="60">
        <v>0</v>
      </c>
      <c r="AM56" s="58">
        <v>0</v>
      </c>
      <c r="AN56" s="58">
        <v>1</v>
      </c>
      <c r="AO56" s="58">
        <v>1</v>
      </c>
      <c r="AP56" s="58">
        <v>1</v>
      </c>
      <c r="AQ56" s="58">
        <v>1</v>
      </c>
      <c r="AR56" s="58">
        <v>1</v>
      </c>
      <c r="AS56" s="58">
        <v>1</v>
      </c>
      <c r="AT56" s="58">
        <v>1</v>
      </c>
      <c r="AU56" s="58">
        <v>1</v>
      </c>
      <c r="AV56" s="58">
        <v>1</v>
      </c>
      <c r="AW56" s="59">
        <v>1</v>
      </c>
      <c r="AX56" s="58">
        <v>1</v>
      </c>
      <c r="AY56" s="58">
        <v>2</v>
      </c>
      <c r="AZ56" s="58">
        <v>3</v>
      </c>
      <c r="BA56" s="58">
        <v>4</v>
      </c>
      <c r="BB56" s="58">
        <v>4</v>
      </c>
      <c r="BC56" s="58">
        <v>4</v>
      </c>
      <c r="BD56" s="58">
        <v>5</v>
      </c>
      <c r="BE56" s="58">
        <v>5</v>
      </c>
      <c r="BF56" s="58">
        <v>7</v>
      </c>
      <c r="BG56" s="58">
        <v>9</v>
      </c>
      <c r="BH56" s="58">
        <v>9</v>
      </c>
      <c r="BI56" s="59">
        <v>11</v>
      </c>
      <c r="BJ56" s="58">
        <v>11</v>
      </c>
      <c r="BK56" s="58">
        <v>11</v>
      </c>
      <c r="BL56" s="58">
        <v>29</v>
      </c>
      <c r="BM56" s="58">
        <v>29</v>
      </c>
      <c r="BN56" s="58">
        <v>29</v>
      </c>
      <c r="BO56" s="58">
        <v>29</v>
      </c>
      <c r="BP56" s="58">
        <v>29</v>
      </c>
      <c r="BQ56" s="58">
        <v>29</v>
      </c>
      <c r="BR56" s="58">
        <v>29</v>
      </c>
      <c r="BS56" s="58">
        <v>29</v>
      </c>
      <c r="BT56" s="58">
        <v>29</v>
      </c>
      <c r="BU56" s="59">
        <v>29</v>
      </c>
      <c r="BV56" s="55">
        <v>30</v>
      </c>
      <c r="BW56" s="55">
        <v>30</v>
      </c>
      <c r="BX56" s="55">
        <v>39</v>
      </c>
      <c r="BY56" s="55">
        <v>39</v>
      </c>
      <c r="BZ56" s="55">
        <v>39</v>
      </c>
      <c r="CA56" s="55">
        <v>39</v>
      </c>
      <c r="CB56" s="55">
        <v>39</v>
      </c>
      <c r="CC56" s="55">
        <v>39</v>
      </c>
      <c r="CD56" s="55">
        <v>39</v>
      </c>
      <c r="CE56" s="55">
        <v>39</v>
      </c>
      <c r="CF56" s="55">
        <v>39</v>
      </c>
      <c r="CG56" s="55">
        <v>39</v>
      </c>
      <c r="CH56" s="77">
        <v>39</v>
      </c>
      <c r="CI56" s="55">
        <v>39</v>
      </c>
      <c r="CJ56" s="55">
        <v>40</v>
      </c>
      <c r="CK56" s="55">
        <v>40</v>
      </c>
      <c r="CL56" s="55">
        <v>40</v>
      </c>
      <c r="CM56" s="55">
        <v>40</v>
      </c>
      <c r="CN56" s="55">
        <v>40</v>
      </c>
      <c r="CO56" s="55">
        <v>40</v>
      </c>
      <c r="CP56" s="55">
        <v>40</v>
      </c>
      <c r="CQ56" s="55">
        <v>40</v>
      </c>
      <c r="CR56" s="55">
        <v>40</v>
      </c>
      <c r="CS56" s="55">
        <v>40</v>
      </c>
      <c r="CT56" s="77">
        <v>41</v>
      </c>
      <c r="CU56" s="55">
        <v>41</v>
      </c>
      <c r="CV56" s="55">
        <v>41</v>
      </c>
      <c r="CW56" s="55">
        <v>41</v>
      </c>
      <c r="CX56" s="55">
        <v>41</v>
      </c>
      <c r="CY56" s="55">
        <v>41</v>
      </c>
      <c r="CZ56" s="55">
        <v>41</v>
      </c>
      <c r="DA56" s="55">
        <v>41</v>
      </c>
      <c r="DB56" s="55">
        <v>41</v>
      </c>
      <c r="DC56" s="55">
        <v>41</v>
      </c>
      <c r="DD56" s="55">
        <v>41</v>
      </c>
      <c r="DE56" s="55">
        <v>41</v>
      </c>
      <c r="DF56" s="77">
        <v>42</v>
      </c>
      <c r="DG56" s="55">
        <v>42</v>
      </c>
      <c r="DH56" s="55">
        <v>42</v>
      </c>
      <c r="DI56" s="55">
        <v>42</v>
      </c>
      <c r="DJ56" s="55">
        <v>42</v>
      </c>
      <c r="DK56" s="55">
        <v>42</v>
      </c>
      <c r="DL56" s="55">
        <v>42</v>
      </c>
      <c r="DM56" s="55">
        <v>42</v>
      </c>
      <c r="DN56" s="55">
        <v>42</v>
      </c>
      <c r="DO56" s="55">
        <v>42</v>
      </c>
      <c r="DP56" s="55">
        <v>42</v>
      </c>
      <c r="DQ56" s="55">
        <v>43</v>
      </c>
      <c r="DR56" s="77">
        <v>43</v>
      </c>
      <c r="DS56" s="55">
        <v>43</v>
      </c>
      <c r="DT56" s="55">
        <v>43</v>
      </c>
      <c r="DU56" s="55">
        <v>43</v>
      </c>
      <c r="DV56" s="55">
        <v>43</v>
      </c>
      <c r="DW56" s="55">
        <v>43</v>
      </c>
      <c r="DX56" s="55">
        <v>43</v>
      </c>
      <c r="DY56" s="55">
        <v>44</v>
      </c>
      <c r="DZ56" s="55">
        <v>44</v>
      </c>
      <c r="EA56" s="55">
        <v>44</v>
      </c>
      <c r="EB56" s="55">
        <v>44</v>
      </c>
      <c r="EC56" s="55">
        <v>44</v>
      </c>
      <c r="ED56" s="77">
        <v>45</v>
      </c>
      <c r="EE56" s="55">
        <v>45</v>
      </c>
      <c r="EF56" s="55">
        <v>47</v>
      </c>
      <c r="EG56" s="55">
        <v>48</v>
      </c>
      <c r="EH56" s="55">
        <v>48</v>
      </c>
      <c r="EI56" s="55">
        <v>48</v>
      </c>
      <c r="EJ56" s="55">
        <v>48</v>
      </c>
      <c r="EK56" s="55">
        <v>48</v>
      </c>
      <c r="EL56" s="55">
        <v>48</v>
      </c>
      <c r="EM56" s="55">
        <v>49</v>
      </c>
      <c r="EN56" s="55">
        <v>49</v>
      </c>
      <c r="EO56" s="55">
        <v>49</v>
      </c>
      <c r="EP56" s="77">
        <v>49</v>
      </c>
      <c r="EQ56" s="55">
        <v>49</v>
      </c>
      <c r="ER56" s="55">
        <v>49</v>
      </c>
      <c r="ES56" s="55">
        <v>50</v>
      </c>
      <c r="ET56" s="55">
        <v>50</v>
      </c>
      <c r="EU56" s="55">
        <v>50</v>
      </c>
      <c r="EV56" s="55">
        <v>50</v>
      </c>
      <c r="EW56" s="55">
        <v>50</v>
      </c>
      <c r="EX56" s="55">
        <v>50</v>
      </c>
      <c r="EY56" s="55">
        <v>50</v>
      </c>
      <c r="EZ56" s="55">
        <v>50</v>
      </c>
      <c r="FA56" s="83">
        <v>51</v>
      </c>
      <c r="FB56" s="160">
        <v>52</v>
      </c>
      <c r="FC56" s="160">
        <v>53</v>
      </c>
      <c r="FD56" s="160">
        <v>55</v>
      </c>
      <c r="FE56" s="160">
        <v>55</v>
      </c>
      <c r="FF56" s="160">
        <v>55</v>
      </c>
      <c r="FG56" s="160">
        <v>55</v>
      </c>
      <c r="FH56" s="160">
        <v>55</v>
      </c>
      <c r="FI56" s="160">
        <v>55</v>
      </c>
      <c r="FJ56" s="160">
        <v>56</v>
      </c>
      <c r="FK56" s="160">
        <v>56</v>
      </c>
      <c r="FL56" s="160">
        <v>56</v>
      </c>
      <c r="FM56" s="39">
        <v>56</v>
      </c>
      <c r="FN56" s="77">
        <v>62</v>
      </c>
      <c r="FO56" s="39">
        <v>64</v>
      </c>
      <c r="FP56" s="39">
        <v>66</v>
      </c>
      <c r="FQ56" s="39">
        <v>68</v>
      </c>
      <c r="FR56" s="39">
        <v>70</v>
      </c>
      <c r="FS56" s="39">
        <v>72</v>
      </c>
      <c r="FT56" s="39">
        <v>74</v>
      </c>
      <c r="FU56" s="39">
        <v>74</v>
      </c>
      <c r="FV56" s="39">
        <v>74</v>
      </c>
      <c r="FW56" s="39">
        <v>80</v>
      </c>
      <c r="FX56" s="39">
        <v>81</v>
      </c>
      <c r="FY56" s="197">
        <v>82</v>
      </c>
      <c r="FZ56" s="39">
        <v>87</v>
      </c>
      <c r="GA56" s="39">
        <v>89</v>
      </c>
      <c r="GB56" s="39">
        <v>92</v>
      </c>
      <c r="GC56" s="39">
        <v>95</v>
      </c>
      <c r="GD56" s="39">
        <v>97</v>
      </c>
      <c r="GE56" s="39">
        <v>99</v>
      </c>
      <c r="GF56" s="39">
        <v>102</v>
      </c>
      <c r="GG56" s="39">
        <v>104</v>
      </c>
      <c r="GH56" s="39">
        <v>106</v>
      </c>
      <c r="GI56" s="39">
        <v>108</v>
      </c>
      <c r="GJ56" s="39">
        <v>108</v>
      </c>
      <c r="GK56" s="197">
        <v>108</v>
      </c>
      <c r="GL56" s="39">
        <v>109</v>
      </c>
      <c r="GM56" s="39">
        <v>109</v>
      </c>
      <c r="GN56" s="39">
        <v>109</v>
      </c>
      <c r="GO56" s="39">
        <v>109</v>
      </c>
    </row>
    <row r="57" spans="1:197" s="1" customFormat="1" ht="20.149999999999999" customHeight="1" thickBot="1" x14ac:dyDescent="0.4">
      <c r="A57" s="32" t="s">
        <v>267</v>
      </c>
      <c r="B57" s="64">
        <f>SUM(B51:B56)</f>
        <v>5092</v>
      </c>
      <c r="C57" s="65">
        <f t="shared" ref="C57:BN57" si="20">SUM(C51:C56)</f>
        <v>5683</v>
      </c>
      <c r="D57" s="65">
        <f t="shared" si="20"/>
        <v>6718</v>
      </c>
      <c r="E57" s="65">
        <f t="shared" si="20"/>
        <v>7778</v>
      </c>
      <c r="F57" s="65">
        <f t="shared" si="20"/>
        <v>9307</v>
      </c>
      <c r="G57" s="65">
        <f t="shared" si="20"/>
        <v>11240</v>
      </c>
      <c r="H57" s="65">
        <f t="shared" si="20"/>
        <v>13566</v>
      </c>
      <c r="I57" s="65">
        <f t="shared" si="20"/>
        <v>15859</v>
      </c>
      <c r="J57" s="65">
        <f t="shared" si="20"/>
        <v>18726</v>
      </c>
      <c r="K57" s="65">
        <f t="shared" si="20"/>
        <v>22198</v>
      </c>
      <c r="L57" s="65">
        <f t="shared" si="20"/>
        <v>26183</v>
      </c>
      <c r="M57" s="65">
        <f t="shared" si="20"/>
        <v>29237</v>
      </c>
      <c r="N57" s="64">
        <f t="shared" si="20"/>
        <v>33398</v>
      </c>
      <c r="O57" s="65">
        <f t="shared" si="20"/>
        <v>38086</v>
      </c>
      <c r="P57" s="65">
        <f t="shared" si="20"/>
        <v>45196</v>
      </c>
      <c r="Q57" s="65">
        <f t="shared" si="20"/>
        <v>51615</v>
      </c>
      <c r="R57" s="65">
        <f t="shared" si="20"/>
        <v>58992</v>
      </c>
      <c r="S57" s="65">
        <f t="shared" si="20"/>
        <v>68565</v>
      </c>
      <c r="T57" s="65">
        <f t="shared" si="20"/>
        <v>79892</v>
      </c>
      <c r="U57" s="65">
        <f t="shared" si="20"/>
        <v>94145</v>
      </c>
      <c r="V57" s="65">
        <f t="shared" si="20"/>
        <v>111675</v>
      </c>
      <c r="W57" s="65">
        <f t="shared" si="20"/>
        <v>132175</v>
      </c>
      <c r="X57" s="65">
        <f t="shared" si="20"/>
        <v>189424</v>
      </c>
      <c r="Y57" s="65">
        <f t="shared" si="20"/>
        <v>235881</v>
      </c>
      <c r="Z57" s="64">
        <f t="shared" si="20"/>
        <v>244405</v>
      </c>
      <c r="AA57" s="65">
        <f t="shared" si="20"/>
        <v>288511</v>
      </c>
      <c r="AB57" s="65">
        <f t="shared" si="20"/>
        <v>315613</v>
      </c>
      <c r="AC57" s="65">
        <f t="shared" si="20"/>
        <v>321141</v>
      </c>
      <c r="AD57" s="65">
        <f t="shared" si="20"/>
        <v>331657</v>
      </c>
      <c r="AE57" s="65">
        <f t="shared" si="20"/>
        <v>344942</v>
      </c>
      <c r="AF57" s="65">
        <f t="shared" si="20"/>
        <v>371724</v>
      </c>
      <c r="AG57" s="65">
        <f t="shared" si="20"/>
        <v>375756</v>
      </c>
      <c r="AH57" s="65">
        <f t="shared" si="20"/>
        <v>381147</v>
      </c>
      <c r="AI57" s="65">
        <f t="shared" si="20"/>
        <v>392049</v>
      </c>
      <c r="AJ57" s="65">
        <f t="shared" si="20"/>
        <v>398017</v>
      </c>
      <c r="AK57" s="65">
        <f t="shared" si="20"/>
        <v>404218</v>
      </c>
      <c r="AL57" s="64">
        <f t="shared" si="20"/>
        <v>410888</v>
      </c>
      <c r="AM57" s="65">
        <f t="shared" si="20"/>
        <v>418097</v>
      </c>
      <c r="AN57" s="65">
        <f t="shared" si="20"/>
        <v>426451</v>
      </c>
      <c r="AO57" s="65">
        <f t="shared" si="20"/>
        <v>435069</v>
      </c>
      <c r="AP57" s="65">
        <f t="shared" si="20"/>
        <v>443870</v>
      </c>
      <c r="AQ57" s="65">
        <f t="shared" si="20"/>
        <v>456784</v>
      </c>
      <c r="AR57" s="65">
        <f t="shared" si="20"/>
        <v>463848</v>
      </c>
      <c r="AS57" s="65">
        <f t="shared" si="20"/>
        <v>472194</v>
      </c>
      <c r="AT57" s="65">
        <f t="shared" si="20"/>
        <v>481079</v>
      </c>
      <c r="AU57" s="65">
        <f t="shared" si="20"/>
        <v>490535</v>
      </c>
      <c r="AV57" s="65">
        <f t="shared" si="20"/>
        <v>501308</v>
      </c>
      <c r="AW57" s="66">
        <f t="shared" si="20"/>
        <v>510367</v>
      </c>
      <c r="AX57" s="65">
        <f t="shared" si="20"/>
        <v>519120</v>
      </c>
      <c r="AY57" s="65">
        <f t="shared" si="20"/>
        <v>529473</v>
      </c>
      <c r="AZ57" s="65">
        <f t="shared" si="20"/>
        <v>545748</v>
      </c>
      <c r="BA57" s="65">
        <f t="shared" si="20"/>
        <v>554380</v>
      </c>
      <c r="BB57" s="65">
        <f t="shared" si="20"/>
        <v>563936</v>
      </c>
      <c r="BC57" s="65">
        <f t="shared" si="20"/>
        <v>574615</v>
      </c>
      <c r="BD57" s="65">
        <f t="shared" si="20"/>
        <v>586392</v>
      </c>
      <c r="BE57" s="65">
        <f t="shared" si="20"/>
        <v>597728</v>
      </c>
      <c r="BF57" s="65">
        <f t="shared" si="20"/>
        <v>611220</v>
      </c>
      <c r="BG57" s="65">
        <f t="shared" si="20"/>
        <v>625228</v>
      </c>
      <c r="BH57" s="65">
        <f t="shared" si="20"/>
        <v>638518</v>
      </c>
      <c r="BI57" s="66">
        <f t="shared" si="20"/>
        <v>652352</v>
      </c>
      <c r="BJ57" s="65">
        <f t="shared" si="20"/>
        <v>661317</v>
      </c>
      <c r="BK57" s="65">
        <f t="shared" si="20"/>
        <v>672293</v>
      </c>
      <c r="BL57" s="65">
        <f t="shared" si="20"/>
        <v>689704</v>
      </c>
      <c r="BM57" s="65">
        <f t="shared" si="20"/>
        <v>701108</v>
      </c>
      <c r="BN57" s="65">
        <f t="shared" si="20"/>
        <v>713196</v>
      </c>
      <c r="BO57" s="65">
        <f t="shared" ref="BO57:DZ57" si="21">SUM(BO51:BO56)</f>
        <v>730475</v>
      </c>
      <c r="BP57" s="65">
        <f t="shared" si="21"/>
        <v>742663</v>
      </c>
      <c r="BQ57" s="65">
        <f t="shared" si="21"/>
        <v>755129</v>
      </c>
      <c r="BR57" s="65">
        <f t="shared" si="21"/>
        <v>776157</v>
      </c>
      <c r="BS57" s="65">
        <f t="shared" si="21"/>
        <v>793277</v>
      </c>
      <c r="BT57" s="65">
        <f t="shared" si="21"/>
        <v>815428</v>
      </c>
      <c r="BU57" s="66">
        <f t="shared" si="21"/>
        <v>841823</v>
      </c>
      <c r="BV57" s="65">
        <f t="shared" si="21"/>
        <v>857297</v>
      </c>
      <c r="BW57" s="65">
        <f t="shared" si="21"/>
        <v>860994</v>
      </c>
      <c r="BX57" s="65">
        <f t="shared" si="21"/>
        <v>865861</v>
      </c>
      <c r="BY57" s="65">
        <f t="shared" si="21"/>
        <v>869608</v>
      </c>
      <c r="BZ57" s="65">
        <f t="shared" si="21"/>
        <v>873331</v>
      </c>
      <c r="CA57" s="65">
        <f t="shared" si="21"/>
        <v>877767</v>
      </c>
      <c r="CB57" s="65">
        <f t="shared" si="21"/>
        <v>881299</v>
      </c>
      <c r="CC57" s="65">
        <f t="shared" si="21"/>
        <v>884747</v>
      </c>
      <c r="CD57" s="65">
        <f t="shared" si="21"/>
        <v>889712</v>
      </c>
      <c r="CE57" s="65">
        <f t="shared" si="21"/>
        <v>892595</v>
      </c>
      <c r="CF57" s="65">
        <f t="shared" si="21"/>
        <v>896114</v>
      </c>
      <c r="CG57" s="65">
        <f t="shared" si="21"/>
        <v>898764</v>
      </c>
      <c r="CH57" s="78">
        <f t="shared" si="21"/>
        <v>901300</v>
      </c>
      <c r="CI57" s="65">
        <f t="shared" si="21"/>
        <v>904150</v>
      </c>
      <c r="CJ57" s="65">
        <f t="shared" si="21"/>
        <v>908199</v>
      </c>
      <c r="CK57" s="65">
        <f t="shared" si="21"/>
        <v>910629</v>
      </c>
      <c r="CL57" s="65">
        <f t="shared" si="21"/>
        <v>913892</v>
      </c>
      <c r="CM57" s="65">
        <f t="shared" si="21"/>
        <v>917183</v>
      </c>
      <c r="CN57" s="65">
        <f t="shared" si="21"/>
        <v>920051</v>
      </c>
      <c r="CO57" s="65">
        <f t="shared" si="21"/>
        <v>923279</v>
      </c>
      <c r="CP57" s="65">
        <f t="shared" si="21"/>
        <v>926671</v>
      </c>
      <c r="CQ57" s="65">
        <f t="shared" si="21"/>
        <v>929859</v>
      </c>
      <c r="CR57" s="65">
        <f t="shared" si="21"/>
        <v>933668</v>
      </c>
      <c r="CS57" s="65">
        <f t="shared" si="21"/>
        <v>936148</v>
      </c>
      <c r="CT57" s="78">
        <f t="shared" si="21"/>
        <v>938970</v>
      </c>
      <c r="CU57" s="65">
        <f t="shared" si="21"/>
        <v>941735</v>
      </c>
      <c r="CV57" s="65">
        <f t="shared" si="21"/>
        <v>945122</v>
      </c>
      <c r="CW57" s="65">
        <f t="shared" si="21"/>
        <v>948159</v>
      </c>
      <c r="CX57" s="65">
        <f t="shared" si="21"/>
        <v>951542</v>
      </c>
      <c r="CY57" s="65">
        <f t="shared" si="21"/>
        <v>955040</v>
      </c>
      <c r="CZ57" s="65">
        <f t="shared" si="21"/>
        <v>958329</v>
      </c>
      <c r="DA57" s="65">
        <f t="shared" si="21"/>
        <v>962095</v>
      </c>
      <c r="DB57" s="65">
        <f t="shared" si="21"/>
        <v>965963</v>
      </c>
      <c r="DC57" s="65">
        <f t="shared" si="21"/>
        <v>970429</v>
      </c>
      <c r="DD57" s="65">
        <f t="shared" si="21"/>
        <v>975321</v>
      </c>
      <c r="DE57" s="65">
        <f t="shared" si="21"/>
        <v>979367</v>
      </c>
      <c r="DF57" s="78">
        <f t="shared" si="21"/>
        <v>984452</v>
      </c>
      <c r="DG57" s="65">
        <f t="shared" si="21"/>
        <v>990542</v>
      </c>
      <c r="DH57" s="65">
        <f t="shared" si="21"/>
        <v>1005597</v>
      </c>
      <c r="DI57" s="65">
        <f t="shared" si="21"/>
        <v>1007715</v>
      </c>
      <c r="DJ57" s="65">
        <f t="shared" si="21"/>
        <v>1010380</v>
      </c>
      <c r="DK57" s="65">
        <f t="shared" si="21"/>
        <v>1013291</v>
      </c>
      <c r="DL57" s="65">
        <f t="shared" si="21"/>
        <v>1016242</v>
      </c>
      <c r="DM57" s="65">
        <f t="shared" si="21"/>
        <v>1019358</v>
      </c>
      <c r="DN57" s="65">
        <f t="shared" si="21"/>
        <v>1022783</v>
      </c>
      <c r="DO57" s="65">
        <f t="shared" si="21"/>
        <v>1026364</v>
      </c>
      <c r="DP57" s="65">
        <f t="shared" si="21"/>
        <v>1030027</v>
      </c>
      <c r="DQ57" s="65">
        <f t="shared" si="21"/>
        <v>1032531</v>
      </c>
      <c r="DR57" s="78">
        <f t="shared" si="21"/>
        <v>1035710</v>
      </c>
      <c r="DS57" s="65">
        <f t="shared" si="21"/>
        <v>1038780</v>
      </c>
      <c r="DT57" s="65">
        <f t="shared" si="21"/>
        <v>1042049</v>
      </c>
      <c r="DU57" s="65">
        <f t="shared" si="21"/>
        <v>1042721</v>
      </c>
      <c r="DV57" s="65">
        <f t="shared" si="21"/>
        <v>1043805</v>
      </c>
      <c r="DW57" s="65">
        <f t="shared" si="21"/>
        <v>1046224</v>
      </c>
      <c r="DX57" s="65">
        <f t="shared" si="21"/>
        <v>1049526</v>
      </c>
      <c r="DY57" s="65">
        <f t="shared" si="21"/>
        <v>1052802</v>
      </c>
      <c r="DZ57" s="65">
        <f t="shared" si="21"/>
        <v>1056940</v>
      </c>
      <c r="EA57" s="65">
        <f t="shared" ref="EA57:GL57" si="22">SUM(EA51:EA56)</f>
        <v>1060944</v>
      </c>
      <c r="EB57" s="65">
        <f t="shared" si="22"/>
        <v>1065296</v>
      </c>
      <c r="EC57" s="65">
        <f t="shared" si="22"/>
        <v>1068451</v>
      </c>
      <c r="ED57" s="78">
        <f t="shared" si="22"/>
        <v>1072136</v>
      </c>
      <c r="EE57" s="65">
        <f t="shared" si="22"/>
        <v>1075721</v>
      </c>
      <c r="EF57" s="65">
        <f t="shared" si="22"/>
        <v>1080716</v>
      </c>
      <c r="EG57" s="65">
        <f t="shared" si="22"/>
        <v>1085720</v>
      </c>
      <c r="EH57" s="65">
        <f t="shared" si="22"/>
        <v>1090793</v>
      </c>
      <c r="EI57" s="65">
        <f t="shared" si="22"/>
        <v>1096056</v>
      </c>
      <c r="EJ57" s="65">
        <f t="shared" si="22"/>
        <v>1100966</v>
      </c>
      <c r="EK57" s="65">
        <f t="shared" si="22"/>
        <v>1106074</v>
      </c>
      <c r="EL57" s="65">
        <f t="shared" si="22"/>
        <v>1112050</v>
      </c>
      <c r="EM57" s="65">
        <f t="shared" si="22"/>
        <v>1117673</v>
      </c>
      <c r="EN57" s="65">
        <f t="shared" si="22"/>
        <v>1124817</v>
      </c>
      <c r="EO57" s="65">
        <f t="shared" si="22"/>
        <v>1130003</v>
      </c>
      <c r="EP57" s="78">
        <f t="shared" si="22"/>
        <v>1136169</v>
      </c>
      <c r="EQ57" s="65">
        <f t="shared" si="22"/>
        <v>1143752</v>
      </c>
      <c r="ER57" s="65">
        <f t="shared" si="22"/>
        <v>1153917</v>
      </c>
      <c r="ES57" s="65">
        <f t="shared" si="22"/>
        <v>1163819</v>
      </c>
      <c r="ET57" s="65">
        <f t="shared" si="22"/>
        <v>1175101</v>
      </c>
      <c r="EU57" s="65">
        <f t="shared" si="22"/>
        <v>1186688</v>
      </c>
      <c r="EV57" s="65">
        <f t="shared" si="22"/>
        <v>1198024</v>
      </c>
      <c r="EW57" s="65">
        <f t="shared" si="22"/>
        <v>1210568</v>
      </c>
      <c r="EX57" s="65">
        <f t="shared" si="22"/>
        <v>1225272</v>
      </c>
      <c r="EY57" s="65">
        <f t="shared" si="22"/>
        <v>1239724</v>
      </c>
      <c r="EZ57" s="65">
        <f t="shared" si="22"/>
        <v>1256256</v>
      </c>
      <c r="FA57" s="84">
        <f t="shared" si="22"/>
        <v>1268757</v>
      </c>
      <c r="FB57" s="65">
        <f t="shared" si="22"/>
        <v>1285463</v>
      </c>
      <c r="FC57" s="65">
        <f t="shared" si="22"/>
        <v>1303345</v>
      </c>
      <c r="FD57" s="65">
        <f t="shared" si="22"/>
        <v>1323682</v>
      </c>
      <c r="FE57" s="65">
        <f t="shared" si="22"/>
        <v>1339910</v>
      </c>
      <c r="FF57" s="65">
        <f t="shared" si="22"/>
        <v>1358244</v>
      </c>
      <c r="FG57" s="65">
        <f t="shared" si="22"/>
        <v>1377026</v>
      </c>
      <c r="FH57" s="65">
        <f t="shared" si="22"/>
        <v>1393077</v>
      </c>
      <c r="FI57" s="65">
        <f t="shared" si="22"/>
        <v>1409352</v>
      </c>
      <c r="FJ57" s="65">
        <f t="shared" si="22"/>
        <v>1425333</v>
      </c>
      <c r="FK57" s="159">
        <f t="shared" si="22"/>
        <v>1441141</v>
      </c>
      <c r="FL57" s="159">
        <f t="shared" si="22"/>
        <v>1457385</v>
      </c>
      <c r="FM57" s="159">
        <f t="shared" si="22"/>
        <v>1467721</v>
      </c>
      <c r="FN57" s="78">
        <f t="shared" si="22"/>
        <v>1481109</v>
      </c>
      <c r="FO57" s="159">
        <f t="shared" si="22"/>
        <v>1495254</v>
      </c>
      <c r="FP57" s="159">
        <f t="shared" si="22"/>
        <v>1510456</v>
      </c>
      <c r="FQ57" s="159">
        <f t="shared" si="22"/>
        <v>1526097</v>
      </c>
      <c r="FR57" s="159">
        <f t="shared" si="22"/>
        <v>1542456</v>
      </c>
      <c r="FS57" s="159">
        <f t="shared" si="22"/>
        <v>1558402</v>
      </c>
      <c r="FT57" s="159">
        <f t="shared" si="22"/>
        <v>1575005</v>
      </c>
      <c r="FU57" s="159">
        <f t="shared" si="22"/>
        <v>1590756</v>
      </c>
      <c r="FV57" s="159">
        <f t="shared" si="22"/>
        <v>1608049</v>
      </c>
      <c r="FW57" s="159">
        <f t="shared" si="22"/>
        <v>1628261</v>
      </c>
      <c r="FX57" s="159">
        <f t="shared" si="22"/>
        <v>1649571</v>
      </c>
      <c r="FY57" s="199">
        <f t="shared" si="22"/>
        <v>1663806</v>
      </c>
      <c r="FZ57" s="159">
        <f t="shared" si="22"/>
        <v>1681564</v>
      </c>
      <c r="GA57" s="159">
        <f t="shared" si="22"/>
        <v>1702175</v>
      </c>
      <c r="GB57" s="159">
        <f t="shared" si="22"/>
        <v>1727054</v>
      </c>
      <c r="GC57" s="159">
        <f t="shared" si="22"/>
        <v>1747699</v>
      </c>
      <c r="GD57" s="159">
        <f t="shared" si="22"/>
        <v>1771248</v>
      </c>
      <c r="GE57" s="159">
        <f t="shared" si="22"/>
        <v>1795226</v>
      </c>
      <c r="GF57" s="159">
        <f t="shared" si="22"/>
        <v>1818408</v>
      </c>
      <c r="GG57" s="159">
        <f t="shared" si="22"/>
        <v>1839120</v>
      </c>
      <c r="GH57" s="159">
        <f t="shared" si="22"/>
        <v>1863342</v>
      </c>
      <c r="GI57" s="159">
        <f t="shared" si="22"/>
        <v>1889892</v>
      </c>
      <c r="GJ57" s="159">
        <f t="shared" si="22"/>
        <v>1914126</v>
      </c>
      <c r="GK57" s="199">
        <f t="shared" si="22"/>
        <v>1932703</v>
      </c>
      <c r="GL57" s="159">
        <f t="shared" si="22"/>
        <v>1952554</v>
      </c>
      <c r="GM57" s="159">
        <f t="shared" ref="GM57:GO57" si="23">SUM(GM51:GM56)</f>
        <v>1975566</v>
      </c>
      <c r="GN57" s="159">
        <f t="shared" si="23"/>
        <v>2003172</v>
      </c>
      <c r="GO57" s="159">
        <f t="shared" si="23"/>
        <v>2025905</v>
      </c>
    </row>
    <row r="58" spans="1:197" s="25" customFormat="1" ht="20.149999999999999" customHeight="1" thickTop="1" x14ac:dyDescent="0.35">
      <c r="A58" s="90" t="s">
        <v>271</v>
      </c>
      <c r="B58" s="128">
        <v>4454</v>
      </c>
      <c r="C58" s="128">
        <v>5031</v>
      </c>
      <c r="D58" s="128">
        <v>6038</v>
      </c>
      <c r="E58" s="128">
        <v>7074</v>
      </c>
      <c r="F58" s="128">
        <v>8576</v>
      </c>
      <c r="G58" s="128">
        <v>10453</v>
      </c>
      <c r="H58" s="128">
        <v>12728</v>
      </c>
      <c r="I58" s="128">
        <v>14976</v>
      </c>
      <c r="J58" s="128">
        <v>17796</v>
      </c>
      <c r="K58" s="128">
        <v>21220</v>
      </c>
      <c r="L58" s="128">
        <v>25130</v>
      </c>
      <c r="M58" s="130">
        <v>28127</v>
      </c>
      <c r="N58" s="128">
        <v>32191</v>
      </c>
      <c r="O58" s="128">
        <v>36790</v>
      </c>
      <c r="P58" s="128">
        <v>43745</v>
      </c>
      <c r="Q58" s="128">
        <v>49989</v>
      </c>
      <c r="R58" s="128">
        <v>57190</v>
      </c>
      <c r="S58" s="128">
        <v>66508</v>
      </c>
      <c r="T58" s="128">
        <v>77415</v>
      </c>
      <c r="U58" s="128">
        <v>91361</v>
      </c>
      <c r="V58" s="128">
        <v>108550</v>
      </c>
      <c r="W58" s="128">
        <v>128648</v>
      </c>
      <c r="X58" s="128">
        <v>184293</v>
      </c>
      <c r="Y58" s="130">
        <v>228592</v>
      </c>
      <c r="Z58" s="128">
        <v>237030</v>
      </c>
      <c r="AA58" s="128">
        <v>279429</v>
      </c>
      <c r="AB58" s="128">
        <v>305522</v>
      </c>
      <c r="AC58" s="128">
        <v>310908</v>
      </c>
      <c r="AD58" s="128">
        <v>321163</v>
      </c>
      <c r="AE58" s="128">
        <v>334031</v>
      </c>
      <c r="AF58" s="128">
        <v>359447</v>
      </c>
      <c r="AG58" s="128">
        <v>363387</v>
      </c>
      <c r="AH58" s="128">
        <v>368662</v>
      </c>
      <c r="AI58" s="128">
        <v>379202</v>
      </c>
      <c r="AJ58" s="128">
        <v>385071</v>
      </c>
      <c r="AK58" s="130">
        <v>391150</v>
      </c>
      <c r="AL58" s="128">
        <v>397665</v>
      </c>
      <c r="AM58" s="128">
        <v>404652</v>
      </c>
      <c r="AN58" s="128">
        <v>412640</v>
      </c>
      <c r="AO58" s="128">
        <v>420895</v>
      </c>
      <c r="AP58" s="128">
        <v>429350</v>
      </c>
      <c r="AQ58" s="128">
        <v>441566</v>
      </c>
      <c r="AR58" s="128">
        <v>448394</v>
      </c>
      <c r="AS58" s="128">
        <v>456464</v>
      </c>
      <c r="AT58" s="128">
        <v>465074</v>
      </c>
      <c r="AU58" s="128">
        <v>474285</v>
      </c>
      <c r="AV58" s="128">
        <v>484793</v>
      </c>
      <c r="AW58" s="130">
        <v>493566</v>
      </c>
      <c r="AX58" s="128">
        <v>502081</v>
      </c>
      <c r="AY58" s="128">
        <v>512175</v>
      </c>
      <c r="AZ58" s="128">
        <v>527583</v>
      </c>
      <c r="BA58" s="128">
        <v>536049</v>
      </c>
      <c r="BB58" s="128">
        <v>545355</v>
      </c>
      <c r="BC58" s="128">
        <v>555632</v>
      </c>
      <c r="BD58" s="128">
        <v>567097</v>
      </c>
      <c r="BE58" s="128">
        <v>578104</v>
      </c>
      <c r="BF58" s="128">
        <v>591123</v>
      </c>
      <c r="BG58" s="128">
        <v>604710</v>
      </c>
      <c r="BH58" s="128">
        <v>617625</v>
      </c>
      <c r="BI58" s="130">
        <v>630898</v>
      </c>
      <c r="BJ58" s="128">
        <v>639640</v>
      </c>
      <c r="BK58" s="128">
        <v>650358</v>
      </c>
      <c r="BL58" s="128">
        <v>666805</v>
      </c>
      <c r="BM58" s="128">
        <v>677872</v>
      </c>
      <c r="BN58" s="128">
        <v>689623</v>
      </c>
      <c r="BO58" s="128">
        <v>706289</v>
      </c>
      <c r="BP58" s="128">
        <v>718044</v>
      </c>
      <c r="BQ58" s="128">
        <v>730040</v>
      </c>
      <c r="BR58" s="128">
        <v>750065</v>
      </c>
      <c r="BS58" s="128">
        <v>766553</v>
      </c>
      <c r="BT58" s="128">
        <v>786746</v>
      </c>
      <c r="BU58" s="130">
        <v>810030</v>
      </c>
      <c r="BV58" s="128">
        <v>823392</v>
      </c>
      <c r="BW58" s="128">
        <v>826272</v>
      </c>
      <c r="BX58" s="128">
        <v>829926</v>
      </c>
      <c r="BY58" s="128">
        <v>832874</v>
      </c>
      <c r="BZ58" s="128">
        <v>835877</v>
      </c>
      <c r="CA58" s="128">
        <v>839402</v>
      </c>
      <c r="CB58" s="128">
        <v>842196</v>
      </c>
      <c r="CC58" s="128">
        <v>844898</v>
      </c>
      <c r="CD58" s="128">
        <v>848605</v>
      </c>
      <c r="CE58" s="128">
        <v>850832</v>
      </c>
      <c r="CF58" s="128">
        <v>853474</v>
      </c>
      <c r="CG58" s="130">
        <v>855516</v>
      </c>
      <c r="CH58" s="128">
        <v>857335</v>
      </c>
      <c r="CI58" s="128">
        <v>859440</v>
      </c>
      <c r="CJ58" s="128">
        <v>862361</v>
      </c>
      <c r="CK58" s="128">
        <v>864171</v>
      </c>
      <c r="CL58" s="128">
        <v>866450</v>
      </c>
      <c r="CM58" s="128">
        <v>868754</v>
      </c>
      <c r="CN58" s="128">
        <v>870887</v>
      </c>
      <c r="CO58" s="128">
        <v>873315</v>
      </c>
      <c r="CP58" s="128">
        <v>875781</v>
      </c>
      <c r="CQ58" s="128">
        <v>878028</v>
      </c>
      <c r="CR58" s="128">
        <v>880675</v>
      </c>
      <c r="CS58" s="130">
        <v>882486</v>
      </c>
      <c r="CT58" s="128">
        <v>884490</v>
      </c>
      <c r="CU58" s="128">
        <v>886385</v>
      </c>
      <c r="CV58" s="128">
        <v>888759</v>
      </c>
      <c r="CW58" s="128">
        <v>890921</v>
      </c>
      <c r="CX58" s="128">
        <v>893351</v>
      </c>
      <c r="CY58" s="128">
        <v>895802</v>
      </c>
      <c r="CZ58" s="128">
        <v>898078</v>
      </c>
      <c r="DA58" s="128">
        <v>900726</v>
      </c>
      <c r="DB58" s="128">
        <v>903587</v>
      </c>
      <c r="DC58" s="128">
        <v>906787</v>
      </c>
      <c r="DD58" s="128">
        <v>910332</v>
      </c>
      <c r="DE58" s="130">
        <v>913398</v>
      </c>
      <c r="DF58" s="128">
        <v>917467</v>
      </c>
      <c r="DG58" s="128">
        <v>922220</v>
      </c>
      <c r="DH58" s="128">
        <v>933433</v>
      </c>
      <c r="DI58" s="128">
        <v>934205</v>
      </c>
      <c r="DJ58" s="128">
        <v>935232</v>
      </c>
      <c r="DK58" s="128">
        <v>936316</v>
      </c>
      <c r="DL58" s="128">
        <v>937680</v>
      </c>
      <c r="DM58" s="128">
        <v>939124</v>
      </c>
      <c r="DN58" s="128">
        <v>940750</v>
      </c>
      <c r="DO58" s="128">
        <v>942532</v>
      </c>
      <c r="DP58" s="128">
        <v>944212</v>
      </c>
      <c r="DQ58" s="130">
        <v>945402</v>
      </c>
      <c r="DR58" s="128">
        <v>947092</v>
      </c>
      <c r="DS58" s="128">
        <v>948761</v>
      </c>
      <c r="DT58" s="128">
        <v>950481</v>
      </c>
      <c r="DU58" s="128">
        <v>950981</v>
      </c>
      <c r="DV58" s="128">
        <v>951801</v>
      </c>
      <c r="DW58" s="128">
        <v>953326</v>
      </c>
      <c r="DX58" s="128">
        <v>955226</v>
      </c>
      <c r="DY58" s="128">
        <v>957029</v>
      </c>
      <c r="DZ58" s="128">
        <v>959272</v>
      </c>
      <c r="EA58" s="128">
        <v>961519</v>
      </c>
      <c r="EB58" s="128">
        <v>964167</v>
      </c>
      <c r="EC58" s="130">
        <v>966612</v>
      </c>
      <c r="ED58" s="128">
        <v>969773</v>
      </c>
      <c r="EE58" s="128">
        <v>972574</v>
      </c>
      <c r="EF58" s="128">
        <v>976651</v>
      </c>
      <c r="EG58" s="128">
        <v>980765</v>
      </c>
      <c r="EH58" s="128">
        <v>984954</v>
      </c>
      <c r="EI58" s="128">
        <v>988933</v>
      </c>
      <c r="EJ58" s="128">
        <v>992462</v>
      </c>
      <c r="EK58" s="128">
        <v>996175</v>
      </c>
      <c r="EL58" s="128">
        <v>1000463</v>
      </c>
      <c r="EM58" s="128">
        <v>1004415</v>
      </c>
      <c r="EN58" s="128">
        <v>1009440</v>
      </c>
      <c r="EO58" s="129">
        <v>1013066</v>
      </c>
      <c r="EP58" s="128">
        <v>1017625</v>
      </c>
      <c r="EQ58" s="128">
        <v>1023252</v>
      </c>
      <c r="ER58" s="128">
        <v>1030999</v>
      </c>
      <c r="ES58" s="128">
        <v>1038699</v>
      </c>
      <c r="ET58" s="128">
        <v>1047806</v>
      </c>
      <c r="EU58" s="128">
        <v>1057137</v>
      </c>
      <c r="EV58" s="128">
        <v>1066307</v>
      </c>
      <c r="EW58" s="128">
        <v>1076624</v>
      </c>
      <c r="EX58" s="128">
        <v>1089095</v>
      </c>
      <c r="EY58" s="128">
        <v>1101141</v>
      </c>
      <c r="EZ58" s="128">
        <v>1114940</v>
      </c>
      <c r="FA58" s="130">
        <v>1125374</v>
      </c>
      <c r="FB58" s="128">
        <v>1140039</v>
      </c>
      <c r="FC58" s="128">
        <v>1155444</v>
      </c>
      <c r="FD58" s="128">
        <v>1172971</v>
      </c>
      <c r="FE58" s="128">
        <v>1186886</v>
      </c>
      <c r="FF58" s="128">
        <v>1202119</v>
      </c>
      <c r="FG58" s="128">
        <v>1217807</v>
      </c>
      <c r="FH58" s="128">
        <v>1231176</v>
      </c>
      <c r="FI58" s="128">
        <v>1244691</v>
      </c>
      <c r="FJ58" s="156">
        <v>1258103</v>
      </c>
      <c r="FK58" s="156">
        <v>1271039</v>
      </c>
      <c r="FL58" s="156">
        <v>1284229</v>
      </c>
      <c r="FM58" s="156">
        <v>1292711</v>
      </c>
      <c r="FN58" s="168">
        <v>1303889</v>
      </c>
      <c r="FO58" s="156">
        <v>1315611</v>
      </c>
      <c r="FP58" s="156">
        <v>1328170</v>
      </c>
      <c r="FQ58" s="156">
        <v>1341060</v>
      </c>
      <c r="FR58" s="156">
        <v>1354127</v>
      </c>
      <c r="FS58" s="156">
        <v>1366556</v>
      </c>
      <c r="FT58" s="156">
        <v>1379265</v>
      </c>
      <c r="FU58" s="156">
        <v>1391229</v>
      </c>
      <c r="FV58" s="156">
        <v>1404100</v>
      </c>
      <c r="FW58" s="156">
        <v>1418914</v>
      </c>
      <c r="FX58" s="156">
        <v>1433660</v>
      </c>
      <c r="FY58" s="200">
        <v>1443957</v>
      </c>
      <c r="FZ58" s="156">
        <v>1457411</v>
      </c>
      <c r="GA58" s="156">
        <v>1472119</v>
      </c>
      <c r="GB58" s="156">
        <v>1489334</v>
      </c>
      <c r="GC58" s="156">
        <v>1503392</v>
      </c>
      <c r="GD58" s="156">
        <v>1519011</v>
      </c>
      <c r="GE58" s="156">
        <v>1534569</v>
      </c>
      <c r="GF58" s="156">
        <v>1550934</v>
      </c>
      <c r="GG58" s="156">
        <v>1565275</v>
      </c>
      <c r="GH58" s="156">
        <v>1581603</v>
      </c>
      <c r="GI58" s="156">
        <v>1599003</v>
      </c>
      <c r="GJ58" s="156">
        <v>1614271</v>
      </c>
      <c r="GK58" s="200">
        <v>1626193</v>
      </c>
      <c r="GL58" s="156">
        <v>1639538</v>
      </c>
      <c r="GM58" s="156">
        <v>1654975</v>
      </c>
      <c r="GN58" s="156">
        <v>1673107</v>
      </c>
      <c r="GO58" s="156">
        <v>1688417</v>
      </c>
    </row>
    <row r="59" spans="1:197" s="1" customFormat="1" ht="20.149999999999999" customHeight="1" x14ac:dyDescent="0.3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1"/>
      <c r="DK59" s="41"/>
      <c r="DL59" s="41"/>
      <c r="DM59" s="41"/>
      <c r="DN59" s="41"/>
      <c r="DO59" s="41"/>
      <c r="DP59" s="41"/>
      <c r="DQ59" s="41"/>
      <c r="DR59" s="41"/>
      <c r="DS59" s="41"/>
      <c r="DT59" s="41"/>
      <c r="DU59" s="41"/>
      <c r="DV59" s="41"/>
      <c r="DW59" s="41"/>
      <c r="DX59" s="41"/>
      <c r="DY59" s="41"/>
      <c r="DZ59" s="41"/>
      <c r="EA59" s="41"/>
      <c r="EB59" s="41"/>
      <c r="EC59" s="41"/>
      <c r="ED59" s="70"/>
      <c r="EE59" s="70"/>
      <c r="EF59" s="70"/>
      <c r="EG59" s="70"/>
      <c r="EH59" s="70"/>
      <c r="EI59" s="70"/>
      <c r="EJ59" s="70"/>
      <c r="EK59" s="70"/>
      <c r="EL59" s="70"/>
      <c r="EM59" s="70"/>
      <c r="EN59" s="70"/>
      <c r="EO59" s="70"/>
      <c r="EP59" s="70"/>
      <c r="EQ59" s="70"/>
      <c r="ER59" s="70"/>
      <c r="ES59" s="70"/>
      <c r="ET59" s="70"/>
      <c r="EU59" s="70"/>
      <c r="EV59" s="70"/>
      <c r="EW59" s="70"/>
      <c r="EX59" s="70"/>
      <c r="EY59" s="70"/>
      <c r="EZ59" s="70"/>
      <c r="FA59" s="70"/>
    </row>
    <row r="60" spans="1:197" s="1" customFormat="1" ht="20.149999999999999" customHeight="1" x14ac:dyDescent="0.35">
      <c r="A60" s="6"/>
      <c r="B60" s="70"/>
      <c r="C60" s="160"/>
      <c r="D60" s="160"/>
      <c r="E60" s="160"/>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0"/>
      <c r="BB60" s="160"/>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0"/>
      <c r="CA60" s="160"/>
      <c r="CB60" s="160"/>
      <c r="CC60" s="160"/>
      <c r="CD60" s="160"/>
      <c r="CE60" s="160"/>
      <c r="CF60" s="160"/>
      <c r="CG60" s="160"/>
      <c r="CH60" s="160"/>
      <c r="CI60" s="160"/>
      <c r="CJ60" s="160"/>
      <c r="CK60" s="160"/>
      <c r="CL60" s="160"/>
      <c r="CM60" s="160"/>
      <c r="CN60" s="160"/>
      <c r="CO60" s="160"/>
      <c r="CP60" s="160"/>
      <c r="CQ60" s="160"/>
      <c r="CR60" s="160"/>
      <c r="CS60" s="160"/>
      <c r="CT60" s="160"/>
      <c r="CU60" s="160"/>
      <c r="CV60" s="160"/>
      <c r="CW60" s="160"/>
      <c r="CX60" s="160"/>
      <c r="CY60" s="160"/>
      <c r="CZ60" s="160"/>
      <c r="DA60" s="160"/>
      <c r="DB60" s="160"/>
      <c r="DC60" s="160"/>
      <c r="DD60" s="160"/>
      <c r="DE60" s="160"/>
      <c r="DF60" s="160"/>
      <c r="DG60" s="160"/>
      <c r="DH60" s="160"/>
      <c r="DI60" s="160"/>
      <c r="DJ60" s="160"/>
      <c r="DK60" s="160"/>
      <c r="DL60" s="160"/>
      <c r="DM60" s="160"/>
      <c r="DN60" s="160"/>
      <c r="DO60" s="160"/>
      <c r="DP60" s="160"/>
      <c r="DQ60" s="160"/>
      <c r="DR60" s="160"/>
      <c r="DS60" s="160"/>
      <c r="DT60" s="160"/>
      <c r="DU60" s="160"/>
      <c r="DV60" s="160"/>
      <c r="DW60" s="160"/>
      <c r="DX60" s="160"/>
      <c r="DY60" s="160"/>
      <c r="DZ60" s="160"/>
      <c r="EA60" s="160"/>
      <c r="EB60" s="160"/>
      <c r="EC60" s="160"/>
      <c r="ED60" s="160"/>
      <c r="EE60" s="160"/>
      <c r="EF60" s="160"/>
      <c r="EG60" s="160"/>
      <c r="EH60" s="160"/>
      <c r="EI60" s="160"/>
      <c r="EJ60" s="160"/>
      <c r="EK60" s="160"/>
      <c r="EL60" s="160"/>
      <c r="EM60" s="160"/>
      <c r="EN60" s="160"/>
      <c r="EO60" s="160"/>
      <c r="EP60" s="160"/>
      <c r="EQ60" s="160"/>
      <c r="ER60" s="160"/>
      <c r="ES60" s="160"/>
      <c r="ET60" s="160"/>
      <c r="EU60" s="160"/>
      <c r="EV60" s="160"/>
      <c r="EW60" s="160"/>
      <c r="EX60" s="160"/>
      <c r="EY60" s="160"/>
      <c r="EZ60" s="160"/>
      <c r="FA60" s="160"/>
      <c r="FB60" s="160"/>
      <c r="FC60" s="160"/>
      <c r="FD60" s="160"/>
      <c r="FE60" s="160"/>
      <c r="FF60" s="160"/>
      <c r="FG60" s="160"/>
      <c r="FH60" s="160"/>
      <c r="FI60" s="160"/>
      <c r="FJ60" s="160"/>
      <c r="FK60" s="160"/>
      <c r="FL60" s="160"/>
      <c r="FM60" s="160"/>
      <c r="FN60" s="160"/>
      <c r="FO60" s="160"/>
      <c r="FP60" s="160"/>
      <c r="FQ60" s="160"/>
      <c r="FR60" s="160"/>
      <c r="FS60" s="160"/>
      <c r="FT60" s="160"/>
      <c r="FU60" s="160"/>
      <c r="FV60" s="160"/>
      <c r="FW60" s="160"/>
      <c r="FX60" s="160"/>
      <c r="FY60" s="160"/>
      <c r="GA60" s="160"/>
    </row>
    <row r="61" spans="1:197" s="1" customFormat="1" ht="20.149999999999999" customHeight="1" x14ac:dyDescent="0.35">
      <c r="A61" s="6"/>
      <c r="B61" s="6"/>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0"/>
      <c r="CD61" s="70"/>
      <c r="CE61" s="70"/>
      <c r="CF61" s="70"/>
      <c r="CG61" s="70"/>
      <c r="CH61" s="153"/>
      <c r="CI61" s="153"/>
      <c r="CJ61" s="153"/>
      <c r="CK61" s="153"/>
      <c r="CL61" s="153"/>
      <c r="CM61" s="153"/>
      <c r="CN61" s="153"/>
      <c r="CO61" s="153"/>
      <c r="CP61" s="153"/>
      <c r="CQ61" s="153"/>
      <c r="CR61" s="153"/>
      <c r="CS61" s="153"/>
      <c r="CT61" s="153"/>
      <c r="CU61" s="153"/>
      <c r="CV61" s="153"/>
      <c r="CW61" s="153"/>
      <c r="CX61" s="153"/>
      <c r="CY61" s="153"/>
      <c r="CZ61" s="153"/>
      <c r="DA61" s="153"/>
      <c r="DB61" s="153"/>
      <c r="DC61" s="153"/>
      <c r="DD61" s="153"/>
      <c r="DE61" s="153"/>
      <c r="DF61" s="153"/>
      <c r="DG61" s="153"/>
      <c r="DH61" s="153"/>
      <c r="DI61" s="153"/>
      <c r="DJ61" s="153"/>
      <c r="DK61" s="153"/>
      <c r="DL61" s="153"/>
      <c r="DM61" s="153"/>
      <c r="DN61" s="153"/>
      <c r="DO61" s="153"/>
      <c r="DP61" s="153"/>
      <c r="DQ61" s="153"/>
      <c r="DR61" s="153"/>
      <c r="DS61" s="153"/>
      <c r="DT61" s="153"/>
      <c r="DU61" s="153"/>
      <c r="DV61" s="153"/>
      <c r="DW61" s="153"/>
      <c r="DX61" s="153"/>
      <c r="DY61" s="153"/>
      <c r="DZ61" s="153"/>
      <c r="EA61" s="153"/>
      <c r="EB61" s="153"/>
      <c r="EC61" s="153"/>
      <c r="ED61" s="153"/>
      <c r="EE61" s="153"/>
      <c r="EF61" s="153"/>
      <c r="EG61" s="153"/>
      <c r="EH61" s="153"/>
      <c r="EI61" s="153"/>
      <c r="EJ61" s="153"/>
      <c r="EK61" s="153"/>
      <c r="EL61" s="153"/>
      <c r="EM61" s="153"/>
      <c r="EN61" s="153"/>
      <c r="EO61" s="153"/>
      <c r="EP61" s="153"/>
      <c r="EQ61" s="160"/>
      <c r="ER61" s="160"/>
      <c r="ES61" s="160"/>
      <c r="ET61" s="160"/>
      <c r="EU61" s="160"/>
      <c r="EV61" s="160"/>
      <c r="EW61" s="160"/>
      <c r="EX61" s="160"/>
      <c r="EY61" s="160"/>
      <c r="EZ61" s="160"/>
      <c r="FA61" s="160"/>
      <c r="FB61" s="160"/>
      <c r="FC61" s="160"/>
      <c r="FD61" s="160"/>
      <c r="FE61" s="160"/>
      <c r="FF61" s="160"/>
      <c r="FG61" s="160"/>
      <c r="FH61" s="160"/>
      <c r="FI61" s="160"/>
      <c r="FJ61" s="160"/>
      <c r="FK61" s="160"/>
      <c r="FL61" s="160"/>
      <c r="FM61" s="160"/>
      <c r="FN61" s="160"/>
      <c r="FO61" s="160"/>
      <c r="FP61" s="160"/>
      <c r="FQ61" s="160"/>
      <c r="FY61" s="120"/>
    </row>
    <row r="62" spans="1:197" s="1" customFormat="1" ht="20.149999999999999" customHeight="1" x14ac:dyDescent="0.35">
      <c r="A62" s="6"/>
      <c r="B62" s="6"/>
      <c r="C62" s="6"/>
      <c r="D62" s="6"/>
      <c r="E62" s="119"/>
      <c r="F62" s="119"/>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c r="CF62" s="119"/>
      <c r="CG62" s="119"/>
      <c r="CH62" s="154"/>
      <c r="CI62" s="154"/>
      <c r="CJ62" s="154"/>
      <c r="CK62" s="154"/>
      <c r="CL62" s="154"/>
      <c r="CM62" s="154"/>
      <c r="CN62" s="154"/>
      <c r="CO62" s="154"/>
      <c r="CP62" s="154"/>
      <c r="CQ62" s="154"/>
      <c r="CR62" s="154"/>
      <c r="CS62" s="154"/>
      <c r="CT62" s="154"/>
      <c r="CU62" s="154"/>
      <c r="CV62" s="154"/>
      <c r="CW62" s="154"/>
      <c r="CX62" s="154"/>
      <c r="CY62" s="154"/>
      <c r="CZ62" s="154"/>
      <c r="DA62" s="154"/>
      <c r="DB62" s="154"/>
      <c r="DC62" s="154"/>
      <c r="DD62" s="154"/>
      <c r="DE62" s="154"/>
      <c r="DF62" s="154"/>
      <c r="DG62" s="154"/>
      <c r="DH62" s="154"/>
      <c r="DI62" s="154"/>
      <c r="DJ62" s="154"/>
      <c r="DK62" s="154"/>
      <c r="DL62" s="154"/>
      <c r="DM62" s="154"/>
      <c r="DN62" s="154"/>
      <c r="DO62" s="154"/>
      <c r="DP62" s="154"/>
      <c r="DQ62" s="154"/>
      <c r="DR62" s="154"/>
      <c r="DS62" s="154"/>
      <c r="DT62" s="154"/>
      <c r="DU62" s="154"/>
      <c r="DV62" s="154"/>
      <c r="DW62" s="154"/>
      <c r="DX62" s="154"/>
      <c r="DY62" s="154"/>
      <c r="DZ62" s="154"/>
      <c r="EA62" s="154"/>
      <c r="EB62" s="154"/>
      <c r="EC62" s="154"/>
      <c r="ED62" s="154"/>
      <c r="EE62" s="154"/>
      <c r="EF62" s="154"/>
      <c r="EG62" s="154"/>
      <c r="EH62" s="154"/>
      <c r="EI62" s="154"/>
      <c r="EJ62" s="154"/>
      <c r="EK62" s="154"/>
      <c r="EL62" s="154"/>
      <c r="EM62" s="154"/>
      <c r="EN62" s="154"/>
      <c r="EO62" s="154"/>
      <c r="EP62" s="154"/>
      <c r="EQ62" s="154"/>
      <c r="ER62" s="154"/>
      <c r="ES62" s="154"/>
      <c r="ET62" s="154"/>
      <c r="EU62" s="154"/>
      <c r="EV62" s="154"/>
      <c r="EW62" s="154"/>
      <c r="EX62" s="154"/>
      <c r="EY62" s="154"/>
      <c r="EZ62" s="154"/>
      <c r="FA62" s="160"/>
      <c r="FB62" s="160"/>
      <c r="FC62" s="160"/>
      <c r="FD62" s="160"/>
      <c r="FE62" s="160"/>
      <c r="FF62" s="160"/>
      <c r="FG62" s="160"/>
      <c r="FH62" s="160"/>
      <c r="FI62" s="160"/>
      <c r="FJ62" s="160"/>
      <c r="FK62" s="160"/>
      <c r="FL62" s="160"/>
      <c r="FM62" s="160"/>
      <c r="FQ62" s="160"/>
    </row>
    <row r="63" spans="1:197" s="1" customFormat="1" ht="20.149999999999999" customHeight="1" x14ac:dyDescent="0.35">
      <c r="A63" s="6"/>
      <c r="B63" s="6"/>
      <c r="C63" s="6"/>
      <c r="D63" s="6"/>
      <c r="E63" s="6"/>
      <c r="F63" s="6"/>
      <c r="G63" s="6"/>
      <c r="H63" s="6"/>
      <c r="I63" s="6"/>
      <c r="J63" s="6"/>
      <c r="K63" s="6"/>
      <c r="L63" s="6"/>
      <c r="M63" s="6"/>
      <c r="FC63" s="160"/>
      <c r="FD63" s="120"/>
    </row>
    <row r="64" spans="1:197" s="1" customFormat="1" ht="20.149999999999999" customHeight="1" x14ac:dyDescent="0.35">
      <c r="A64" s="6"/>
      <c r="B64" s="6"/>
      <c r="C64" s="6"/>
      <c r="D64" s="6"/>
      <c r="E64" s="6"/>
      <c r="F64" s="6"/>
      <c r="G64" s="6"/>
      <c r="H64" s="6"/>
      <c r="I64" s="6"/>
      <c r="J64" s="6"/>
      <c r="K64" s="6"/>
      <c r="L64" s="6"/>
      <c r="M64" s="160"/>
      <c r="N64" s="6"/>
      <c r="O64" s="6"/>
      <c r="P64" s="6"/>
      <c r="Q64" s="6"/>
      <c r="R64" s="6"/>
      <c r="S64" s="6"/>
      <c r="T64" s="6"/>
      <c r="U64" s="6"/>
      <c r="V64" s="6"/>
      <c r="W64" s="6"/>
      <c r="X64" s="6"/>
      <c r="Y64" s="160"/>
      <c r="Z64" s="6"/>
      <c r="AA64" s="6"/>
      <c r="AB64" s="6"/>
      <c r="AC64" s="6"/>
      <c r="AD64" s="6"/>
      <c r="AE64" s="6"/>
      <c r="AF64" s="6"/>
      <c r="AG64" s="6"/>
      <c r="AH64" s="6"/>
      <c r="AI64" s="6"/>
      <c r="AJ64" s="6"/>
      <c r="AK64" s="160"/>
      <c r="AL64" s="6"/>
      <c r="AM64" s="6"/>
      <c r="AN64" s="6"/>
      <c r="AO64" s="6"/>
      <c r="AP64" s="6"/>
      <c r="AQ64" s="6"/>
      <c r="AR64" s="6"/>
      <c r="AS64" s="6"/>
      <c r="AT64" s="6"/>
      <c r="AU64" s="6"/>
      <c r="AV64" s="6"/>
      <c r="AW64" s="160"/>
      <c r="AX64" s="6"/>
      <c r="AY64" s="6"/>
      <c r="AZ64" s="6"/>
      <c r="BA64" s="6"/>
      <c r="BB64" s="6"/>
      <c r="BC64" s="6"/>
      <c r="BD64" s="6"/>
      <c r="BE64" s="6"/>
      <c r="BF64" s="6"/>
      <c r="BG64" s="6"/>
      <c r="BH64" s="6"/>
      <c r="BI64" s="160"/>
      <c r="BJ64" s="6"/>
      <c r="BK64" s="6"/>
      <c r="BL64" s="6"/>
      <c r="BM64" s="6"/>
      <c r="BN64" s="6"/>
      <c r="BO64" s="6"/>
      <c r="BP64" s="6"/>
      <c r="BQ64" s="6"/>
      <c r="BR64" s="6"/>
      <c r="BS64" s="6"/>
      <c r="BT64" s="6"/>
      <c r="BU64" s="160"/>
      <c r="BV64" s="6"/>
      <c r="BW64" s="6"/>
      <c r="BX64" s="6"/>
      <c r="BY64" s="6"/>
      <c r="BZ64" s="6"/>
      <c r="CA64" s="6"/>
      <c r="CB64" s="6"/>
      <c r="CC64" s="6"/>
      <c r="CD64" s="6"/>
      <c r="CE64" s="6"/>
      <c r="CF64" s="6"/>
      <c r="CG64" s="160"/>
      <c r="CH64" s="6"/>
      <c r="CI64" s="6"/>
      <c r="CJ64" s="6"/>
      <c r="CK64" s="40"/>
      <c r="CL64" s="6"/>
      <c r="CM64" s="6"/>
      <c r="CN64" s="6"/>
      <c r="CO64" s="6"/>
      <c r="CP64" s="6"/>
      <c r="CQ64" s="6"/>
      <c r="CR64" s="6"/>
      <c r="CS64" s="160"/>
      <c r="CT64" s="6"/>
      <c r="CU64" s="6"/>
      <c r="CV64" s="6"/>
      <c r="CW64" s="6"/>
      <c r="CX64" s="6"/>
      <c r="CY64" s="6"/>
      <c r="CZ64" s="6"/>
      <c r="DA64" s="6"/>
      <c r="DB64" s="6"/>
      <c r="DC64" s="6"/>
      <c r="DD64" s="6"/>
      <c r="DE64" s="160"/>
      <c r="DF64" s="6"/>
      <c r="DG64" s="6"/>
      <c r="DH64" s="6"/>
      <c r="DI64" s="6"/>
      <c r="DJ64" s="6"/>
      <c r="DK64" s="6"/>
      <c r="DL64" s="6"/>
      <c r="DM64" s="6"/>
      <c r="DN64" s="6"/>
      <c r="DO64" s="6"/>
      <c r="DP64" s="6"/>
      <c r="DQ64" s="160"/>
      <c r="DR64" s="6"/>
      <c r="DS64" s="6"/>
      <c r="DT64" s="6"/>
      <c r="DU64" s="6"/>
      <c r="DV64" s="6"/>
      <c r="DW64" s="6"/>
      <c r="DX64" s="6"/>
      <c r="DY64" s="6"/>
      <c r="DZ64" s="6"/>
      <c r="EA64" s="6"/>
      <c r="EB64" s="6"/>
      <c r="EC64" s="160"/>
      <c r="ED64" s="6"/>
      <c r="EE64" s="6"/>
      <c r="EF64" s="6"/>
      <c r="EG64" s="6"/>
      <c r="EH64" s="6"/>
      <c r="EI64" s="6"/>
      <c r="EJ64" s="6"/>
      <c r="EK64" s="6"/>
      <c r="EL64" s="6"/>
      <c r="EM64" s="6"/>
      <c r="EO64" s="160"/>
      <c r="FA64" s="160"/>
      <c r="FM64" s="160"/>
    </row>
    <row r="65" spans="1:181" s="1" customFormat="1" ht="20.149999999999999" customHeight="1" x14ac:dyDescent="0.3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40"/>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row>
    <row r="66" spans="1:181" s="1" customFormat="1" ht="20.149999999999999" customHeight="1" x14ac:dyDescent="0.35">
      <c r="CK66" s="40"/>
      <c r="CL66" s="6"/>
      <c r="CM66" s="6"/>
      <c r="CN66" s="6"/>
      <c r="CO66" s="6"/>
      <c r="CP66" s="6"/>
      <c r="CQ66" s="6"/>
      <c r="CR66" s="6"/>
      <c r="CS66" s="6"/>
      <c r="CT66" s="6"/>
      <c r="CU66" s="6"/>
    </row>
    <row r="67" spans="1:181" s="1" customFormat="1" ht="20.149999999999999" customHeight="1" x14ac:dyDescent="0.35">
      <c r="CK67" s="40"/>
      <c r="CL67" s="6"/>
      <c r="CM67" s="6"/>
      <c r="CN67" s="6"/>
      <c r="CO67" s="6"/>
      <c r="CP67" s="6"/>
      <c r="CQ67" s="6"/>
      <c r="CR67" s="6"/>
      <c r="CS67" s="6"/>
      <c r="CT67" s="6"/>
      <c r="CU67" s="6"/>
      <c r="FY67" s="160"/>
    </row>
    <row r="68" spans="1:181" s="1" customFormat="1" ht="20.149999999999999" customHeight="1" x14ac:dyDescent="0.35">
      <c r="CK68" s="40"/>
      <c r="CL68" s="6"/>
      <c r="CM68" s="6"/>
      <c r="CN68" s="6"/>
      <c r="CO68" s="6"/>
      <c r="CP68" s="6"/>
      <c r="CQ68" s="6"/>
      <c r="CR68" s="6"/>
      <c r="CS68" s="6"/>
      <c r="CT68" s="6"/>
      <c r="CU68" s="6"/>
    </row>
    <row r="69" spans="1:181" s="1" customFormat="1" ht="20.149999999999999" customHeight="1" x14ac:dyDescent="0.35">
      <c r="CK69" s="40"/>
      <c r="CL69" s="6"/>
      <c r="CM69" s="6"/>
      <c r="CN69" s="6"/>
      <c r="CO69" s="6"/>
      <c r="CP69" s="6"/>
      <c r="CQ69" s="6"/>
      <c r="CR69" s="6"/>
      <c r="CS69" s="6"/>
      <c r="CT69" s="6"/>
      <c r="CU69" s="6"/>
    </row>
    <row r="70" spans="1:181" s="1" customFormat="1" ht="20.149999999999999" customHeight="1" x14ac:dyDescent="0.3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row>
    <row r="72" spans="1:181" ht="20.149999999999999"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42"/>
      <c r="CL72" s="36"/>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row>
    <row r="73" spans="1:181" s="1" customFormat="1" ht="20.149999999999999" customHeight="1" x14ac:dyDescent="0.35">
      <c r="CK73" s="42"/>
      <c r="CL73" s="36"/>
      <c r="CM73" s="6"/>
      <c r="CN73" s="6"/>
      <c r="CO73" s="6"/>
      <c r="CP73" s="6"/>
      <c r="CQ73" s="6"/>
      <c r="CR73" s="6"/>
      <c r="CS73" s="6"/>
      <c r="CT73" s="6"/>
      <c r="CU73" s="6"/>
    </row>
    <row r="74" spans="1:181" s="1" customFormat="1" ht="20.149999999999999" customHeight="1" x14ac:dyDescent="0.35">
      <c r="CK74" s="42"/>
      <c r="CL74" s="36"/>
      <c r="CM74" s="6"/>
      <c r="CN74" s="6"/>
      <c r="CO74" s="6"/>
      <c r="CP74" s="6"/>
      <c r="CQ74" s="6"/>
      <c r="CR74" s="6"/>
      <c r="CS74" s="6"/>
      <c r="CT74" s="6"/>
      <c r="CU74" s="6"/>
    </row>
    <row r="75" spans="1:181" s="1" customFormat="1" ht="20.149999999999999" customHeight="1" x14ac:dyDescent="0.35">
      <c r="CK75" s="42"/>
      <c r="CL75" s="36"/>
      <c r="CM75" s="6"/>
      <c r="CN75" s="6"/>
      <c r="CO75" s="6"/>
      <c r="CP75" s="6"/>
      <c r="CQ75" s="6"/>
      <c r="CR75" s="6"/>
      <c r="CS75" s="6"/>
      <c r="CT75" s="6"/>
      <c r="CU75" s="6"/>
    </row>
    <row r="76" spans="1:181" s="1" customFormat="1" ht="20.149999999999999" customHeight="1" x14ac:dyDescent="0.35">
      <c r="CK76" s="42"/>
      <c r="CL76" s="36"/>
      <c r="CM76" s="6"/>
      <c r="CN76" s="6"/>
      <c r="CO76" s="6"/>
      <c r="CP76" s="6"/>
      <c r="CQ76" s="6"/>
      <c r="CR76" s="6"/>
      <c r="CS76" s="6"/>
      <c r="CT76" s="6"/>
      <c r="CU76" s="6"/>
    </row>
    <row r="77" spans="1:181" s="1" customFormat="1" ht="20.149999999999999" customHeight="1" x14ac:dyDescent="0.35">
      <c r="CK77" s="42"/>
      <c r="CL77" s="36"/>
      <c r="CM77" s="6"/>
      <c r="CN77" s="6"/>
      <c r="CO77" s="6"/>
      <c r="CP77" s="6"/>
      <c r="CQ77" s="6"/>
      <c r="CR77" s="6"/>
      <c r="CS77" s="6"/>
      <c r="CT77" s="6"/>
      <c r="CU77" s="6"/>
    </row>
    <row r="78" spans="1:181" s="1" customFormat="1" ht="20.149999999999999" customHeight="1" x14ac:dyDescent="0.35">
      <c r="CK78" s="42"/>
      <c r="CL78" s="36"/>
      <c r="CM78" s="6"/>
      <c r="CN78" s="6"/>
      <c r="CO78" s="6"/>
      <c r="CP78" s="6"/>
      <c r="CQ78" s="6"/>
      <c r="CR78" s="6"/>
      <c r="CS78" s="6"/>
      <c r="CT78" s="6"/>
      <c r="CU78" s="6"/>
    </row>
    <row r="79" spans="1:181" s="1" customFormat="1" ht="20.149999999999999" customHeight="1" x14ac:dyDescent="0.35">
      <c r="CK79" s="42"/>
      <c r="CL79" s="6"/>
      <c r="CM79" s="6"/>
      <c r="CN79" s="6"/>
      <c r="CO79" s="6"/>
      <c r="CP79" s="6"/>
      <c r="CQ79" s="6"/>
      <c r="CR79" s="6"/>
      <c r="CS79" s="6"/>
      <c r="CT79" s="6"/>
      <c r="CU79" s="6"/>
    </row>
    <row r="80" spans="1:181" s="1" customFormat="1" ht="20.149999999999999" customHeight="1" x14ac:dyDescent="0.3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row>
  </sheetData>
  <pageMargins left="0.23622047244094502" right="0.23622047244094502" top="0.74803149606299213" bottom="0.74803149606299213" header="0.31496062992126012" footer="0.31496062992126012"/>
  <pageSetup paperSize="9" fitToWidth="0" orientation="landscape" r:id="rId1"/>
  <headerFooter>
    <oddHeader>&amp;LSolar Deployment Table&amp;RTable 1</oddHeader>
    <oddFooter>&amp;Lhttps://www.gov.uk/government/statistics/solar-photovoltaics-deployment</oddFooter>
  </headerFooter>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B0847-7B25-4629-A720-0EA7B8BD35A8}">
  <sheetPr>
    <pageSetUpPr fitToPage="1"/>
  </sheetPr>
  <dimension ref="A1:GN80"/>
  <sheetViews>
    <sheetView showGridLines="0" zoomScaleNormal="100" workbookViewId="0">
      <pane xSplit="1" topLeftCell="B1" activePane="topRight" state="frozen"/>
      <selection activeCell="B17" sqref="B17"/>
      <selection pane="topRight" activeCell="B1" sqref="B1"/>
    </sheetView>
  </sheetViews>
  <sheetFormatPr defaultColWidth="8.81640625" defaultRowHeight="20.149999999999999" customHeight="1" x14ac:dyDescent="0.35"/>
  <cols>
    <col min="1" max="1" width="39.1796875" style="6" customWidth="1"/>
    <col min="2" max="158" width="12.81640625" style="6" customWidth="1"/>
    <col min="159" max="159" width="12.1796875" style="6" customWidth="1"/>
    <col min="160" max="160" width="11.81640625" style="6" customWidth="1"/>
    <col min="161" max="163" width="12" style="6" customWidth="1"/>
    <col min="164" max="165" width="12.1796875" style="6" customWidth="1"/>
    <col min="166" max="166" width="12.453125" style="6" customWidth="1"/>
    <col min="167" max="173" width="11.81640625" style="6" customWidth="1"/>
    <col min="174" max="174" width="13.453125" style="6" customWidth="1"/>
    <col min="175" max="175" width="12.453125" style="6" customWidth="1"/>
    <col min="176" max="176" width="12.1796875" style="6" customWidth="1"/>
    <col min="177" max="177" width="11.54296875" style="6" customWidth="1"/>
    <col min="178" max="178" width="11" style="6" customWidth="1"/>
    <col min="179" max="179" width="12.1796875" style="6" customWidth="1"/>
    <col min="180" max="180" width="11.54296875" style="6" customWidth="1"/>
    <col min="181" max="181" width="12.1796875" style="6" customWidth="1"/>
    <col min="182" max="183" width="11.26953125" style="6" bestFit="1" customWidth="1"/>
    <col min="184" max="188" width="12" style="6" customWidth="1"/>
    <col min="189" max="190" width="11" style="6" bestFit="1" customWidth="1"/>
    <col min="191" max="191" width="11.1796875" style="6" customWidth="1"/>
    <col min="192" max="192" width="12.453125" style="6" customWidth="1"/>
    <col min="193" max="193" width="12.54296875" style="6" customWidth="1"/>
    <col min="194" max="194" width="11.1796875" style="6" customWidth="1"/>
    <col min="195" max="195" width="14.26953125" style="6" customWidth="1"/>
    <col min="196" max="196" width="10.7265625" style="6" bestFit="1" customWidth="1"/>
    <col min="197" max="16384" width="8.81640625" style="6"/>
  </cols>
  <sheetData>
    <row r="1" spans="1:196" s="18" customFormat="1" ht="45" customHeight="1" x14ac:dyDescent="0.6">
      <c r="A1" s="17" t="s">
        <v>71</v>
      </c>
    </row>
    <row r="2" spans="1:196" s="19" customFormat="1" ht="20.149999999999999" customHeight="1" x14ac:dyDescent="0.35">
      <c r="A2" s="19" t="s">
        <v>72</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row>
    <row r="3" spans="1:196" s="19" customFormat="1" ht="20.149999999999999" customHeight="1" x14ac:dyDescent="0.35">
      <c r="A3" s="19" t="s">
        <v>73</v>
      </c>
      <c r="FQ3" s="175"/>
    </row>
    <row r="4" spans="1:196" s="19" customFormat="1" ht="20.149999999999999" customHeight="1" x14ac:dyDescent="0.35">
      <c r="A4" s="19" t="s">
        <v>74</v>
      </c>
    </row>
    <row r="5" spans="1:196" s="25" customFormat="1" ht="30" customHeight="1" x14ac:dyDescent="0.35">
      <c r="A5" s="21" t="s">
        <v>75</v>
      </c>
      <c r="B5" s="22" t="s">
        <v>76</v>
      </c>
      <c r="C5" s="23" t="s">
        <v>77</v>
      </c>
      <c r="D5" s="23" t="s">
        <v>78</v>
      </c>
      <c r="E5" s="23" t="s">
        <v>79</v>
      </c>
      <c r="F5" s="23" t="s">
        <v>80</v>
      </c>
      <c r="G5" s="23" t="s">
        <v>81</v>
      </c>
      <c r="H5" s="23" t="s">
        <v>82</v>
      </c>
      <c r="I5" s="23" t="s">
        <v>83</v>
      </c>
      <c r="J5" s="23" t="s">
        <v>84</v>
      </c>
      <c r="K5" s="23" t="s">
        <v>85</v>
      </c>
      <c r="L5" s="23" t="s">
        <v>86</v>
      </c>
      <c r="M5" s="23" t="s">
        <v>87</v>
      </c>
      <c r="N5" s="22" t="s">
        <v>88</v>
      </c>
      <c r="O5" s="23" t="s">
        <v>89</v>
      </c>
      <c r="P5" s="23" t="s">
        <v>90</v>
      </c>
      <c r="Q5" s="23" t="s">
        <v>91</v>
      </c>
      <c r="R5" s="23" t="s">
        <v>92</v>
      </c>
      <c r="S5" s="23" t="s">
        <v>93</v>
      </c>
      <c r="T5" s="23" t="s">
        <v>94</v>
      </c>
      <c r="U5" s="23" t="s">
        <v>95</v>
      </c>
      <c r="V5" s="23" t="s">
        <v>96</v>
      </c>
      <c r="W5" s="23" t="s">
        <v>97</v>
      </c>
      <c r="X5" s="23" t="s">
        <v>98</v>
      </c>
      <c r="Y5" s="23" t="s">
        <v>99</v>
      </c>
      <c r="Z5" s="22" t="s">
        <v>100</v>
      </c>
      <c r="AA5" s="23" t="s">
        <v>101</v>
      </c>
      <c r="AB5" s="23" t="s">
        <v>102</v>
      </c>
      <c r="AC5" s="23" t="s">
        <v>103</v>
      </c>
      <c r="AD5" s="23" t="s">
        <v>104</v>
      </c>
      <c r="AE5" s="23" t="s">
        <v>105</v>
      </c>
      <c r="AF5" s="23" t="s">
        <v>106</v>
      </c>
      <c r="AG5" s="23" t="s">
        <v>107</v>
      </c>
      <c r="AH5" s="23" t="s">
        <v>108</v>
      </c>
      <c r="AI5" s="23" t="s">
        <v>109</v>
      </c>
      <c r="AJ5" s="23" t="s">
        <v>110</v>
      </c>
      <c r="AK5" s="23" t="s">
        <v>111</v>
      </c>
      <c r="AL5" s="22" t="s">
        <v>112</v>
      </c>
      <c r="AM5" s="23" t="s">
        <v>113</v>
      </c>
      <c r="AN5" s="23" t="s">
        <v>114</v>
      </c>
      <c r="AO5" s="23" t="s">
        <v>115</v>
      </c>
      <c r="AP5" s="23" t="s">
        <v>116</v>
      </c>
      <c r="AQ5" s="23" t="s">
        <v>117</v>
      </c>
      <c r="AR5" s="23" t="s">
        <v>118</v>
      </c>
      <c r="AS5" s="23" t="s">
        <v>119</v>
      </c>
      <c r="AT5" s="23" t="s">
        <v>120</v>
      </c>
      <c r="AU5" s="23" t="s">
        <v>121</v>
      </c>
      <c r="AV5" s="23" t="s">
        <v>122</v>
      </c>
      <c r="AW5" s="24" t="s">
        <v>123</v>
      </c>
      <c r="AX5" s="23" t="s">
        <v>124</v>
      </c>
      <c r="AY5" s="23" t="s">
        <v>125</v>
      </c>
      <c r="AZ5" s="23" t="s">
        <v>126</v>
      </c>
      <c r="BA5" s="23" t="s">
        <v>127</v>
      </c>
      <c r="BB5" s="23" t="s">
        <v>128</v>
      </c>
      <c r="BC5" s="23" t="s">
        <v>129</v>
      </c>
      <c r="BD5" s="23" t="s">
        <v>130</v>
      </c>
      <c r="BE5" s="23" t="s">
        <v>131</v>
      </c>
      <c r="BF5" s="23" t="s">
        <v>132</v>
      </c>
      <c r="BG5" s="23" t="s">
        <v>133</v>
      </c>
      <c r="BH5" s="23" t="s">
        <v>134</v>
      </c>
      <c r="BI5" s="24" t="s">
        <v>135</v>
      </c>
      <c r="BJ5" s="23" t="s">
        <v>136</v>
      </c>
      <c r="BK5" s="23" t="s">
        <v>137</v>
      </c>
      <c r="BL5" s="23" t="s">
        <v>138</v>
      </c>
      <c r="BM5" s="23" t="s">
        <v>139</v>
      </c>
      <c r="BN5" s="23" t="s">
        <v>140</v>
      </c>
      <c r="BO5" s="23" t="s">
        <v>141</v>
      </c>
      <c r="BP5" s="23" t="s">
        <v>142</v>
      </c>
      <c r="BQ5" s="23" t="s">
        <v>143</v>
      </c>
      <c r="BR5" s="23" t="s">
        <v>144</v>
      </c>
      <c r="BS5" s="23" t="s">
        <v>145</v>
      </c>
      <c r="BT5" s="23" t="s">
        <v>146</v>
      </c>
      <c r="BU5" s="24" t="s">
        <v>147</v>
      </c>
      <c r="BV5" s="23" t="s">
        <v>148</v>
      </c>
      <c r="BW5" s="23" t="s">
        <v>149</v>
      </c>
      <c r="BX5" s="23" t="s">
        <v>150</v>
      </c>
      <c r="BY5" s="23" t="s">
        <v>151</v>
      </c>
      <c r="BZ5" s="23" t="s">
        <v>152</v>
      </c>
      <c r="CA5" s="23" t="s">
        <v>153</v>
      </c>
      <c r="CB5" s="23" t="s">
        <v>154</v>
      </c>
      <c r="CC5" s="23" t="s">
        <v>155</v>
      </c>
      <c r="CD5" s="23" t="s">
        <v>156</v>
      </c>
      <c r="CE5" s="23" t="s">
        <v>157</v>
      </c>
      <c r="CF5" s="23" t="s">
        <v>158</v>
      </c>
      <c r="CG5" s="24" t="s">
        <v>159</v>
      </c>
      <c r="CH5" s="23" t="s">
        <v>160</v>
      </c>
      <c r="CI5" s="23" t="s">
        <v>161</v>
      </c>
      <c r="CJ5" s="23" t="s">
        <v>162</v>
      </c>
      <c r="CK5" s="23" t="s">
        <v>163</v>
      </c>
      <c r="CL5" s="23" t="s">
        <v>164</v>
      </c>
      <c r="CM5" s="23" t="s">
        <v>165</v>
      </c>
      <c r="CN5" s="23" t="s">
        <v>166</v>
      </c>
      <c r="CO5" s="23" t="s">
        <v>167</v>
      </c>
      <c r="CP5" s="23" t="s">
        <v>168</v>
      </c>
      <c r="CQ5" s="23" t="s">
        <v>169</v>
      </c>
      <c r="CR5" s="23" t="s">
        <v>170</v>
      </c>
      <c r="CS5" s="24" t="s">
        <v>171</v>
      </c>
      <c r="CT5" s="23" t="s">
        <v>172</v>
      </c>
      <c r="CU5" s="23" t="s">
        <v>173</v>
      </c>
      <c r="CV5" s="23" t="s">
        <v>174</v>
      </c>
      <c r="CW5" s="23" t="s">
        <v>175</v>
      </c>
      <c r="CX5" s="23" t="s">
        <v>176</v>
      </c>
      <c r="CY5" s="23" t="s">
        <v>177</v>
      </c>
      <c r="CZ5" s="23" t="s">
        <v>178</v>
      </c>
      <c r="DA5" s="23" t="s">
        <v>179</v>
      </c>
      <c r="DB5" s="23" t="s">
        <v>180</v>
      </c>
      <c r="DC5" s="23" t="s">
        <v>181</v>
      </c>
      <c r="DD5" s="23" t="s">
        <v>182</v>
      </c>
      <c r="DE5" s="24" t="s">
        <v>183</v>
      </c>
      <c r="DF5" s="23" t="s">
        <v>184</v>
      </c>
      <c r="DG5" s="23" t="s">
        <v>185</v>
      </c>
      <c r="DH5" s="23" t="s">
        <v>186</v>
      </c>
      <c r="DI5" s="23" t="s">
        <v>187</v>
      </c>
      <c r="DJ5" s="23" t="s">
        <v>188</v>
      </c>
      <c r="DK5" s="23" t="s">
        <v>189</v>
      </c>
      <c r="DL5" s="23" t="s">
        <v>190</v>
      </c>
      <c r="DM5" s="23" t="s">
        <v>191</v>
      </c>
      <c r="DN5" s="23" t="s">
        <v>192</v>
      </c>
      <c r="DO5" s="23" t="s">
        <v>193</v>
      </c>
      <c r="DP5" s="23" t="s">
        <v>194</v>
      </c>
      <c r="DQ5" s="24" t="s">
        <v>195</v>
      </c>
      <c r="DR5" s="23" t="s">
        <v>196</v>
      </c>
      <c r="DS5" s="23" t="s">
        <v>197</v>
      </c>
      <c r="DT5" s="23" t="s">
        <v>198</v>
      </c>
      <c r="DU5" s="23" t="s">
        <v>199</v>
      </c>
      <c r="DV5" s="23" t="s">
        <v>200</v>
      </c>
      <c r="DW5" s="23" t="s">
        <v>201</v>
      </c>
      <c r="DX5" s="23" t="s">
        <v>202</v>
      </c>
      <c r="DY5" s="23" t="s">
        <v>203</v>
      </c>
      <c r="DZ5" s="23" t="s">
        <v>204</v>
      </c>
      <c r="EA5" s="23" t="s">
        <v>205</v>
      </c>
      <c r="EB5" s="23" t="s">
        <v>206</v>
      </c>
      <c r="EC5" s="24" t="s">
        <v>207</v>
      </c>
      <c r="ED5" s="23" t="s">
        <v>208</v>
      </c>
      <c r="EE5" s="23" t="s">
        <v>209</v>
      </c>
      <c r="EF5" s="23" t="s">
        <v>210</v>
      </c>
      <c r="EG5" s="23" t="s">
        <v>211</v>
      </c>
      <c r="EH5" s="23" t="s">
        <v>212</v>
      </c>
      <c r="EI5" s="23" t="s">
        <v>213</v>
      </c>
      <c r="EJ5" s="23" t="s">
        <v>214</v>
      </c>
      <c r="EK5" s="23" t="s">
        <v>215</v>
      </c>
      <c r="EL5" s="23" t="s">
        <v>216</v>
      </c>
      <c r="EM5" s="23" t="s">
        <v>217</v>
      </c>
      <c r="EN5" s="43" t="s">
        <v>218</v>
      </c>
      <c r="EO5" s="80" t="s">
        <v>219</v>
      </c>
      <c r="EP5" s="23" t="s">
        <v>220</v>
      </c>
      <c r="EQ5" s="43" t="s">
        <v>221</v>
      </c>
      <c r="ER5" s="43" t="s">
        <v>222</v>
      </c>
      <c r="ES5" s="43" t="s">
        <v>223</v>
      </c>
      <c r="ET5" s="43" t="s">
        <v>224</v>
      </c>
      <c r="EU5" s="43" t="s">
        <v>225</v>
      </c>
      <c r="EV5" s="43" t="s">
        <v>226</v>
      </c>
      <c r="EW5" s="43" t="s">
        <v>227</v>
      </c>
      <c r="EX5" s="43" t="s">
        <v>228</v>
      </c>
      <c r="EY5" s="43" t="s">
        <v>229</v>
      </c>
      <c r="EZ5" s="43" t="s">
        <v>230</v>
      </c>
      <c r="FA5" s="80" t="s">
        <v>231</v>
      </c>
      <c r="FB5" s="43" t="s">
        <v>232</v>
      </c>
      <c r="FC5" s="43" t="s">
        <v>233</v>
      </c>
      <c r="FD5" s="43" t="s">
        <v>234</v>
      </c>
      <c r="FE5" s="43" t="s">
        <v>235</v>
      </c>
      <c r="FF5" s="43" t="s">
        <v>236</v>
      </c>
      <c r="FG5" s="43" t="s">
        <v>237</v>
      </c>
      <c r="FH5" s="43" t="s">
        <v>238</v>
      </c>
      <c r="FI5" s="43" t="s">
        <v>239</v>
      </c>
      <c r="FJ5" s="43" t="s">
        <v>240</v>
      </c>
      <c r="FK5" s="43" t="s">
        <v>241</v>
      </c>
      <c r="FL5" s="43" t="s">
        <v>242</v>
      </c>
      <c r="FM5" s="43" t="s">
        <v>243</v>
      </c>
      <c r="FN5" s="147" t="s">
        <v>244</v>
      </c>
      <c r="FO5" s="43" t="s">
        <v>245</v>
      </c>
      <c r="FP5" s="43" t="s">
        <v>246</v>
      </c>
      <c r="FQ5" s="43" t="s">
        <v>247</v>
      </c>
      <c r="FR5" s="43" t="s">
        <v>248</v>
      </c>
      <c r="FS5" s="43" t="s">
        <v>249</v>
      </c>
      <c r="FT5" s="43" t="s">
        <v>250</v>
      </c>
      <c r="FU5" s="43" t="s">
        <v>251</v>
      </c>
      <c r="FV5" s="43" t="s">
        <v>252</v>
      </c>
      <c r="FW5" s="43" t="s">
        <v>253</v>
      </c>
      <c r="FX5" s="43" t="s">
        <v>254</v>
      </c>
      <c r="FY5" s="141" t="s">
        <v>255</v>
      </c>
      <c r="FZ5" s="43" t="s">
        <v>256</v>
      </c>
      <c r="GA5" s="43" t="s">
        <v>257</v>
      </c>
      <c r="GB5" s="43" t="s">
        <v>258</v>
      </c>
      <c r="GC5" s="43" t="s">
        <v>259</v>
      </c>
      <c r="GD5" s="43" t="s">
        <v>260</v>
      </c>
      <c r="GE5" s="43" t="s">
        <v>261</v>
      </c>
      <c r="GF5" s="43" t="s">
        <v>262</v>
      </c>
      <c r="GG5" s="43" t="s">
        <v>263</v>
      </c>
      <c r="GH5" s="43" t="s">
        <v>264</v>
      </c>
      <c r="GI5" s="43" t="s">
        <v>265</v>
      </c>
      <c r="GJ5" s="43" t="s">
        <v>1622</v>
      </c>
      <c r="GK5" s="141" t="s">
        <v>1629</v>
      </c>
      <c r="GL5" s="43" t="s">
        <v>1630</v>
      </c>
      <c r="GM5" s="43" t="s">
        <v>1635</v>
      </c>
      <c r="GN5" s="43" t="s">
        <v>1638</v>
      </c>
    </row>
    <row r="6" spans="1:196" s="30" customFormat="1" ht="20.149999999999999" customHeight="1" x14ac:dyDescent="0.35">
      <c r="A6" s="26" t="s">
        <v>266</v>
      </c>
      <c r="B6" s="27"/>
      <c r="C6" s="27"/>
      <c r="D6" s="27"/>
      <c r="E6" s="27"/>
      <c r="F6" s="27"/>
      <c r="G6" s="27"/>
      <c r="H6" s="27"/>
      <c r="I6" s="27"/>
      <c r="J6" s="27"/>
      <c r="K6" s="27"/>
      <c r="L6" s="27"/>
      <c r="M6" s="28"/>
      <c r="N6" s="29"/>
      <c r="O6" s="27"/>
      <c r="P6" s="27"/>
      <c r="Q6" s="27"/>
      <c r="R6" s="27"/>
      <c r="S6" s="27"/>
      <c r="T6" s="27"/>
      <c r="U6" s="27"/>
      <c r="V6" s="27"/>
      <c r="W6" s="27"/>
      <c r="X6" s="27"/>
      <c r="Y6" s="28"/>
      <c r="Z6" s="29"/>
      <c r="AA6" s="27"/>
      <c r="AB6" s="27"/>
      <c r="AC6" s="27"/>
      <c r="AD6" s="27"/>
      <c r="AE6" s="27"/>
      <c r="AF6" s="27"/>
      <c r="AG6" s="27"/>
      <c r="AH6" s="27"/>
      <c r="AI6" s="27"/>
      <c r="AJ6" s="27"/>
      <c r="AK6" s="28"/>
      <c r="AL6" s="29"/>
      <c r="AM6" s="27"/>
      <c r="AN6" s="27"/>
      <c r="AO6" s="27"/>
      <c r="AP6" s="27"/>
      <c r="AQ6" s="27"/>
      <c r="AR6" s="27"/>
      <c r="AS6" s="27"/>
      <c r="AT6" s="27"/>
      <c r="AU6" s="27"/>
      <c r="AV6" s="27"/>
      <c r="AW6" s="28"/>
      <c r="AX6" s="27"/>
      <c r="AY6" s="27"/>
      <c r="AZ6" s="27"/>
      <c r="BA6" s="27"/>
      <c r="BB6" s="27"/>
      <c r="BC6" s="27"/>
      <c r="BD6" s="27"/>
      <c r="BE6" s="27"/>
      <c r="BF6" s="27"/>
      <c r="BG6" s="27"/>
      <c r="BH6" s="27"/>
      <c r="BI6" s="28"/>
      <c r="BJ6" s="27"/>
      <c r="BK6" s="27"/>
      <c r="BL6" s="27"/>
      <c r="BM6" s="27"/>
      <c r="BN6" s="27"/>
      <c r="BO6" s="27"/>
      <c r="BP6" s="27"/>
      <c r="BQ6" s="27"/>
      <c r="BR6" s="27"/>
      <c r="BS6" s="27"/>
      <c r="BT6" s="27"/>
      <c r="BU6" s="28"/>
      <c r="BV6" s="27"/>
      <c r="BW6" s="27"/>
      <c r="BX6" s="27"/>
      <c r="BY6" s="27"/>
      <c r="BZ6" s="27"/>
      <c r="CA6" s="27"/>
      <c r="CB6" s="27"/>
      <c r="CC6" s="27"/>
      <c r="CD6" s="27"/>
      <c r="CE6" s="27"/>
      <c r="CF6" s="27"/>
      <c r="CG6" s="28"/>
      <c r="CH6" s="27"/>
      <c r="CI6" s="27"/>
      <c r="CJ6" s="27"/>
      <c r="CK6" s="27"/>
      <c r="CL6" s="27"/>
      <c r="CM6" s="27"/>
      <c r="CN6" s="27"/>
      <c r="CO6" s="27"/>
      <c r="CP6" s="27"/>
      <c r="CQ6" s="27"/>
      <c r="CR6" s="27"/>
      <c r="CS6" s="28"/>
      <c r="CT6" s="27"/>
      <c r="CU6" s="27"/>
      <c r="CV6" s="27"/>
      <c r="CW6" s="27"/>
      <c r="CX6" s="27"/>
      <c r="CY6" s="27"/>
      <c r="CZ6" s="27"/>
      <c r="DA6" s="27"/>
      <c r="DB6" s="27"/>
      <c r="DC6" s="27"/>
      <c r="DD6" s="27"/>
      <c r="DE6" s="28"/>
      <c r="DF6" s="27"/>
      <c r="DG6" s="27"/>
      <c r="DH6" s="27"/>
      <c r="DI6" s="27"/>
      <c r="DJ6" s="27"/>
      <c r="DK6" s="27"/>
      <c r="DL6" s="27"/>
      <c r="DM6" s="27"/>
      <c r="DN6" s="27"/>
      <c r="DO6" s="27"/>
      <c r="DP6" s="27"/>
      <c r="DQ6" s="28"/>
      <c r="DR6" s="27"/>
      <c r="DS6" s="27"/>
      <c r="DT6" s="27"/>
      <c r="DU6" s="27"/>
      <c r="DV6" s="27"/>
      <c r="DW6" s="27"/>
      <c r="DX6" s="27"/>
      <c r="DY6" s="27"/>
      <c r="DZ6" s="27"/>
      <c r="EA6" s="27"/>
      <c r="EB6" s="27"/>
      <c r="EC6" s="28"/>
      <c r="ED6" s="27"/>
      <c r="EE6" s="27"/>
      <c r="EF6" s="27"/>
      <c r="EG6" s="27"/>
      <c r="EH6" s="27"/>
      <c r="EI6" s="27"/>
      <c r="EJ6" s="27"/>
      <c r="EK6" s="45"/>
      <c r="EO6" s="81"/>
      <c r="EP6" s="27"/>
      <c r="EV6" s="67"/>
      <c r="EW6" s="67"/>
      <c r="EX6" s="67"/>
      <c r="EY6" s="67"/>
      <c r="EZ6" s="67"/>
      <c r="FA6" s="81"/>
      <c r="FB6" s="67"/>
      <c r="FC6" s="67"/>
      <c r="FD6" s="67"/>
      <c r="FE6" s="67"/>
      <c r="FF6" s="67"/>
      <c r="FG6" s="67"/>
      <c r="FH6" s="67"/>
      <c r="FI6" s="67"/>
      <c r="FJ6" s="67"/>
      <c r="FK6" s="67"/>
      <c r="FL6" s="67"/>
      <c r="FM6" s="67"/>
      <c r="FN6" s="169"/>
      <c r="FO6" s="67"/>
      <c r="FP6" s="67"/>
      <c r="FQ6" s="67"/>
      <c r="FR6" s="67"/>
      <c r="FS6" s="67"/>
      <c r="FT6" s="67"/>
      <c r="FU6" s="177"/>
      <c r="FV6" s="177"/>
      <c r="FW6" s="177"/>
      <c r="FX6" s="177"/>
      <c r="FY6" s="190"/>
      <c r="FZ6" s="177"/>
      <c r="GA6" s="177"/>
      <c r="GB6" s="177"/>
      <c r="GC6" s="177"/>
      <c r="GD6" s="177"/>
      <c r="GE6" s="177"/>
      <c r="GF6" s="177"/>
      <c r="GG6" s="177"/>
      <c r="GH6" s="177"/>
      <c r="GI6" s="177"/>
      <c r="GJ6" s="177"/>
      <c r="GK6" s="190"/>
      <c r="GL6" s="177"/>
      <c r="GM6" s="177"/>
      <c r="GN6" s="177"/>
    </row>
    <row r="7" spans="1:196" s="1" customFormat="1" ht="20.149999999999999" customHeight="1" x14ac:dyDescent="0.35">
      <c r="A7" s="31" t="s">
        <v>1623</v>
      </c>
      <c r="B7" s="45">
        <v>8.0210000000000008</v>
      </c>
      <c r="C7" s="45">
        <v>9.1530000000000005</v>
      </c>
      <c r="D7" s="45">
        <v>11.038</v>
      </c>
      <c r="E7" s="45">
        <v>13.255000000000001</v>
      </c>
      <c r="F7" s="45">
        <v>16.698</v>
      </c>
      <c r="G7" s="45">
        <v>20.916</v>
      </c>
      <c r="H7" s="45">
        <v>26.105</v>
      </c>
      <c r="I7" s="45">
        <v>31.254999999999999</v>
      </c>
      <c r="J7" s="45">
        <v>37.920999999999999</v>
      </c>
      <c r="K7" s="45">
        <v>45.965000000000003</v>
      </c>
      <c r="L7" s="45">
        <v>55.264000000000003</v>
      </c>
      <c r="M7" s="49">
        <v>62.441000000000003</v>
      </c>
      <c r="N7" s="50">
        <v>72.281999999999996</v>
      </c>
      <c r="O7" s="45">
        <v>83.525000000000006</v>
      </c>
      <c r="P7" s="45">
        <v>100.41500000000001</v>
      </c>
      <c r="Q7" s="45">
        <v>116.246</v>
      </c>
      <c r="R7" s="45">
        <v>135.05000000000001</v>
      </c>
      <c r="S7" s="45">
        <v>159.839</v>
      </c>
      <c r="T7" s="45">
        <v>188.624</v>
      </c>
      <c r="U7" s="45">
        <v>225.017</v>
      </c>
      <c r="V7" s="45">
        <v>269.74</v>
      </c>
      <c r="W7" s="45">
        <v>321.173</v>
      </c>
      <c r="X7" s="45">
        <v>465.851</v>
      </c>
      <c r="Y7" s="49">
        <v>578.45699999999999</v>
      </c>
      <c r="Z7" s="50">
        <v>599.39</v>
      </c>
      <c r="AA7" s="45">
        <v>705.98900000000003</v>
      </c>
      <c r="AB7" s="45">
        <v>771.01099999999997</v>
      </c>
      <c r="AC7" s="45">
        <v>783.86800000000005</v>
      </c>
      <c r="AD7" s="45">
        <v>807.89300000000003</v>
      </c>
      <c r="AE7" s="45">
        <v>837.66700000000003</v>
      </c>
      <c r="AF7" s="45">
        <v>893.29899999999998</v>
      </c>
      <c r="AG7" s="45">
        <v>902.399</v>
      </c>
      <c r="AH7" s="45">
        <v>913.875</v>
      </c>
      <c r="AI7" s="45">
        <v>935.70899999999995</v>
      </c>
      <c r="AJ7" s="45">
        <v>948.46699999999998</v>
      </c>
      <c r="AK7" s="49">
        <v>961.27599999999995</v>
      </c>
      <c r="AL7" s="50">
        <v>975.255</v>
      </c>
      <c r="AM7" s="45">
        <v>989.87699999999995</v>
      </c>
      <c r="AN7" s="45">
        <v>1006.06</v>
      </c>
      <c r="AO7" s="45">
        <v>1022.428</v>
      </c>
      <c r="AP7" s="45">
        <v>1038.3789999999999</v>
      </c>
      <c r="AQ7" s="45">
        <v>1060.6120000000001</v>
      </c>
      <c r="AR7" s="45">
        <v>1073.961</v>
      </c>
      <c r="AS7" s="45">
        <v>1089.2280000000001</v>
      </c>
      <c r="AT7" s="45">
        <v>1104.729</v>
      </c>
      <c r="AU7" s="45">
        <v>1121.47</v>
      </c>
      <c r="AV7" s="45">
        <v>1140.1079999999999</v>
      </c>
      <c r="AW7" s="49">
        <v>1155.393</v>
      </c>
      <c r="AX7" s="45">
        <v>1170.855</v>
      </c>
      <c r="AY7" s="45">
        <v>1187.434</v>
      </c>
      <c r="AZ7" s="45">
        <v>1212.9929999999999</v>
      </c>
      <c r="BA7" s="45">
        <v>1227.8979999999999</v>
      </c>
      <c r="BB7" s="45">
        <v>1243.7860000000001</v>
      </c>
      <c r="BC7" s="45">
        <v>1260.539</v>
      </c>
      <c r="BD7" s="45">
        <v>1280.277</v>
      </c>
      <c r="BE7" s="45">
        <v>1299.7170000000001</v>
      </c>
      <c r="BF7" s="45">
        <v>1323.018</v>
      </c>
      <c r="BG7" s="45">
        <v>1346.9190000000001</v>
      </c>
      <c r="BH7" s="45">
        <v>1369.2760000000001</v>
      </c>
      <c r="BI7" s="49">
        <v>1391.7670000000001</v>
      </c>
      <c r="BJ7" s="45">
        <v>1408.086</v>
      </c>
      <c r="BK7" s="45">
        <v>1427.8979999999999</v>
      </c>
      <c r="BL7" s="45">
        <v>1458.1610000000001</v>
      </c>
      <c r="BM7" s="45">
        <v>1478.8320000000001</v>
      </c>
      <c r="BN7" s="45">
        <v>1500.7280000000001</v>
      </c>
      <c r="BO7" s="45">
        <v>1532.336</v>
      </c>
      <c r="BP7" s="45">
        <v>1555.1969999999999</v>
      </c>
      <c r="BQ7" s="45">
        <v>1578.0550000000001</v>
      </c>
      <c r="BR7" s="45">
        <v>1615.6679999999999</v>
      </c>
      <c r="BS7" s="45">
        <v>1649.98</v>
      </c>
      <c r="BT7" s="45">
        <v>1695.6379999999999</v>
      </c>
      <c r="BU7" s="49">
        <v>1745.864</v>
      </c>
      <c r="BV7" s="45">
        <v>1776.472</v>
      </c>
      <c r="BW7" s="45">
        <v>1782.45</v>
      </c>
      <c r="BX7" s="45">
        <v>1789.7629999999999</v>
      </c>
      <c r="BY7" s="45">
        <v>1795.1210000000001</v>
      </c>
      <c r="BZ7" s="45">
        <v>1801.2070000000001</v>
      </c>
      <c r="CA7" s="45">
        <v>1807.9949999999999</v>
      </c>
      <c r="CB7" s="45">
        <v>1813.5229999999999</v>
      </c>
      <c r="CC7" s="45">
        <v>1818.6769999999999</v>
      </c>
      <c r="CD7" s="45">
        <v>1824.3150000000001</v>
      </c>
      <c r="CE7" s="45">
        <v>1828.952</v>
      </c>
      <c r="CF7" s="45">
        <v>1834.5239999999999</v>
      </c>
      <c r="CG7" s="49">
        <v>1838.691</v>
      </c>
      <c r="CH7" s="45">
        <v>1842.6590000000001</v>
      </c>
      <c r="CI7" s="45">
        <v>1847.2159999999999</v>
      </c>
      <c r="CJ7" s="45">
        <v>1853.1479999999999</v>
      </c>
      <c r="CK7" s="45">
        <v>1857.38</v>
      </c>
      <c r="CL7" s="45">
        <v>1862.2929999999999</v>
      </c>
      <c r="CM7" s="45">
        <v>1867.1559999999999</v>
      </c>
      <c r="CN7" s="45">
        <v>1871.6759999999999</v>
      </c>
      <c r="CO7" s="45">
        <v>1877.15</v>
      </c>
      <c r="CP7" s="45">
        <v>1882.3979999999999</v>
      </c>
      <c r="CQ7" s="45">
        <v>1887.279</v>
      </c>
      <c r="CR7" s="45">
        <v>1893.23</v>
      </c>
      <c r="CS7" s="49">
        <v>1897.231</v>
      </c>
      <c r="CT7" s="45">
        <v>1901.653</v>
      </c>
      <c r="CU7" s="45">
        <v>1905.7090000000001</v>
      </c>
      <c r="CV7" s="45">
        <v>1910.6310000000001</v>
      </c>
      <c r="CW7" s="45">
        <v>1915.348</v>
      </c>
      <c r="CX7" s="45">
        <v>1920.674</v>
      </c>
      <c r="CY7" s="45">
        <v>1926.077</v>
      </c>
      <c r="CZ7" s="45">
        <v>1931.306</v>
      </c>
      <c r="DA7" s="45">
        <v>1937.2629999999999</v>
      </c>
      <c r="DB7" s="45">
        <v>1943.3009999999999</v>
      </c>
      <c r="DC7" s="45">
        <v>1950.5989999999999</v>
      </c>
      <c r="DD7" s="45">
        <v>1958.31</v>
      </c>
      <c r="DE7" s="49">
        <v>1964.7139999999999</v>
      </c>
      <c r="DF7" s="45">
        <v>1974.0329999999999</v>
      </c>
      <c r="DG7" s="45">
        <v>1984.759</v>
      </c>
      <c r="DH7" s="45">
        <v>2009.298</v>
      </c>
      <c r="DI7" s="45">
        <v>2012.575</v>
      </c>
      <c r="DJ7" s="45">
        <v>2016.5920000000001</v>
      </c>
      <c r="DK7" s="45">
        <v>2020.915</v>
      </c>
      <c r="DL7" s="45">
        <v>2025.0630000000001</v>
      </c>
      <c r="DM7" s="45">
        <v>2029.39</v>
      </c>
      <c r="DN7" s="45">
        <v>2034.1079999999999</v>
      </c>
      <c r="DO7" s="45">
        <v>2038.8409999999999</v>
      </c>
      <c r="DP7" s="45">
        <v>2043.848</v>
      </c>
      <c r="DQ7" s="49">
        <v>2047.095</v>
      </c>
      <c r="DR7" s="45">
        <v>2051.3270000000002</v>
      </c>
      <c r="DS7" s="45">
        <v>2055.433</v>
      </c>
      <c r="DT7" s="45">
        <v>2059.6129999999998</v>
      </c>
      <c r="DU7" s="45">
        <v>2060.4209999999998</v>
      </c>
      <c r="DV7" s="45">
        <v>2061.69</v>
      </c>
      <c r="DW7" s="45">
        <v>2064.5160000000001</v>
      </c>
      <c r="DX7" s="45">
        <v>2068.5079999999998</v>
      </c>
      <c r="DY7" s="45">
        <v>2072.73</v>
      </c>
      <c r="DZ7" s="45">
        <v>2078.0230000000001</v>
      </c>
      <c r="EA7" s="45">
        <v>2083.2130000000002</v>
      </c>
      <c r="EB7" s="45">
        <v>2088.7489999999998</v>
      </c>
      <c r="EC7" s="49">
        <v>2092.9090000000001</v>
      </c>
      <c r="ED7" s="45">
        <v>2098.1390000000001</v>
      </c>
      <c r="EE7" s="45">
        <v>2102.8409999999999</v>
      </c>
      <c r="EF7" s="45">
        <v>2109.2710000000002</v>
      </c>
      <c r="EG7" s="45">
        <v>2116.1030000000001</v>
      </c>
      <c r="EH7" s="45">
        <v>2123.3589999999999</v>
      </c>
      <c r="EI7" s="45">
        <v>2130.6759999999999</v>
      </c>
      <c r="EJ7" s="45">
        <v>2137.4270000000001</v>
      </c>
      <c r="EK7" s="45">
        <v>2144.8429999999998</v>
      </c>
      <c r="EL7" s="45">
        <v>2153.0610000000001</v>
      </c>
      <c r="EM7" s="45">
        <v>2160.509</v>
      </c>
      <c r="EN7" s="45">
        <v>2170.0650000000001</v>
      </c>
      <c r="EO7" s="82">
        <v>2177.2330000000002</v>
      </c>
      <c r="EP7" s="45">
        <v>2185.7640000000001</v>
      </c>
      <c r="EQ7" s="45">
        <v>2196.672</v>
      </c>
      <c r="ER7" s="45">
        <v>2211.4299999999998</v>
      </c>
      <c r="ES7" s="45">
        <v>2225.511</v>
      </c>
      <c r="ET7" s="45">
        <v>2240.6480000000001</v>
      </c>
      <c r="EU7" s="45">
        <v>2256.5010000000002</v>
      </c>
      <c r="EV7" s="45">
        <v>2271.0219999999999</v>
      </c>
      <c r="EW7" s="45">
        <v>2287.0650000000001</v>
      </c>
      <c r="EX7" s="45">
        <v>2306.279</v>
      </c>
      <c r="EY7" s="45">
        <v>2323.5419999999999</v>
      </c>
      <c r="EZ7" s="45">
        <v>2342.2620000000002</v>
      </c>
      <c r="FA7" s="82">
        <v>2356.1689999999999</v>
      </c>
      <c r="FB7" s="45">
        <v>2374.9160000000002</v>
      </c>
      <c r="FC7" s="45">
        <v>2395.4189999999999</v>
      </c>
      <c r="FD7" s="45">
        <v>2418.3589999999999</v>
      </c>
      <c r="FE7" s="45">
        <v>2436.598</v>
      </c>
      <c r="FF7" s="45">
        <v>2456.3139999999999</v>
      </c>
      <c r="FG7" s="45">
        <v>2476.6840000000002</v>
      </c>
      <c r="FH7" s="45">
        <v>2494.5309999999999</v>
      </c>
      <c r="FI7" s="45">
        <v>2512.1909999999998</v>
      </c>
      <c r="FJ7" s="45">
        <v>2530.0970000000002</v>
      </c>
      <c r="FK7" s="155">
        <v>2547.444</v>
      </c>
      <c r="FL7" s="155">
        <v>2565.9369999999999</v>
      </c>
      <c r="FM7" s="155">
        <v>2577.73</v>
      </c>
      <c r="FN7" s="69">
        <v>2593.6990000000001</v>
      </c>
      <c r="FO7" s="155">
        <v>2610.7930000000001</v>
      </c>
      <c r="FP7" s="155">
        <v>2630.31</v>
      </c>
      <c r="FQ7" s="155">
        <v>2649.239</v>
      </c>
      <c r="FR7" s="155">
        <v>2669.1379999999999</v>
      </c>
      <c r="FS7" s="155">
        <v>2688.6280000000002</v>
      </c>
      <c r="FT7" s="155">
        <v>2708.817</v>
      </c>
      <c r="FU7" s="178">
        <v>2728.8780000000002</v>
      </c>
      <c r="FV7" s="178">
        <v>2751.357</v>
      </c>
      <c r="FW7" s="178">
        <v>2777.8939999999998</v>
      </c>
      <c r="FX7" s="178">
        <v>2806.1260000000002</v>
      </c>
      <c r="FY7" s="180">
        <v>2825.2829999999999</v>
      </c>
      <c r="FZ7" s="178">
        <v>2850.2939999999999</v>
      </c>
      <c r="GA7" s="178">
        <v>2879.0720000000001</v>
      </c>
      <c r="GB7" s="178">
        <v>2914.5360000000001</v>
      </c>
      <c r="GC7" s="178">
        <v>2940.7640000000001</v>
      </c>
      <c r="GD7" s="178">
        <v>2969.8809999999999</v>
      </c>
      <c r="GE7" s="178">
        <v>2999.9960000000001</v>
      </c>
      <c r="GF7" s="178">
        <v>3028.3649999999998</v>
      </c>
      <c r="GG7" s="178">
        <v>3053.19</v>
      </c>
      <c r="GH7" s="178">
        <v>3082.5630000000001</v>
      </c>
      <c r="GI7" s="178">
        <v>3115.5830000000001</v>
      </c>
      <c r="GJ7" s="178">
        <v>3145.9780000000001</v>
      </c>
      <c r="GK7" s="180">
        <v>3170.2640000000001</v>
      </c>
      <c r="GL7" s="178">
        <v>3197.1480000000001</v>
      </c>
      <c r="GM7" s="178">
        <v>3236.0410000000002</v>
      </c>
      <c r="GN7" s="178">
        <v>3276.797</v>
      </c>
    </row>
    <row r="8" spans="1:196" s="1" customFormat="1" ht="20.149999999999999" customHeight="1" x14ac:dyDescent="0.35">
      <c r="A8" s="31" t="s">
        <v>1626</v>
      </c>
      <c r="B8" s="45">
        <v>2.6389999999999998</v>
      </c>
      <c r="C8" s="45">
        <v>2.827</v>
      </c>
      <c r="D8" s="45">
        <v>3.1030000000000002</v>
      </c>
      <c r="E8" s="45">
        <v>3.286</v>
      </c>
      <c r="F8" s="45">
        <v>3.6179999999999999</v>
      </c>
      <c r="G8" s="45">
        <v>3.992</v>
      </c>
      <c r="H8" s="45">
        <v>4.3940000000000001</v>
      </c>
      <c r="I8" s="45">
        <v>4.782</v>
      </c>
      <c r="J8" s="45">
        <v>5.1890000000000001</v>
      </c>
      <c r="K8" s="45">
        <v>5.7629999999999999</v>
      </c>
      <c r="L8" s="45">
        <v>6.3620000000000001</v>
      </c>
      <c r="M8" s="49">
        <v>6.78</v>
      </c>
      <c r="N8" s="50">
        <v>7.5919999999999996</v>
      </c>
      <c r="O8" s="45">
        <v>8.4719999999999995</v>
      </c>
      <c r="P8" s="45">
        <v>9.84</v>
      </c>
      <c r="Q8" s="45">
        <v>11.526</v>
      </c>
      <c r="R8" s="45">
        <v>13.48</v>
      </c>
      <c r="S8" s="45">
        <v>15.819000000000001</v>
      </c>
      <c r="T8" s="45">
        <v>19.02</v>
      </c>
      <c r="U8" s="45">
        <v>24.344000000000001</v>
      </c>
      <c r="V8" s="45">
        <v>31.628</v>
      </c>
      <c r="W8" s="45">
        <v>40.993000000000002</v>
      </c>
      <c r="X8" s="45">
        <v>70.278999999999996</v>
      </c>
      <c r="Y8" s="49">
        <v>96.072000000000003</v>
      </c>
      <c r="Z8" s="50">
        <v>98.25</v>
      </c>
      <c r="AA8" s="45">
        <v>125.134</v>
      </c>
      <c r="AB8" s="45">
        <v>135.233</v>
      </c>
      <c r="AC8" s="45">
        <v>137.209</v>
      </c>
      <c r="AD8" s="45">
        <v>143.863</v>
      </c>
      <c r="AE8" s="45">
        <v>153.96199999999999</v>
      </c>
      <c r="AF8" s="45">
        <v>180.011</v>
      </c>
      <c r="AG8" s="45">
        <v>181.76400000000001</v>
      </c>
      <c r="AH8" s="45">
        <v>185.34</v>
      </c>
      <c r="AI8" s="45">
        <v>196.149</v>
      </c>
      <c r="AJ8" s="45">
        <v>200.12200000000001</v>
      </c>
      <c r="AK8" s="49">
        <v>204.93799999999999</v>
      </c>
      <c r="AL8" s="50">
        <v>210.17</v>
      </c>
      <c r="AM8" s="45">
        <v>216.55799999999999</v>
      </c>
      <c r="AN8" s="45">
        <v>224.73400000000001</v>
      </c>
      <c r="AO8" s="45">
        <v>234.10400000000001</v>
      </c>
      <c r="AP8" s="45">
        <v>244.52699999999999</v>
      </c>
      <c r="AQ8" s="45">
        <v>262.02600000000001</v>
      </c>
      <c r="AR8" s="45">
        <v>269.18700000000001</v>
      </c>
      <c r="AS8" s="45">
        <v>278.12099999999998</v>
      </c>
      <c r="AT8" s="45">
        <v>288.291</v>
      </c>
      <c r="AU8" s="45">
        <v>299.44299999999998</v>
      </c>
      <c r="AV8" s="45">
        <v>312.81200000000001</v>
      </c>
      <c r="AW8" s="49">
        <v>324.16000000000003</v>
      </c>
      <c r="AX8" s="45">
        <v>334.70100000000002</v>
      </c>
      <c r="AY8" s="45">
        <v>346.161</v>
      </c>
      <c r="AZ8" s="45">
        <v>369.63200000000001</v>
      </c>
      <c r="BA8" s="45">
        <v>380.04300000000001</v>
      </c>
      <c r="BB8" s="45">
        <v>392.16399999999999</v>
      </c>
      <c r="BC8" s="45">
        <v>406.01900000000001</v>
      </c>
      <c r="BD8" s="45">
        <v>420.738</v>
      </c>
      <c r="BE8" s="45">
        <v>434.67700000000002</v>
      </c>
      <c r="BF8" s="45">
        <v>450.55099999999999</v>
      </c>
      <c r="BG8" s="45">
        <v>467.44799999999998</v>
      </c>
      <c r="BH8" s="45">
        <v>484.44200000000001</v>
      </c>
      <c r="BI8" s="49">
        <v>503.32799999999997</v>
      </c>
      <c r="BJ8" s="45">
        <v>511.85599999999999</v>
      </c>
      <c r="BK8" s="45">
        <v>523.11099999999999</v>
      </c>
      <c r="BL8" s="45">
        <v>543.58900000000006</v>
      </c>
      <c r="BM8" s="45">
        <v>555.51199999999994</v>
      </c>
      <c r="BN8" s="45">
        <v>569.15800000000002</v>
      </c>
      <c r="BO8" s="45">
        <v>589.59500000000003</v>
      </c>
      <c r="BP8" s="45">
        <v>601.84400000000005</v>
      </c>
      <c r="BQ8" s="45">
        <v>614.45000000000005</v>
      </c>
      <c r="BR8" s="45">
        <v>636.89800000000002</v>
      </c>
      <c r="BS8" s="45">
        <v>653.22</v>
      </c>
      <c r="BT8" s="45">
        <v>673.59199999999998</v>
      </c>
      <c r="BU8" s="49">
        <v>699.96600000000001</v>
      </c>
      <c r="BV8" s="45">
        <v>712.97500000000002</v>
      </c>
      <c r="BW8" s="45">
        <v>714.95</v>
      </c>
      <c r="BX8" s="45">
        <v>718.16399999999999</v>
      </c>
      <c r="BY8" s="45">
        <v>720.85</v>
      </c>
      <c r="BZ8" s="45">
        <v>723.49699999999996</v>
      </c>
      <c r="CA8" s="45">
        <v>726.81700000000001</v>
      </c>
      <c r="CB8" s="45">
        <v>729.48199999999997</v>
      </c>
      <c r="CC8" s="45">
        <v>732.09</v>
      </c>
      <c r="CD8" s="45">
        <v>735.28899999999999</v>
      </c>
      <c r="CE8" s="45">
        <v>737.37900000000002</v>
      </c>
      <c r="CF8" s="45">
        <v>739.71</v>
      </c>
      <c r="CG8" s="49">
        <v>741.86099999999999</v>
      </c>
      <c r="CH8" s="45">
        <v>743.62099999999998</v>
      </c>
      <c r="CI8" s="45">
        <v>745.48</v>
      </c>
      <c r="CJ8" s="45">
        <v>748.197</v>
      </c>
      <c r="CK8" s="45">
        <v>750.07799999999997</v>
      </c>
      <c r="CL8" s="45">
        <v>752.62699999999995</v>
      </c>
      <c r="CM8" s="45">
        <v>755.54200000000003</v>
      </c>
      <c r="CN8" s="45">
        <v>758.12900000000002</v>
      </c>
      <c r="CO8" s="45">
        <v>760.58299999999997</v>
      </c>
      <c r="CP8" s="45">
        <v>763.58199999999999</v>
      </c>
      <c r="CQ8" s="45">
        <v>766.298</v>
      </c>
      <c r="CR8" s="45">
        <v>769.16700000000003</v>
      </c>
      <c r="CS8" s="49">
        <v>771.57100000000003</v>
      </c>
      <c r="CT8" s="45">
        <v>773.68</v>
      </c>
      <c r="CU8" s="45">
        <v>776.02300000000002</v>
      </c>
      <c r="CV8" s="45">
        <v>779.17200000000003</v>
      </c>
      <c r="CW8" s="45">
        <v>782.07</v>
      </c>
      <c r="CX8" s="45">
        <v>785.33</v>
      </c>
      <c r="CY8" s="45">
        <v>789.06700000000001</v>
      </c>
      <c r="CZ8" s="45">
        <v>792.21400000000006</v>
      </c>
      <c r="DA8" s="45">
        <v>795.62199999999996</v>
      </c>
      <c r="DB8" s="45">
        <v>799.91</v>
      </c>
      <c r="DC8" s="45">
        <v>803.923</v>
      </c>
      <c r="DD8" s="45">
        <v>809.28200000000004</v>
      </c>
      <c r="DE8" s="49">
        <v>814.28099999999995</v>
      </c>
      <c r="DF8" s="45">
        <v>819.48199999999997</v>
      </c>
      <c r="DG8" s="45">
        <v>827.31899999999996</v>
      </c>
      <c r="DH8" s="45">
        <v>847.41099999999994</v>
      </c>
      <c r="DI8" s="45">
        <v>848.17899999999997</v>
      </c>
      <c r="DJ8" s="45">
        <v>849.47199999999998</v>
      </c>
      <c r="DK8" s="45">
        <v>851.13900000000001</v>
      </c>
      <c r="DL8" s="45">
        <v>853.51</v>
      </c>
      <c r="DM8" s="45">
        <v>855.93499999999995</v>
      </c>
      <c r="DN8" s="45">
        <v>859.23299999999995</v>
      </c>
      <c r="DO8" s="45">
        <v>863.25300000000004</v>
      </c>
      <c r="DP8" s="45">
        <v>866.68600000000004</v>
      </c>
      <c r="DQ8" s="49">
        <v>869.44500000000005</v>
      </c>
      <c r="DR8" s="45">
        <v>872.89200000000005</v>
      </c>
      <c r="DS8" s="45">
        <v>876.45</v>
      </c>
      <c r="DT8" s="45">
        <v>880.37699999999995</v>
      </c>
      <c r="DU8" s="45">
        <v>881.88699999999994</v>
      </c>
      <c r="DV8" s="45">
        <v>884.44200000000001</v>
      </c>
      <c r="DW8" s="45">
        <v>889.12900000000002</v>
      </c>
      <c r="DX8" s="45">
        <v>894.18299999999999</v>
      </c>
      <c r="DY8" s="45">
        <v>898.77099999999996</v>
      </c>
      <c r="DZ8" s="45">
        <v>904.64099999999996</v>
      </c>
      <c r="EA8" s="45">
        <v>910.63599999999997</v>
      </c>
      <c r="EB8" s="45">
        <v>916.90899999999999</v>
      </c>
      <c r="EC8" s="49">
        <v>921.56700000000001</v>
      </c>
      <c r="ED8" s="45">
        <v>926.54300000000001</v>
      </c>
      <c r="EE8" s="45">
        <v>931.952</v>
      </c>
      <c r="EF8" s="45">
        <v>939.92399999999998</v>
      </c>
      <c r="EG8" s="45">
        <v>947.46500000000003</v>
      </c>
      <c r="EH8" s="45">
        <v>954.90099999999995</v>
      </c>
      <c r="EI8" s="45">
        <v>963.30700000000002</v>
      </c>
      <c r="EJ8" s="45">
        <v>971.44</v>
      </c>
      <c r="EK8" s="45">
        <v>978.73699999999997</v>
      </c>
      <c r="EL8" s="45">
        <v>988.63599999999997</v>
      </c>
      <c r="EM8" s="45">
        <v>998.44500000000005</v>
      </c>
      <c r="EN8" s="45">
        <v>1010.673</v>
      </c>
      <c r="EO8" s="82">
        <v>1019.692</v>
      </c>
      <c r="EP8" s="45">
        <v>1031.1600000000001</v>
      </c>
      <c r="EQ8" s="45">
        <v>1044.578</v>
      </c>
      <c r="ER8" s="45">
        <v>1063.162</v>
      </c>
      <c r="ES8" s="45">
        <v>1083.1110000000001</v>
      </c>
      <c r="ET8" s="45">
        <v>1107.2650000000001</v>
      </c>
      <c r="EU8" s="45">
        <v>1131.6880000000001</v>
      </c>
      <c r="EV8" s="45">
        <v>1158.7729999999999</v>
      </c>
      <c r="EW8" s="45">
        <v>1188.682</v>
      </c>
      <c r="EX8" s="45">
        <v>1224.1659999999999</v>
      </c>
      <c r="EY8" s="45">
        <v>1262.5940000000001</v>
      </c>
      <c r="EZ8" s="45">
        <v>1307.3610000000001</v>
      </c>
      <c r="FA8" s="82">
        <v>1342.259</v>
      </c>
      <c r="FB8" s="45">
        <v>1390.9939999999999</v>
      </c>
      <c r="FC8" s="45">
        <v>1442.0260000000001</v>
      </c>
      <c r="FD8" s="45">
        <v>1499.923</v>
      </c>
      <c r="FE8" s="45">
        <v>1546.9670000000001</v>
      </c>
      <c r="FF8" s="45">
        <v>1600.145</v>
      </c>
      <c r="FG8" s="45">
        <v>1652.875</v>
      </c>
      <c r="FH8" s="45">
        <v>1697.5540000000001</v>
      </c>
      <c r="FI8" s="45">
        <v>1743.3679999999999</v>
      </c>
      <c r="FJ8" s="45">
        <v>1786.954</v>
      </c>
      <c r="FK8" s="155">
        <v>1830.5940000000001</v>
      </c>
      <c r="FL8" s="155">
        <v>1873.35</v>
      </c>
      <c r="FM8" s="155">
        <v>1901.6479999999999</v>
      </c>
      <c r="FN8" s="69">
        <v>1936.2829999999999</v>
      </c>
      <c r="FO8" s="155">
        <v>1972.528</v>
      </c>
      <c r="FP8" s="155">
        <v>2009.25</v>
      </c>
      <c r="FQ8" s="155">
        <v>2048.864</v>
      </c>
      <c r="FR8" s="155">
        <v>2088.6509999999998</v>
      </c>
      <c r="FS8" s="155">
        <v>2124.4650000000001</v>
      </c>
      <c r="FT8" s="155">
        <v>2163.3890000000001</v>
      </c>
      <c r="FU8" s="178">
        <v>2197.643</v>
      </c>
      <c r="FV8" s="178">
        <v>2234.1799999999998</v>
      </c>
      <c r="FW8" s="178">
        <v>2275.3670000000002</v>
      </c>
      <c r="FX8" s="178">
        <v>2314.2170000000001</v>
      </c>
      <c r="FY8" s="180">
        <v>2342.3609999999999</v>
      </c>
      <c r="FZ8" s="178">
        <v>2377.9189999999999</v>
      </c>
      <c r="GA8" s="178">
        <v>2418.201</v>
      </c>
      <c r="GB8" s="178">
        <v>2466.002</v>
      </c>
      <c r="GC8" s="178">
        <v>2511.0569999999998</v>
      </c>
      <c r="GD8" s="178">
        <v>2560.4</v>
      </c>
      <c r="GE8" s="178">
        <v>2609.8679999999999</v>
      </c>
      <c r="GF8" s="178">
        <v>2662.8989999999999</v>
      </c>
      <c r="GG8" s="178">
        <v>2710.181</v>
      </c>
      <c r="GH8" s="178">
        <v>2763.6489999999999</v>
      </c>
      <c r="GI8" s="178">
        <v>2819.4690000000001</v>
      </c>
      <c r="GJ8" s="178">
        <v>2868.2069999999999</v>
      </c>
      <c r="GK8" s="180">
        <v>2903.5749999999998</v>
      </c>
      <c r="GL8" s="178">
        <v>2942.87</v>
      </c>
      <c r="GM8" s="178">
        <v>2973.4960000000001</v>
      </c>
      <c r="GN8" s="178">
        <v>3021.3910000000001</v>
      </c>
    </row>
    <row r="9" spans="1:196" s="1" customFormat="1" ht="20.149999999999999" customHeight="1" x14ac:dyDescent="0.35">
      <c r="A9" s="31" t="s">
        <v>1625</v>
      </c>
      <c r="B9" s="45">
        <v>2.4329999999999998</v>
      </c>
      <c r="C9" s="45">
        <v>2.5289999999999999</v>
      </c>
      <c r="D9" s="45">
        <v>2.8620000000000001</v>
      </c>
      <c r="E9" s="45">
        <v>3.1070000000000002</v>
      </c>
      <c r="F9" s="45">
        <v>3.4620000000000002</v>
      </c>
      <c r="G9" s="45">
        <v>3.6829999999999998</v>
      </c>
      <c r="H9" s="45">
        <v>3.8180000000000001</v>
      </c>
      <c r="I9" s="45">
        <v>4.101</v>
      </c>
      <c r="J9" s="45">
        <v>4.55</v>
      </c>
      <c r="K9" s="45">
        <v>4.92</v>
      </c>
      <c r="L9" s="45">
        <v>5.4130000000000003</v>
      </c>
      <c r="M9" s="49">
        <v>5.6619999999999999</v>
      </c>
      <c r="N9" s="50">
        <v>6.2169999999999996</v>
      </c>
      <c r="O9" s="45">
        <v>7.0419999999999998</v>
      </c>
      <c r="P9" s="45">
        <v>7.8730000000000002</v>
      </c>
      <c r="Q9" s="45">
        <v>8.8810000000000002</v>
      </c>
      <c r="R9" s="45">
        <v>10.105</v>
      </c>
      <c r="S9" s="45">
        <v>11.478</v>
      </c>
      <c r="T9" s="45">
        <v>14.74</v>
      </c>
      <c r="U9" s="45">
        <v>18.001999999999999</v>
      </c>
      <c r="V9" s="45">
        <v>22.283000000000001</v>
      </c>
      <c r="W9" s="45">
        <v>26.594999999999999</v>
      </c>
      <c r="X9" s="45">
        <v>49.494999999999997</v>
      </c>
      <c r="Y9" s="49">
        <v>96.29</v>
      </c>
      <c r="Z9" s="50">
        <v>97.43</v>
      </c>
      <c r="AA9" s="45">
        <v>134.60499999999999</v>
      </c>
      <c r="AB9" s="45">
        <v>160.904</v>
      </c>
      <c r="AC9" s="45">
        <v>162.559</v>
      </c>
      <c r="AD9" s="45">
        <v>166.95</v>
      </c>
      <c r="AE9" s="45">
        <v>176.238</v>
      </c>
      <c r="AF9" s="45">
        <v>213.36699999999999</v>
      </c>
      <c r="AG9" s="45">
        <v>214.72200000000001</v>
      </c>
      <c r="AH9" s="45">
        <v>216.928</v>
      </c>
      <c r="AI9" s="45">
        <v>224.791</v>
      </c>
      <c r="AJ9" s="45">
        <v>227.315</v>
      </c>
      <c r="AK9" s="49">
        <v>230.095</v>
      </c>
      <c r="AL9" s="50">
        <v>233.60599999999999</v>
      </c>
      <c r="AM9" s="45">
        <v>239.37299999999999</v>
      </c>
      <c r="AN9" s="45">
        <v>247.19</v>
      </c>
      <c r="AO9" s="45">
        <v>256.12900000000002</v>
      </c>
      <c r="AP9" s="45">
        <v>263.983</v>
      </c>
      <c r="AQ9" s="45">
        <v>284.38600000000002</v>
      </c>
      <c r="AR9" s="45">
        <v>288.46600000000001</v>
      </c>
      <c r="AS9" s="45">
        <v>294.779</v>
      </c>
      <c r="AT9" s="45">
        <v>301.60599999999999</v>
      </c>
      <c r="AU9" s="45">
        <v>307.464</v>
      </c>
      <c r="AV9" s="45">
        <v>313.87799999999999</v>
      </c>
      <c r="AW9" s="49">
        <v>320.63799999999998</v>
      </c>
      <c r="AX9" s="45">
        <v>325.86399999999998</v>
      </c>
      <c r="AY9" s="45">
        <v>331.56599999999997</v>
      </c>
      <c r="AZ9" s="45">
        <v>352.976</v>
      </c>
      <c r="BA9" s="45">
        <v>356.59399999999999</v>
      </c>
      <c r="BB9" s="45">
        <v>361.69400000000002</v>
      </c>
      <c r="BC9" s="45">
        <v>368.93099999999998</v>
      </c>
      <c r="BD9" s="45">
        <v>375.78800000000001</v>
      </c>
      <c r="BE9" s="45">
        <v>382.35399999999998</v>
      </c>
      <c r="BF9" s="45">
        <v>390.33699999999999</v>
      </c>
      <c r="BG9" s="45">
        <v>398.041</v>
      </c>
      <c r="BH9" s="45">
        <v>405.80399999999997</v>
      </c>
      <c r="BI9" s="49">
        <v>422.32</v>
      </c>
      <c r="BJ9" s="45">
        <v>425.346</v>
      </c>
      <c r="BK9" s="45">
        <v>431.61500000000001</v>
      </c>
      <c r="BL9" s="45">
        <v>442.61200000000002</v>
      </c>
      <c r="BM9" s="45">
        <v>449.03100000000001</v>
      </c>
      <c r="BN9" s="45">
        <v>455.54399999999998</v>
      </c>
      <c r="BO9" s="45">
        <v>465.73500000000001</v>
      </c>
      <c r="BP9" s="45">
        <v>474.55200000000002</v>
      </c>
      <c r="BQ9" s="45">
        <v>484.46</v>
      </c>
      <c r="BR9" s="45">
        <v>506.053</v>
      </c>
      <c r="BS9" s="45">
        <v>517.08600000000001</v>
      </c>
      <c r="BT9" s="45">
        <v>534.798</v>
      </c>
      <c r="BU9" s="49">
        <v>584.30700000000002</v>
      </c>
      <c r="BV9" s="45">
        <v>607.99</v>
      </c>
      <c r="BW9" s="45">
        <v>610.12099999999998</v>
      </c>
      <c r="BX9" s="45">
        <v>614.52800000000002</v>
      </c>
      <c r="BY9" s="45">
        <v>617.19200000000001</v>
      </c>
      <c r="BZ9" s="45">
        <v>619.82100000000003</v>
      </c>
      <c r="CA9" s="45">
        <v>623.82600000000002</v>
      </c>
      <c r="CB9" s="45">
        <v>627.495</v>
      </c>
      <c r="CC9" s="45">
        <v>632.65899999999999</v>
      </c>
      <c r="CD9" s="45">
        <v>640.36900000000003</v>
      </c>
      <c r="CE9" s="45">
        <v>643.10299999999995</v>
      </c>
      <c r="CF9" s="45">
        <v>646.04300000000001</v>
      </c>
      <c r="CG9" s="49">
        <v>650.53599999999994</v>
      </c>
      <c r="CH9" s="45">
        <v>652.19200000000001</v>
      </c>
      <c r="CI9" s="45">
        <v>654.55799999999999</v>
      </c>
      <c r="CJ9" s="45">
        <v>659.14700000000005</v>
      </c>
      <c r="CK9" s="45">
        <v>662.05799999999999</v>
      </c>
      <c r="CL9" s="45">
        <v>665.65300000000002</v>
      </c>
      <c r="CM9" s="45">
        <v>669.58799999999997</v>
      </c>
      <c r="CN9" s="45">
        <v>673.34100000000001</v>
      </c>
      <c r="CO9" s="45">
        <v>677.29</v>
      </c>
      <c r="CP9" s="45">
        <v>682.173</v>
      </c>
      <c r="CQ9" s="45">
        <v>686.04300000000001</v>
      </c>
      <c r="CR9" s="45">
        <v>691.00099999999998</v>
      </c>
      <c r="CS9" s="49">
        <v>694.87300000000005</v>
      </c>
      <c r="CT9" s="45">
        <v>698.96600000000001</v>
      </c>
      <c r="CU9" s="45">
        <v>702.697</v>
      </c>
      <c r="CV9" s="45">
        <v>708.01199999999994</v>
      </c>
      <c r="CW9" s="45">
        <v>711.38199999999995</v>
      </c>
      <c r="CX9" s="45">
        <v>714.82600000000002</v>
      </c>
      <c r="CY9" s="45">
        <v>719.59699999999998</v>
      </c>
      <c r="CZ9" s="45">
        <v>723.92100000000005</v>
      </c>
      <c r="DA9" s="45">
        <v>729.03200000000004</v>
      </c>
      <c r="DB9" s="45">
        <v>733.53300000000002</v>
      </c>
      <c r="DC9" s="45">
        <v>738.57899999999995</v>
      </c>
      <c r="DD9" s="45">
        <v>743.55200000000002</v>
      </c>
      <c r="DE9" s="49">
        <v>749.18799999999999</v>
      </c>
      <c r="DF9" s="45">
        <v>755.51499999999999</v>
      </c>
      <c r="DG9" s="45">
        <v>765.51300000000003</v>
      </c>
      <c r="DH9" s="45">
        <v>804.25199999999995</v>
      </c>
      <c r="DI9" s="45">
        <v>805.803</v>
      </c>
      <c r="DJ9" s="45">
        <v>807.40599999999995</v>
      </c>
      <c r="DK9" s="45">
        <v>809.38699999999994</v>
      </c>
      <c r="DL9" s="45">
        <v>811.70299999999997</v>
      </c>
      <c r="DM9" s="45">
        <v>814.99099999999999</v>
      </c>
      <c r="DN9" s="45">
        <v>818.31299999999999</v>
      </c>
      <c r="DO9" s="45">
        <v>821.54100000000005</v>
      </c>
      <c r="DP9" s="45">
        <v>825.15200000000004</v>
      </c>
      <c r="DQ9" s="49">
        <v>827.50400000000002</v>
      </c>
      <c r="DR9" s="45">
        <v>831.03899999999999</v>
      </c>
      <c r="DS9" s="45">
        <v>834.73400000000004</v>
      </c>
      <c r="DT9" s="45">
        <v>840.33199999999999</v>
      </c>
      <c r="DU9" s="45">
        <v>841.57399999999996</v>
      </c>
      <c r="DV9" s="45">
        <v>842.59400000000005</v>
      </c>
      <c r="DW9" s="45">
        <v>845.23</v>
      </c>
      <c r="DX9" s="45">
        <v>848.36699999999996</v>
      </c>
      <c r="DY9" s="45">
        <v>850.94899999999996</v>
      </c>
      <c r="DZ9" s="45">
        <v>855.08199999999999</v>
      </c>
      <c r="EA9" s="45">
        <v>858.846</v>
      </c>
      <c r="EB9" s="45">
        <v>863.101</v>
      </c>
      <c r="EC9" s="49">
        <v>866.05100000000004</v>
      </c>
      <c r="ED9" s="45">
        <v>869.024</v>
      </c>
      <c r="EE9" s="45">
        <v>872.49599999999998</v>
      </c>
      <c r="EF9" s="45">
        <v>877.27700000000004</v>
      </c>
      <c r="EG9" s="45">
        <v>881.01300000000003</v>
      </c>
      <c r="EH9" s="45">
        <v>884.78300000000002</v>
      </c>
      <c r="EI9" s="45">
        <v>888.15099999999995</v>
      </c>
      <c r="EJ9" s="45">
        <v>892.88900000000001</v>
      </c>
      <c r="EK9" s="45">
        <v>898.10199999999998</v>
      </c>
      <c r="EL9" s="45">
        <v>903.41099999999994</v>
      </c>
      <c r="EM9" s="45">
        <v>908.40300000000002</v>
      </c>
      <c r="EN9" s="45">
        <v>914.9</v>
      </c>
      <c r="EO9" s="82">
        <v>918.28399999999999</v>
      </c>
      <c r="EP9" s="45">
        <v>922.97400000000005</v>
      </c>
      <c r="EQ9" s="45">
        <v>928.11199999999997</v>
      </c>
      <c r="ER9" s="45">
        <v>936.01400000000001</v>
      </c>
      <c r="ES9" s="45">
        <v>941.87300000000005</v>
      </c>
      <c r="ET9" s="45">
        <v>950.01599999999996</v>
      </c>
      <c r="EU9" s="45">
        <v>956.96900000000005</v>
      </c>
      <c r="EV9" s="45">
        <v>964.36800000000005</v>
      </c>
      <c r="EW9" s="45">
        <v>972.57299999999998</v>
      </c>
      <c r="EX9" s="45">
        <v>980.90200000000004</v>
      </c>
      <c r="EY9" s="45">
        <v>989.63699999999994</v>
      </c>
      <c r="EZ9" s="45">
        <v>1000.269</v>
      </c>
      <c r="FA9" s="82">
        <v>1008.247</v>
      </c>
      <c r="FB9" s="45">
        <v>1018.694</v>
      </c>
      <c r="FC9" s="45">
        <v>1031.7670000000001</v>
      </c>
      <c r="FD9" s="45">
        <v>1047.5239999999999</v>
      </c>
      <c r="FE9" s="45">
        <v>1061.2550000000001</v>
      </c>
      <c r="FF9" s="45">
        <v>1078.779</v>
      </c>
      <c r="FG9" s="45">
        <v>1099.037</v>
      </c>
      <c r="FH9" s="45">
        <v>1116.039</v>
      </c>
      <c r="FI9" s="45">
        <v>1133.085</v>
      </c>
      <c r="FJ9" s="45">
        <v>1152.069</v>
      </c>
      <c r="FK9" s="155">
        <v>1168.33</v>
      </c>
      <c r="FL9" s="155">
        <v>1185.2180000000001</v>
      </c>
      <c r="FM9" s="155">
        <v>1195.6500000000001</v>
      </c>
      <c r="FN9" s="69">
        <v>1210.4549999999999</v>
      </c>
      <c r="FO9" s="155">
        <v>1223.778</v>
      </c>
      <c r="FP9" s="155">
        <v>1239.489</v>
      </c>
      <c r="FQ9" s="155">
        <v>1255.1949999999999</v>
      </c>
      <c r="FR9" s="155">
        <v>1273.502</v>
      </c>
      <c r="FS9" s="155">
        <v>1290.627</v>
      </c>
      <c r="FT9" s="155">
        <v>1309.3689999999999</v>
      </c>
      <c r="FU9" s="178">
        <v>1327.117</v>
      </c>
      <c r="FV9" s="178">
        <v>1344.318</v>
      </c>
      <c r="FW9" s="178">
        <v>1361.9659999999999</v>
      </c>
      <c r="FX9" s="178">
        <v>1380.1969999999999</v>
      </c>
      <c r="FY9" s="180">
        <v>1392.6030000000001</v>
      </c>
      <c r="FZ9" s="178">
        <v>1409.723</v>
      </c>
      <c r="GA9" s="178">
        <v>1429.9739999999999</v>
      </c>
      <c r="GB9" s="178">
        <v>1452.008</v>
      </c>
      <c r="GC9" s="178">
        <v>1472.903</v>
      </c>
      <c r="GD9" s="178">
        <v>1495.99</v>
      </c>
      <c r="GE9" s="178">
        <v>1517.7539999999999</v>
      </c>
      <c r="GF9" s="178">
        <v>1541.3530000000001</v>
      </c>
      <c r="GG9" s="178">
        <v>1562.576</v>
      </c>
      <c r="GH9" s="178">
        <v>1586.99</v>
      </c>
      <c r="GI9" s="178">
        <v>1610.7090000000001</v>
      </c>
      <c r="GJ9" s="178">
        <v>1631.3119999999999</v>
      </c>
      <c r="GK9" s="180">
        <v>1649.1969999999999</v>
      </c>
      <c r="GL9" s="178">
        <v>1669.4960000000001</v>
      </c>
      <c r="GM9" s="178">
        <v>1687.77</v>
      </c>
      <c r="GN9" s="178">
        <v>1716.662</v>
      </c>
    </row>
    <row r="10" spans="1:196" s="1" customFormat="1" ht="20.149999999999999" customHeight="1" x14ac:dyDescent="0.35">
      <c r="A10" s="31" t="s">
        <v>1627</v>
      </c>
      <c r="B10" s="45">
        <v>1.133</v>
      </c>
      <c r="C10" s="45">
        <v>1.133</v>
      </c>
      <c r="D10" s="45">
        <v>1.133</v>
      </c>
      <c r="E10" s="45">
        <v>1.133</v>
      </c>
      <c r="F10" s="45">
        <v>1.3009999999999999</v>
      </c>
      <c r="G10" s="45">
        <v>2.101</v>
      </c>
      <c r="H10" s="45">
        <v>2.2509999999999999</v>
      </c>
      <c r="I10" s="45">
        <v>2.2509999999999999</v>
      </c>
      <c r="J10" s="45">
        <v>2.2509999999999999</v>
      </c>
      <c r="K10" s="45">
        <v>2.6989999999999998</v>
      </c>
      <c r="L10" s="45">
        <v>2.75</v>
      </c>
      <c r="M10" s="49">
        <v>2.8969999999999998</v>
      </c>
      <c r="N10" s="50">
        <v>2.8969999999999998</v>
      </c>
      <c r="O10" s="45">
        <v>3.4209999999999998</v>
      </c>
      <c r="P10" s="45">
        <v>4.2380000000000004</v>
      </c>
      <c r="Q10" s="45">
        <v>10.138999999999999</v>
      </c>
      <c r="R10" s="45">
        <v>11.798</v>
      </c>
      <c r="S10" s="45">
        <v>17.247</v>
      </c>
      <c r="T10" s="45">
        <v>139.82599999999999</v>
      </c>
      <c r="U10" s="45">
        <v>140.78100000000001</v>
      </c>
      <c r="V10" s="45">
        <v>156.404</v>
      </c>
      <c r="W10" s="45">
        <v>212.83099999999999</v>
      </c>
      <c r="X10" s="45">
        <v>214.464</v>
      </c>
      <c r="Y10" s="49">
        <v>222.828</v>
      </c>
      <c r="Z10" s="50">
        <v>222.98699999999999</v>
      </c>
      <c r="AA10" s="45">
        <v>226.87100000000001</v>
      </c>
      <c r="AB10" s="45">
        <v>237.54900000000001</v>
      </c>
      <c r="AC10" s="45">
        <v>238.36199999999999</v>
      </c>
      <c r="AD10" s="45">
        <v>239.48400000000001</v>
      </c>
      <c r="AE10" s="45">
        <v>255.54900000000001</v>
      </c>
      <c r="AF10" s="45">
        <v>332.488</v>
      </c>
      <c r="AG10" s="45">
        <v>335.31599999999997</v>
      </c>
      <c r="AH10" s="45">
        <v>336.98399999999998</v>
      </c>
      <c r="AI10" s="45">
        <v>340.86500000000001</v>
      </c>
      <c r="AJ10" s="45">
        <v>349.964</v>
      </c>
      <c r="AK10" s="49">
        <v>352.09300000000002</v>
      </c>
      <c r="AL10" s="50">
        <v>357.94299999999998</v>
      </c>
      <c r="AM10" s="45">
        <v>362.40699999999998</v>
      </c>
      <c r="AN10" s="45">
        <v>465.38900000000001</v>
      </c>
      <c r="AO10" s="45">
        <v>491.91699999999997</v>
      </c>
      <c r="AP10" s="45">
        <v>503.65499999999997</v>
      </c>
      <c r="AQ10" s="45">
        <v>518.17399999999998</v>
      </c>
      <c r="AR10" s="45">
        <v>532.851</v>
      </c>
      <c r="AS10" s="45">
        <v>549.86599999999999</v>
      </c>
      <c r="AT10" s="45">
        <v>560.64099999999996</v>
      </c>
      <c r="AU10" s="45">
        <v>573.18100000000004</v>
      </c>
      <c r="AV10" s="45">
        <v>581.32299999999998</v>
      </c>
      <c r="AW10" s="49">
        <v>597.08299999999997</v>
      </c>
      <c r="AX10" s="45">
        <v>611.36500000000001</v>
      </c>
      <c r="AY10" s="45">
        <v>630.97900000000004</v>
      </c>
      <c r="AZ10" s="45">
        <v>722.92</v>
      </c>
      <c r="BA10" s="45">
        <v>738.09199999999998</v>
      </c>
      <c r="BB10" s="45">
        <v>756.10299999999995</v>
      </c>
      <c r="BC10" s="45">
        <v>797.31200000000001</v>
      </c>
      <c r="BD10" s="45">
        <v>816.40899999999999</v>
      </c>
      <c r="BE10" s="45">
        <v>832.19200000000001</v>
      </c>
      <c r="BF10" s="45">
        <v>848.96100000000001</v>
      </c>
      <c r="BG10" s="45">
        <v>865.47900000000004</v>
      </c>
      <c r="BH10" s="45">
        <v>883.91</v>
      </c>
      <c r="BI10" s="49">
        <v>924.32600000000002</v>
      </c>
      <c r="BJ10" s="45">
        <v>934.88900000000001</v>
      </c>
      <c r="BK10" s="45">
        <v>953.92499999999995</v>
      </c>
      <c r="BL10" s="45">
        <v>1074.6379999999999</v>
      </c>
      <c r="BM10" s="45">
        <v>1085.0329999999999</v>
      </c>
      <c r="BN10" s="45">
        <v>1107.5619999999999</v>
      </c>
      <c r="BO10" s="45">
        <v>1172.73</v>
      </c>
      <c r="BP10" s="45">
        <v>1202.5719999999999</v>
      </c>
      <c r="BQ10" s="45">
        <v>1239.7239999999999</v>
      </c>
      <c r="BR10" s="45">
        <v>1285.2750000000001</v>
      </c>
      <c r="BS10" s="45">
        <v>1362.4469999999999</v>
      </c>
      <c r="BT10" s="45">
        <v>1446.28</v>
      </c>
      <c r="BU10" s="49">
        <v>1946.8679999999999</v>
      </c>
      <c r="BV10" s="45">
        <v>2016.425</v>
      </c>
      <c r="BW10" s="45">
        <v>2077.5039999999999</v>
      </c>
      <c r="BX10" s="45">
        <v>2594.48</v>
      </c>
      <c r="BY10" s="45">
        <v>2639.2689999999998</v>
      </c>
      <c r="BZ10" s="45">
        <v>2671.1950000000002</v>
      </c>
      <c r="CA10" s="45">
        <v>2823.7759999999998</v>
      </c>
      <c r="CB10" s="45">
        <v>2838.0010000000002</v>
      </c>
      <c r="CC10" s="45">
        <v>2866.4549999999999</v>
      </c>
      <c r="CD10" s="45">
        <v>2893.6729999999998</v>
      </c>
      <c r="CE10" s="45">
        <v>2919.6559999999999</v>
      </c>
      <c r="CF10" s="45">
        <v>2950.692</v>
      </c>
      <c r="CG10" s="49">
        <v>2991.2130000000002</v>
      </c>
      <c r="CH10" s="45">
        <v>2999.8029999999999</v>
      </c>
      <c r="CI10" s="45">
        <v>3051.895</v>
      </c>
      <c r="CJ10" s="45">
        <v>3415.6039999999998</v>
      </c>
      <c r="CK10" s="45">
        <v>3425.53</v>
      </c>
      <c r="CL10" s="45">
        <v>3432.2150000000001</v>
      </c>
      <c r="CM10" s="45">
        <v>3437.442</v>
      </c>
      <c r="CN10" s="45">
        <v>3446.7240000000002</v>
      </c>
      <c r="CO10" s="45">
        <v>3452.1819999999998</v>
      </c>
      <c r="CP10" s="45">
        <v>3455.7570000000001</v>
      </c>
      <c r="CQ10" s="45">
        <v>3458.1979999999999</v>
      </c>
      <c r="CR10" s="45">
        <v>3460.1170000000002</v>
      </c>
      <c r="CS10" s="49">
        <v>3461.2530000000002</v>
      </c>
      <c r="CT10" s="45">
        <v>3462.8960000000002</v>
      </c>
      <c r="CU10" s="45">
        <v>3463.652</v>
      </c>
      <c r="CV10" s="45">
        <v>3466.78</v>
      </c>
      <c r="CW10" s="45">
        <v>3469.5630000000001</v>
      </c>
      <c r="CX10" s="45">
        <v>3473.7890000000002</v>
      </c>
      <c r="CY10" s="45">
        <v>3480.2959999999998</v>
      </c>
      <c r="CZ10" s="45">
        <v>3483.0189999999998</v>
      </c>
      <c r="DA10" s="45">
        <v>3485.52</v>
      </c>
      <c r="DB10" s="45">
        <v>3487.9349999999999</v>
      </c>
      <c r="DC10" s="45">
        <v>3490.0329999999999</v>
      </c>
      <c r="DD10" s="45">
        <v>3499.0149999999999</v>
      </c>
      <c r="DE10" s="49">
        <v>3507.319</v>
      </c>
      <c r="DF10" s="45">
        <v>3510.288</v>
      </c>
      <c r="DG10" s="45">
        <v>3513.8760000000002</v>
      </c>
      <c r="DH10" s="45">
        <v>3517.9679999999998</v>
      </c>
      <c r="DI10" s="45">
        <v>3530.623</v>
      </c>
      <c r="DJ10" s="45">
        <v>3531.33</v>
      </c>
      <c r="DK10" s="45">
        <v>3533.5749999999998</v>
      </c>
      <c r="DL10" s="45">
        <v>3536.1660000000002</v>
      </c>
      <c r="DM10" s="45">
        <v>3542.9279999999999</v>
      </c>
      <c r="DN10" s="45">
        <v>3557.806</v>
      </c>
      <c r="DO10" s="45">
        <v>3558.94</v>
      </c>
      <c r="DP10" s="45">
        <v>3559.7</v>
      </c>
      <c r="DQ10" s="49">
        <v>3561.326</v>
      </c>
      <c r="DR10" s="45">
        <v>3570.076</v>
      </c>
      <c r="DS10" s="45">
        <v>3570.6759999999999</v>
      </c>
      <c r="DT10" s="45">
        <v>3573.0639999999999</v>
      </c>
      <c r="DU10" s="45">
        <v>3574.5149999999999</v>
      </c>
      <c r="DV10" s="45">
        <v>3574.7689999999998</v>
      </c>
      <c r="DW10" s="45">
        <v>3574.9189999999999</v>
      </c>
      <c r="DX10" s="45">
        <v>3581.7689999999998</v>
      </c>
      <c r="DY10" s="45">
        <v>3582.5189999999998</v>
      </c>
      <c r="DZ10" s="45">
        <v>3583.0189999999998</v>
      </c>
      <c r="EA10" s="45">
        <v>3586.9690000000001</v>
      </c>
      <c r="EB10" s="45">
        <v>3588.9189999999999</v>
      </c>
      <c r="EC10" s="49">
        <v>3592.2689999999998</v>
      </c>
      <c r="ED10" s="45">
        <v>3592.8440000000001</v>
      </c>
      <c r="EE10" s="45">
        <v>3594.6439999999998</v>
      </c>
      <c r="EF10" s="45">
        <v>3595.194</v>
      </c>
      <c r="EG10" s="45">
        <v>3595.5439999999999</v>
      </c>
      <c r="EH10" s="45">
        <v>3596.694</v>
      </c>
      <c r="EI10" s="45">
        <v>3598.0940000000001</v>
      </c>
      <c r="EJ10" s="45">
        <v>3604.2139999999999</v>
      </c>
      <c r="EK10" s="45">
        <v>3605.7919999999999</v>
      </c>
      <c r="EL10" s="45">
        <v>3612.9870000000001</v>
      </c>
      <c r="EM10" s="45">
        <v>3616.8519999999999</v>
      </c>
      <c r="EN10" s="45">
        <v>3619.3519999999999</v>
      </c>
      <c r="EO10" s="82">
        <v>3623.5369999999998</v>
      </c>
      <c r="EP10" s="45">
        <v>3643.49</v>
      </c>
      <c r="EQ10" s="45">
        <v>3646.9650000000001</v>
      </c>
      <c r="ER10" s="45">
        <v>3653.2869999999998</v>
      </c>
      <c r="ES10" s="45">
        <v>3664.8490000000002</v>
      </c>
      <c r="ET10" s="45">
        <v>3672.1779999999999</v>
      </c>
      <c r="EU10" s="45">
        <v>3675.8029999999999</v>
      </c>
      <c r="EV10" s="45">
        <v>3682.64</v>
      </c>
      <c r="EW10" s="45">
        <v>3684.0010000000002</v>
      </c>
      <c r="EX10" s="45">
        <v>3687.424</v>
      </c>
      <c r="EY10" s="45">
        <v>3693.607</v>
      </c>
      <c r="EZ10" s="45">
        <v>3698.7350000000001</v>
      </c>
      <c r="FA10" s="82">
        <v>3706.4720000000002</v>
      </c>
      <c r="FB10" s="45">
        <v>3709.1469999999999</v>
      </c>
      <c r="FC10" s="45">
        <v>3714.6</v>
      </c>
      <c r="FD10" s="45">
        <v>3723.1669999999999</v>
      </c>
      <c r="FE10" s="45">
        <v>3728.4560000000001</v>
      </c>
      <c r="FF10" s="45">
        <v>3733.4789999999998</v>
      </c>
      <c r="FG10" s="45">
        <v>3740.971</v>
      </c>
      <c r="FH10" s="45">
        <v>3750.357</v>
      </c>
      <c r="FI10" s="45">
        <v>3755.741</v>
      </c>
      <c r="FJ10" s="45">
        <v>3765.0120000000002</v>
      </c>
      <c r="FK10" s="155">
        <v>3776.3580000000002</v>
      </c>
      <c r="FL10" s="155">
        <v>3782.384</v>
      </c>
      <c r="FM10" s="155">
        <v>3785.9659999999999</v>
      </c>
      <c r="FN10" s="69">
        <v>3802.7370000000001</v>
      </c>
      <c r="FO10" s="155">
        <v>3807.9560000000001</v>
      </c>
      <c r="FP10" s="155">
        <v>3818.98</v>
      </c>
      <c r="FQ10" s="155">
        <v>3821.9609999999998</v>
      </c>
      <c r="FR10" s="155">
        <v>3830.058</v>
      </c>
      <c r="FS10" s="155">
        <v>3837.259</v>
      </c>
      <c r="FT10" s="155">
        <v>3846.201</v>
      </c>
      <c r="FU10" s="178">
        <v>3849.971</v>
      </c>
      <c r="FV10" s="178">
        <v>3853.663</v>
      </c>
      <c r="FW10" s="178">
        <v>3858.93</v>
      </c>
      <c r="FX10" s="178">
        <v>3864.069</v>
      </c>
      <c r="FY10" s="180">
        <v>3865.069</v>
      </c>
      <c r="FZ10" s="178">
        <v>3866.4960000000001</v>
      </c>
      <c r="GA10" s="178">
        <v>3869.3339999999998</v>
      </c>
      <c r="GB10" s="178">
        <v>3871.53</v>
      </c>
      <c r="GC10" s="178">
        <v>3872.93</v>
      </c>
      <c r="GD10" s="178">
        <v>3876.1179999999999</v>
      </c>
      <c r="GE10" s="178">
        <v>3878.569</v>
      </c>
      <c r="GF10" s="178">
        <v>3883.7689999999998</v>
      </c>
      <c r="GG10" s="178">
        <v>3885.5189999999998</v>
      </c>
      <c r="GH10" s="178">
        <v>3887.6689999999999</v>
      </c>
      <c r="GI10" s="178">
        <v>3890.4690000000001</v>
      </c>
      <c r="GJ10" s="178">
        <v>3891.9690000000001</v>
      </c>
      <c r="GK10" s="180">
        <v>3894.8690000000001</v>
      </c>
      <c r="GL10" s="178">
        <v>3895.7190000000001</v>
      </c>
      <c r="GM10" s="178">
        <v>3896.819</v>
      </c>
      <c r="GN10" s="178">
        <v>3898.4189999999999</v>
      </c>
    </row>
    <row r="11" spans="1:196" s="1" customFormat="1" ht="20.149999999999999" customHeight="1" x14ac:dyDescent="0.35">
      <c r="A11" s="31" t="s">
        <v>1624</v>
      </c>
      <c r="B11" s="45">
        <v>0</v>
      </c>
      <c r="C11" s="45">
        <v>0</v>
      </c>
      <c r="D11" s="45">
        <v>0</v>
      </c>
      <c r="E11" s="45">
        <v>0</v>
      </c>
      <c r="F11" s="45">
        <v>0</v>
      </c>
      <c r="G11" s="45">
        <v>0</v>
      </c>
      <c r="H11" s="45">
        <v>0</v>
      </c>
      <c r="I11" s="45">
        <v>0</v>
      </c>
      <c r="J11" s="45">
        <v>0</v>
      </c>
      <c r="K11" s="45">
        <v>0</v>
      </c>
      <c r="L11" s="45">
        <v>0</v>
      </c>
      <c r="M11" s="49">
        <v>0</v>
      </c>
      <c r="N11" s="50">
        <v>0</v>
      </c>
      <c r="O11" s="45">
        <v>0</v>
      </c>
      <c r="P11" s="45">
        <v>0</v>
      </c>
      <c r="Q11" s="45">
        <v>0</v>
      </c>
      <c r="R11" s="45">
        <v>0</v>
      </c>
      <c r="S11" s="45">
        <v>0</v>
      </c>
      <c r="T11" s="45">
        <v>0</v>
      </c>
      <c r="U11" s="45">
        <v>0</v>
      </c>
      <c r="V11" s="45">
        <v>0</v>
      </c>
      <c r="W11" s="45">
        <v>0</v>
      </c>
      <c r="X11" s="45">
        <v>0</v>
      </c>
      <c r="Y11" s="49">
        <v>0</v>
      </c>
      <c r="Z11" s="50">
        <v>6</v>
      </c>
      <c r="AA11" s="45">
        <v>6</v>
      </c>
      <c r="AB11" s="45">
        <v>6</v>
      </c>
      <c r="AC11" s="45">
        <v>6</v>
      </c>
      <c r="AD11" s="45">
        <v>6</v>
      </c>
      <c r="AE11" s="45">
        <v>6</v>
      </c>
      <c r="AF11" s="45">
        <v>6</v>
      </c>
      <c r="AG11" s="45">
        <v>6</v>
      </c>
      <c r="AH11" s="45">
        <v>6</v>
      </c>
      <c r="AI11" s="45">
        <v>6</v>
      </c>
      <c r="AJ11" s="45">
        <v>6</v>
      </c>
      <c r="AK11" s="49">
        <v>6</v>
      </c>
      <c r="AL11" s="50">
        <v>6</v>
      </c>
      <c r="AM11" s="45">
        <v>45.012</v>
      </c>
      <c r="AN11" s="45">
        <v>272.49900000000002</v>
      </c>
      <c r="AO11" s="45">
        <v>272.49900000000002</v>
      </c>
      <c r="AP11" s="45">
        <v>296.28300000000002</v>
      </c>
      <c r="AQ11" s="45">
        <v>349.51299999999998</v>
      </c>
      <c r="AR11" s="45">
        <v>349.51299999999998</v>
      </c>
      <c r="AS11" s="45">
        <v>368.68799999999999</v>
      </c>
      <c r="AT11" s="45">
        <v>368.68799999999999</v>
      </c>
      <c r="AU11" s="45">
        <v>368.68799999999999</v>
      </c>
      <c r="AV11" s="45">
        <v>423.68799999999999</v>
      </c>
      <c r="AW11" s="49">
        <v>445.23200000000003</v>
      </c>
      <c r="AX11" s="45">
        <v>522.36</v>
      </c>
      <c r="AY11" s="45">
        <v>554.51599999999996</v>
      </c>
      <c r="AZ11" s="45">
        <v>1400.913</v>
      </c>
      <c r="BA11" s="45">
        <v>1409.904</v>
      </c>
      <c r="BB11" s="45">
        <v>1460.3620000000001</v>
      </c>
      <c r="BC11" s="45">
        <v>1515.2339999999999</v>
      </c>
      <c r="BD11" s="45">
        <v>1588.1410000000001</v>
      </c>
      <c r="BE11" s="45">
        <v>1594.2139999999999</v>
      </c>
      <c r="BF11" s="45">
        <v>1661.1849999999999</v>
      </c>
      <c r="BG11" s="45">
        <v>1701.164</v>
      </c>
      <c r="BH11" s="45">
        <v>1774.3140000000001</v>
      </c>
      <c r="BI11" s="49">
        <v>1893.9839999999999</v>
      </c>
      <c r="BJ11" s="45">
        <v>1953.204</v>
      </c>
      <c r="BK11" s="45">
        <v>2058.9949999999999</v>
      </c>
      <c r="BL11" s="45">
        <v>3562.9409999999998</v>
      </c>
      <c r="BM11" s="45">
        <v>3562.9409999999998</v>
      </c>
      <c r="BN11" s="45">
        <v>3562.9409999999998</v>
      </c>
      <c r="BO11" s="45">
        <v>3568.5610000000001</v>
      </c>
      <c r="BP11" s="45">
        <v>3579.6120000000001</v>
      </c>
      <c r="BQ11" s="45">
        <v>3613.9259999999999</v>
      </c>
      <c r="BR11" s="45">
        <v>3613.9259999999999</v>
      </c>
      <c r="BS11" s="45">
        <v>3644.4180000000001</v>
      </c>
      <c r="BT11" s="45">
        <v>3686.7640000000001</v>
      </c>
      <c r="BU11" s="49">
        <v>3741.6669999999999</v>
      </c>
      <c r="BV11" s="45">
        <v>3768.7379999999998</v>
      </c>
      <c r="BW11" s="45">
        <v>3801.6080000000002</v>
      </c>
      <c r="BX11" s="45">
        <v>4031.6930000000002</v>
      </c>
      <c r="BY11" s="45">
        <v>4042.3130000000001</v>
      </c>
      <c r="BZ11" s="45">
        <v>4042.3130000000001</v>
      </c>
      <c r="CA11" s="45">
        <v>4094.1529999999998</v>
      </c>
      <c r="CB11" s="45">
        <v>4108.7529999999997</v>
      </c>
      <c r="CC11" s="45">
        <v>4128.1530000000002</v>
      </c>
      <c r="CD11" s="45">
        <v>4128.1530000000002</v>
      </c>
      <c r="CE11" s="45">
        <v>4133.1530000000002</v>
      </c>
      <c r="CF11" s="45">
        <v>4133.1530000000002</v>
      </c>
      <c r="CG11" s="49">
        <v>4158.1530000000002</v>
      </c>
      <c r="CH11" s="45">
        <v>4180.1530000000002</v>
      </c>
      <c r="CI11" s="45">
        <v>4185.1530000000002</v>
      </c>
      <c r="CJ11" s="45">
        <v>4284.7929999999997</v>
      </c>
      <c r="CK11" s="45">
        <v>4284.7929999999997</v>
      </c>
      <c r="CL11" s="45">
        <v>4284.7929999999997</v>
      </c>
      <c r="CM11" s="45">
        <v>4284.7929999999997</v>
      </c>
      <c r="CN11" s="45">
        <v>4293.3329999999996</v>
      </c>
      <c r="CO11" s="45">
        <v>4293.3329999999996</v>
      </c>
      <c r="CP11" s="45">
        <v>4293.3329999999996</v>
      </c>
      <c r="CQ11" s="45">
        <v>4304.0330000000004</v>
      </c>
      <c r="CR11" s="45">
        <v>4304.0330000000004</v>
      </c>
      <c r="CS11" s="49">
        <v>4304.0330000000004</v>
      </c>
      <c r="CT11" s="45">
        <v>4304.0330000000004</v>
      </c>
      <c r="CU11" s="45">
        <v>4304.0330000000004</v>
      </c>
      <c r="CV11" s="45">
        <v>4304.0330000000004</v>
      </c>
      <c r="CW11" s="45">
        <v>4304.0330000000004</v>
      </c>
      <c r="CX11" s="45">
        <v>4304.0330000000004</v>
      </c>
      <c r="CY11" s="45">
        <v>4304.0330000000004</v>
      </c>
      <c r="CZ11" s="45">
        <v>4304.0330000000004</v>
      </c>
      <c r="DA11" s="45">
        <v>4304.0330000000004</v>
      </c>
      <c r="DB11" s="45">
        <v>4304.0330000000004</v>
      </c>
      <c r="DC11" s="45">
        <v>4311.5330000000004</v>
      </c>
      <c r="DD11" s="45">
        <v>4311.5330000000004</v>
      </c>
      <c r="DE11" s="49">
        <v>4316.5330000000004</v>
      </c>
      <c r="DF11" s="45">
        <v>4331.183</v>
      </c>
      <c r="DG11" s="45">
        <v>4331.183</v>
      </c>
      <c r="DH11" s="45">
        <v>4331.183</v>
      </c>
      <c r="DI11" s="45">
        <v>4331.183</v>
      </c>
      <c r="DJ11" s="45">
        <v>4331.183</v>
      </c>
      <c r="DK11" s="45">
        <v>4331.183</v>
      </c>
      <c r="DL11" s="45">
        <v>4338.3829999999998</v>
      </c>
      <c r="DM11" s="45">
        <v>4338.3829999999998</v>
      </c>
      <c r="DN11" s="45">
        <v>4347.5829999999996</v>
      </c>
      <c r="DO11" s="45">
        <v>4347.5829999999996</v>
      </c>
      <c r="DP11" s="45">
        <v>4347.5829999999996</v>
      </c>
      <c r="DQ11" s="49">
        <v>4347.5829999999996</v>
      </c>
      <c r="DR11" s="45">
        <v>4366.8909999999996</v>
      </c>
      <c r="DS11" s="45">
        <v>4371.8909999999996</v>
      </c>
      <c r="DT11" s="45">
        <v>4371.8909999999996</v>
      </c>
      <c r="DU11" s="45">
        <v>4371.8909999999996</v>
      </c>
      <c r="DV11" s="45">
        <v>4380.7910000000002</v>
      </c>
      <c r="DW11" s="45">
        <v>4380.7910000000002</v>
      </c>
      <c r="DX11" s="45">
        <v>4380.7910000000002</v>
      </c>
      <c r="DY11" s="45">
        <v>4385.7910000000002</v>
      </c>
      <c r="DZ11" s="45">
        <v>4385.7910000000002</v>
      </c>
      <c r="EA11" s="45">
        <v>4385.7910000000002</v>
      </c>
      <c r="EB11" s="45">
        <v>4385.7910000000002</v>
      </c>
      <c r="EC11" s="49">
        <v>4397.8159999999998</v>
      </c>
      <c r="ED11" s="45">
        <v>4405.8159999999998</v>
      </c>
      <c r="EE11" s="45">
        <v>4405.8159999999998</v>
      </c>
      <c r="EF11" s="45">
        <v>4413.8159999999998</v>
      </c>
      <c r="EG11" s="45">
        <v>4413.8159999999998</v>
      </c>
      <c r="EH11" s="45">
        <v>4420.8159999999998</v>
      </c>
      <c r="EI11" s="45">
        <v>4434.8159999999998</v>
      </c>
      <c r="EJ11" s="45">
        <v>4434.8159999999998</v>
      </c>
      <c r="EK11" s="45">
        <v>4434.8159999999998</v>
      </c>
      <c r="EL11" s="45">
        <v>4434.8159999999998</v>
      </c>
      <c r="EM11" s="45">
        <v>4434.8159999999998</v>
      </c>
      <c r="EN11" s="45">
        <v>4434.8159999999998</v>
      </c>
      <c r="EO11" s="82">
        <v>4434.8159999999998</v>
      </c>
      <c r="EP11" s="45">
        <v>4477.4430000000002</v>
      </c>
      <c r="EQ11" s="45">
        <v>4477.4430000000002</v>
      </c>
      <c r="ER11" s="45">
        <v>4482.4430000000002</v>
      </c>
      <c r="ES11" s="45">
        <v>4482.4430000000002</v>
      </c>
      <c r="ET11" s="45">
        <v>4482.4430000000002</v>
      </c>
      <c r="EU11" s="45">
        <v>4482.4430000000002</v>
      </c>
      <c r="EV11" s="45">
        <v>4497.6130000000003</v>
      </c>
      <c r="EW11" s="45">
        <v>4497.6130000000003</v>
      </c>
      <c r="EX11" s="45">
        <v>4520.6130000000003</v>
      </c>
      <c r="EY11" s="45">
        <v>4520.6130000000003</v>
      </c>
      <c r="EZ11" s="45">
        <v>4520.6130000000003</v>
      </c>
      <c r="FA11" s="82">
        <v>4529.643</v>
      </c>
      <c r="FB11" s="45">
        <v>4566.643</v>
      </c>
      <c r="FC11" s="45">
        <v>4576.5429999999997</v>
      </c>
      <c r="FD11" s="45">
        <v>4597.0929999999998</v>
      </c>
      <c r="FE11" s="45">
        <v>4602.0929999999998</v>
      </c>
      <c r="FF11" s="45">
        <v>4602.0929999999998</v>
      </c>
      <c r="FG11" s="45">
        <v>4602.0929999999998</v>
      </c>
      <c r="FH11" s="45">
        <v>4602.0929999999998</v>
      </c>
      <c r="FI11" s="45">
        <v>4602.0929999999998</v>
      </c>
      <c r="FJ11" s="45">
        <v>4611.7830000000004</v>
      </c>
      <c r="FK11" s="155">
        <v>4668.933</v>
      </c>
      <c r="FL11" s="155">
        <v>4688.933</v>
      </c>
      <c r="FM11" s="155">
        <v>4688.933</v>
      </c>
      <c r="FN11" s="69">
        <v>4740.7079999999996</v>
      </c>
      <c r="FO11" s="155">
        <v>4740.7079999999996</v>
      </c>
      <c r="FP11" s="155">
        <v>4810.3419999999996</v>
      </c>
      <c r="FQ11" s="155">
        <v>4866.5919999999996</v>
      </c>
      <c r="FR11" s="67">
        <v>4866.5919999999996</v>
      </c>
      <c r="FS11" s="67">
        <v>4909.982</v>
      </c>
      <c r="FT11" s="67">
        <v>4909.982</v>
      </c>
      <c r="FU11" s="178">
        <v>4909.982</v>
      </c>
      <c r="FV11" s="178">
        <v>4909.982</v>
      </c>
      <c r="FW11" s="178">
        <v>4933.2139999999999</v>
      </c>
      <c r="FX11" s="178">
        <v>4933.2139999999999</v>
      </c>
      <c r="FY11" s="180">
        <v>4943.2139999999999</v>
      </c>
      <c r="FZ11" s="178">
        <v>4989.12</v>
      </c>
      <c r="GA11" s="178">
        <v>4999.12</v>
      </c>
      <c r="GB11" s="178">
        <v>4999.12</v>
      </c>
      <c r="GC11" s="178">
        <v>4999.12</v>
      </c>
      <c r="GD11" s="178">
        <v>4999.12</v>
      </c>
      <c r="GE11" s="178">
        <v>5041.12</v>
      </c>
      <c r="GF11" s="178">
        <v>5041.12</v>
      </c>
      <c r="GG11" s="178">
        <v>5059.12</v>
      </c>
      <c r="GH11" s="178">
        <v>5059.12</v>
      </c>
      <c r="GI11" s="178">
        <v>5066.07</v>
      </c>
      <c r="GJ11" s="178">
        <v>5066.07</v>
      </c>
      <c r="GK11" s="180">
        <v>5066.07</v>
      </c>
      <c r="GL11" s="178">
        <v>5066.07</v>
      </c>
      <c r="GM11" s="178">
        <v>5066.07</v>
      </c>
      <c r="GN11" s="178">
        <v>5066.07</v>
      </c>
    </row>
    <row r="12" spans="1:196" s="1" customFormat="1" ht="20.149999999999999" customHeight="1" x14ac:dyDescent="0.4">
      <c r="A12" s="31" t="s">
        <v>1628</v>
      </c>
      <c r="B12" s="46">
        <v>0</v>
      </c>
      <c r="C12" s="46">
        <v>0</v>
      </c>
      <c r="D12" s="46">
        <v>0</v>
      </c>
      <c r="E12" s="46">
        <v>0</v>
      </c>
      <c r="F12" s="46">
        <v>0</v>
      </c>
      <c r="G12" s="46">
        <v>0</v>
      </c>
      <c r="H12" s="46">
        <v>0</v>
      </c>
      <c r="I12" s="46">
        <v>0</v>
      </c>
      <c r="J12" s="46">
        <v>0</v>
      </c>
      <c r="K12" s="46">
        <v>0</v>
      </c>
      <c r="L12" s="46">
        <v>0</v>
      </c>
      <c r="M12" s="48">
        <v>0</v>
      </c>
      <c r="N12" s="47">
        <v>0</v>
      </c>
      <c r="O12" s="46">
        <v>0</v>
      </c>
      <c r="P12" s="46">
        <v>0</v>
      </c>
      <c r="Q12" s="46">
        <v>0</v>
      </c>
      <c r="R12" s="46">
        <v>0</v>
      </c>
      <c r="S12" s="46">
        <v>0</v>
      </c>
      <c r="T12" s="46">
        <v>0</v>
      </c>
      <c r="U12" s="46">
        <v>0</v>
      </c>
      <c r="V12" s="46">
        <v>0</v>
      </c>
      <c r="W12" s="46">
        <v>0</v>
      </c>
      <c r="X12" s="46">
        <v>0</v>
      </c>
      <c r="Y12" s="48">
        <v>0</v>
      </c>
      <c r="Z12" s="47">
        <v>0</v>
      </c>
      <c r="AA12" s="46">
        <v>0</v>
      </c>
      <c r="AB12" s="46">
        <v>0</v>
      </c>
      <c r="AC12" s="46">
        <v>0</v>
      </c>
      <c r="AD12" s="46">
        <v>0</v>
      </c>
      <c r="AE12" s="46">
        <v>0</v>
      </c>
      <c r="AF12" s="46">
        <v>0</v>
      </c>
      <c r="AG12" s="46">
        <v>0</v>
      </c>
      <c r="AH12" s="46">
        <v>0</v>
      </c>
      <c r="AI12" s="46">
        <v>0</v>
      </c>
      <c r="AJ12" s="46">
        <v>0</v>
      </c>
      <c r="AK12" s="48">
        <v>0</v>
      </c>
      <c r="AL12" s="47">
        <v>0</v>
      </c>
      <c r="AM12" s="46">
        <v>0</v>
      </c>
      <c r="AN12" s="46">
        <v>34.47</v>
      </c>
      <c r="AO12" s="46">
        <v>34.47</v>
      </c>
      <c r="AP12" s="46">
        <v>34.47</v>
      </c>
      <c r="AQ12" s="46">
        <v>34.47</v>
      </c>
      <c r="AR12" s="46">
        <v>34.47</v>
      </c>
      <c r="AS12" s="46">
        <v>34.47</v>
      </c>
      <c r="AT12" s="46">
        <v>34.47</v>
      </c>
      <c r="AU12" s="46">
        <v>34.47</v>
      </c>
      <c r="AV12" s="46">
        <v>34.47</v>
      </c>
      <c r="AW12" s="48">
        <v>34.47</v>
      </c>
      <c r="AX12" s="46">
        <v>34.47</v>
      </c>
      <c r="AY12" s="46">
        <v>66.171000000000006</v>
      </c>
      <c r="AZ12" s="46">
        <v>97.760999999999996</v>
      </c>
      <c r="BA12" s="46">
        <v>129.77099999999999</v>
      </c>
      <c r="BB12" s="46">
        <v>129.77099999999999</v>
      </c>
      <c r="BC12" s="46">
        <v>129.77099999999999</v>
      </c>
      <c r="BD12" s="46">
        <v>162.221</v>
      </c>
      <c r="BE12" s="46">
        <v>162.221</v>
      </c>
      <c r="BF12" s="46">
        <v>236.06399999999999</v>
      </c>
      <c r="BG12" s="46">
        <v>296.745</v>
      </c>
      <c r="BH12" s="46">
        <v>296.745</v>
      </c>
      <c r="BI12" s="48">
        <v>383.32100000000003</v>
      </c>
      <c r="BJ12" s="46">
        <v>383.32100000000003</v>
      </c>
      <c r="BK12" s="46">
        <v>383.32100000000003</v>
      </c>
      <c r="BL12" s="46">
        <v>1064.317</v>
      </c>
      <c r="BM12" s="46">
        <v>1064.317</v>
      </c>
      <c r="BN12" s="46">
        <v>1064.317</v>
      </c>
      <c r="BO12" s="46">
        <v>1064.317</v>
      </c>
      <c r="BP12" s="46">
        <v>1064.317</v>
      </c>
      <c r="BQ12" s="46">
        <v>1064.317</v>
      </c>
      <c r="BR12" s="46">
        <v>1064.317</v>
      </c>
      <c r="BS12" s="46">
        <v>1064.317</v>
      </c>
      <c r="BT12" s="46">
        <v>1064.317</v>
      </c>
      <c r="BU12" s="48">
        <v>1064.317</v>
      </c>
      <c r="BV12" s="46">
        <v>1102.317</v>
      </c>
      <c r="BW12" s="46">
        <v>1102.317</v>
      </c>
      <c r="BX12" s="46">
        <v>1507.117</v>
      </c>
      <c r="BY12" s="46">
        <v>1507.117</v>
      </c>
      <c r="BZ12" s="46">
        <v>1507.117</v>
      </c>
      <c r="CA12" s="46">
        <v>1507.117</v>
      </c>
      <c r="CB12" s="46">
        <v>1507.117</v>
      </c>
      <c r="CC12" s="46">
        <v>1507.117</v>
      </c>
      <c r="CD12" s="46">
        <v>1507.117</v>
      </c>
      <c r="CE12" s="46">
        <v>1507.117</v>
      </c>
      <c r="CF12" s="46">
        <v>1507.117</v>
      </c>
      <c r="CG12" s="48">
        <v>1507.117</v>
      </c>
      <c r="CH12" s="45">
        <v>1507.117</v>
      </c>
      <c r="CI12" s="45">
        <v>1507.117</v>
      </c>
      <c r="CJ12" s="45">
        <v>1507.117</v>
      </c>
      <c r="CK12" s="45">
        <v>1507.117</v>
      </c>
      <c r="CL12" s="45">
        <v>1507.117</v>
      </c>
      <c r="CM12" s="45">
        <v>1507.117</v>
      </c>
      <c r="CN12" s="45">
        <v>1507.117</v>
      </c>
      <c r="CO12" s="45">
        <v>1507.117</v>
      </c>
      <c r="CP12" s="45">
        <v>1507.117</v>
      </c>
      <c r="CQ12" s="45">
        <v>1507.117</v>
      </c>
      <c r="CR12" s="45">
        <v>1507.117</v>
      </c>
      <c r="CS12" s="49">
        <v>1507.117</v>
      </c>
      <c r="CT12" s="45">
        <v>1507.117</v>
      </c>
      <c r="CU12" s="45">
        <v>1507.117</v>
      </c>
      <c r="CV12" s="45">
        <v>1507.117</v>
      </c>
      <c r="CW12" s="45">
        <v>1507.117</v>
      </c>
      <c r="CX12" s="45">
        <v>1507.117</v>
      </c>
      <c r="CY12" s="45">
        <v>1507.117</v>
      </c>
      <c r="CZ12" s="45">
        <v>1507.117</v>
      </c>
      <c r="DA12" s="45">
        <v>1507.117</v>
      </c>
      <c r="DB12" s="45">
        <v>1507.117</v>
      </c>
      <c r="DC12" s="45">
        <v>1507.117</v>
      </c>
      <c r="DD12" s="46">
        <v>1507.117</v>
      </c>
      <c r="DE12" s="48">
        <v>1507.117</v>
      </c>
      <c r="DF12" s="45">
        <v>1557.105</v>
      </c>
      <c r="DG12" s="45">
        <v>1557.105</v>
      </c>
      <c r="DH12" s="46">
        <v>1557.105</v>
      </c>
      <c r="DI12" s="45">
        <v>1557.105</v>
      </c>
      <c r="DJ12" s="45">
        <v>1557.105</v>
      </c>
      <c r="DK12" s="45">
        <v>1557.105</v>
      </c>
      <c r="DL12" s="46">
        <v>1557.105</v>
      </c>
      <c r="DM12" s="45">
        <v>1557.105</v>
      </c>
      <c r="DN12" s="45">
        <v>1557.105</v>
      </c>
      <c r="DO12" s="45">
        <v>1557.105</v>
      </c>
      <c r="DP12" s="45">
        <v>1557.105</v>
      </c>
      <c r="DQ12" s="48">
        <v>1591.8050000000001</v>
      </c>
      <c r="DR12" s="45">
        <v>1591.8050000000001</v>
      </c>
      <c r="DS12" s="45">
        <v>1591.8050000000001</v>
      </c>
      <c r="DT12" s="45">
        <v>1591.8050000000001</v>
      </c>
      <c r="DU12" s="45">
        <v>1591.8050000000001</v>
      </c>
      <c r="DV12" s="45">
        <v>1591.8050000000001</v>
      </c>
      <c r="DW12" s="45">
        <v>1591.8050000000001</v>
      </c>
      <c r="DX12" s="45">
        <v>1591.8050000000001</v>
      </c>
      <c r="DY12" s="45">
        <v>1635.0250000000001</v>
      </c>
      <c r="DZ12" s="45">
        <v>1635.0250000000001</v>
      </c>
      <c r="EA12" s="45">
        <v>1635.0250000000001</v>
      </c>
      <c r="EB12" s="45">
        <v>1635.0250000000001</v>
      </c>
      <c r="EC12" s="49">
        <v>1635.0250000000001</v>
      </c>
      <c r="ED12" s="45">
        <v>1685.0250000000001</v>
      </c>
      <c r="EE12" s="45">
        <v>1685.0250000000001</v>
      </c>
      <c r="EF12" s="45">
        <v>1809.925</v>
      </c>
      <c r="EG12" s="45">
        <v>1859.825</v>
      </c>
      <c r="EH12" s="45">
        <v>1859.825</v>
      </c>
      <c r="EI12" s="45">
        <v>1859.825</v>
      </c>
      <c r="EJ12" s="45">
        <v>1859.825</v>
      </c>
      <c r="EK12" s="45">
        <v>1859.825</v>
      </c>
      <c r="EL12" s="45">
        <v>1859.825</v>
      </c>
      <c r="EM12" s="45">
        <v>1884.825</v>
      </c>
      <c r="EN12" s="45">
        <v>1884.825</v>
      </c>
      <c r="EO12" s="82">
        <v>1884.825</v>
      </c>
      <c r="EP12" s="45">
        <v>1884.825</v>
      </c>
      <c r="EQ12" s="45">
        <v>1884.825</v>
      </c>
      <c r="ER12" s="45">
        <v>1884.825</v>
      </c>
      <c r="ES12" s="45">
        <v>1916.825</v>
      </c>
      <c r="ET12" s="45">
        <v>1916.825</v>
      </c>
      <c r="EU12" s="45">
        <v>1916.825</v>
      </c>
      <c r="EV12" s="45">
        <v>1916.825</v>
      </c>
      <c r="EW12" s="45">
        <v>1916.825</v>
      </c>
      <c r="EX12" s="45">
        <v>1916.825</v>
      </c>
      <c r="EY12" s="45">
        <v>1916.825</v>
      </c>
      <c r="EZ12" s="45">
        <v>1916.825</v>
      </c>
      <c r="FA12" s="82">
        <v>1956.825</v>
      </c>
      <c r="FB12" s="45">
        <v>1981.825</v>
      </c>
      <c r="FC12" s="45">
        <v>2007.825</v>
      </c>
      <c r="FD12" s="45">
        <v>2107.7249999999999</v>
      </c>
      <c r="FE12" s="45">
        <v>2107.7249999999999</v>
      </c>
      <c r="FF12" s="45">
        <v>2107.7249999999999</v>
      </c>
      <c r="FG12" s="45">
        <v>2107.7249999999999</v>
      </c>
      <c r="FH12" s="45">
        <v>2107.7249999999999</v>
      </c>
      <c r="FI12" s="45">
        <v>2107.7249999999999</v>
      </c>
      <c r="FJ12" s="45">
        <v>2157.625</v>
      </c>
      <c r="FK12" s="155">
        <v>2157.625</v>
      </c>
      <c r="FL12" s="155">
        <v>2157.625</v>
      </c>
      <c r="FM12" s="155">
        <v>2157.625</v>
      </c>
      <c r="FN12" s="69">
        <v>2445.3240000000001</v>
      </c>
      <c r="FO12" s="155">
        <v>2521.2240000000002</v>
      </c>
      <c r="FP12" s="155">
        <v>2592.0239999999999</v>
      </c>
      <c r="FQ12" s="155">
        <v>2687.9639999999999</v>
      </c>
      <c r="FR12" s="155">
        <v>2787.7640000000001</v>
      </c>
      <c r="FS12" s="155">
        <v>2882.7640000000001</v>
      </c>
      <c r="FT12" s="155">
        <v>2939.2139999999999</v>
      </c>
      <c r="FU12" s="178">
        <v>2939.2139999999999</v>
      </c>
      <c r="FV12" s="178">
        <v>2939.2139999999999</v>
      </c>
      <c r="FW12" s="178">
        <v>3191.114</v>
      </c>
      <c r="FX12" s="178">
        <v>3241.0140000000001</v>
      </c>
      <c r="FY12" s="180">
        <v>3276.0140000000001</v>
      </c>
      <c r="FZ12" s="178">
        <v>3489.674</v>
      </c>
      <c r="GA12" s="178">
        <v>3552.674</v>
      </c>
      <c r="GB12" s="178">
        <v>3702.3739999999998</v>
      </c>
      <c r="GC12" s="178">
        <v>3802.2739999999999</v>
      </c>
      <c r="GD12" s="178">
        <v>3902.1640000000002</v>
      </c>
      <c r="GE12" s="178">
        <v>3992.0639999999999</v>
      </c>
      <c r="GF12" s="178">
        <v>4449.9639999999999</v>
      </c>
      <c r="GG12" s="178">
        <v>4527.8639999999996</v>
      </c>
      <c r="GH12" s="178">
        <v>4595.5640000000003</v>
      </c>
      <c r="GI12" s="178">
        <v>4690.5640000000003</v>
      </c>
      <c r="GJ12" s="178">
        <v>4690.5640000000003</v>
      </c>
      <c r="GK12" s="180">
        <v>4690.5640000000003</v>
      </c>
      <c r="GL12" s="178">
        <v>4735.5640000000003</v>
      </c>
      <c r="GM12" s="178">
        <v>4735.5640000000003</v>
      </c>
      <c r="GN12" s="178">
        <v>4735.5640000000003</v>
      </c>
    </row>
    <row r="13" spans="1:196" s="25" customFormat="1" ht="20.149999999999999" customHeight="1" thickBot="1" x14ac:dyDescent="0.4">
      <c r="A13" s="32" t="s">
        <v>267</v>
      </c>
      <c r="B13" s="51">
        <f>SUM(B7:B12)</f>
        <v>14.225999999999999</v>
      </c>
      <c r="C13" s="52">
        <f t="shared" ref="C13:BN13" si="0">SUM(C7:C12)</f>
        <v>15.641999999999999</v>
      </c>
      <c r="D13" s="52">
        <f t="shared" si="0"/>
        <v>18.135999999999999</v>
      </c>
      <c r="E13" s="52">
        <f t="shared" si="0"/>
        <v>20.780999999999999</v>
      </c>
      <c r="F13" s="52">
        <f t="shared" si="0"/>
        <v>25.078999999999997</v>
      </c>
      <c r="G13" s="52">
        <f t="shared" si="0"/>
        <v>30.692</v>
      </c>
      <c r="H13" s="52">
        <f t="shared" si="0"/>
        <v>36.567999999999998</v>
      </c>
      <c r="I13" s="52">
        <f t="shared" si="0"/>
        <v>42.388999999999996</v>
      </c>
      <c r="J13" s="52">
        <f t="shared" si="0"/>
        <v>49.910999999999994</v>
      </c>
      <c r="K13" s="52">
        <f t="shared" si="0"/>
        <v>59.347000000000001</v>
      </c>
      <c r="L13" s="52">
        <f t="shared" si="0"/>
        <v>69.789000000000001</v>
      </c>
      <c r="M13" s="52">
        <f t="shared" si="0"/>
        <v>77.780000000000015</v>
      </c>
      <c r="N13" s="51">
        <f t="shared" si="0"/>
        <v>88.988</v>
      </c>
      <c r="O13" s="52">
        <f t="shared" si="0"/>
        <v>102.46000000000001</v>
      </c>
      <c r="P13" s="52">
        <f t="shared" si="0"/>
        <v>122.36600000000001</v>
      </c>
      <c r="Q13" s="52">
        <f t="shared" si="0"/>
        <v>146.792</v>
      </c>
      <c r="R13" s="52">
        <f t="shared" si="0"/>
        <v>170.43299999999999</v>
      </c>
      <c r="S13" s="52">
        <f t="shared" si="0"/>
        <v>204.38299999999998</v>
      </c>
      <c r="T13" s="52">
        <f t="shared" si="0"/>
        <v>362.21000000000004</v>
      </c>
      <c r="U13" s="52">
        <f t="shared" si="0"/>
        <v>408.14400000000001</v>
      </c>
      <c r="V13" s="52">
        <f t="shared" si="0"/>
        <v>480.05500000000001</v>
      </c>
      <c r="W13" s="52">
        <f t="shared" si="0"/>
        <v>601.59199999999998</v>
      </c>
      <c r="X13" s="52">
        <f t="shared" si="0"/>
        <v>800.08899999999994</v>
      </c>
      <c r="Y13" s="52">
        <f t="shared" si="0"/>
        <v>993.64699999999993</v>
      </c>
      <c r="Z13" s="51">
        <f t="shared" si="0"/>
        <v>1024.0569999999998</v>
      </c>
      <c r="AA13" s="52">
        <f t="shared" si="0"/>
        <v>1198.5990000000002</v>
      </c>
      <c r="AB13" s="52">
        <f t="shared" si="0"/>
        <v>1310.6969999999999</v>
      </c>
      <c r="AC13" s="52">
        <f t="shared" si="0"/>
        <v>1327.998</v>
      </c>
      <c r="AD13" s="52">
        <f t="shared" si="0"/>
        <v>1364.19</v>
      </c>
      <c r="AE13" s="52">
        <f t="shared" si="0"/>
        <v>1429.4159999999999</v>
      </c>
      <c r="AF13" s="52">
        <f t="shared" si="0"/>
        <v>1625.165</v>
      </c>
      <c r="AG13" s="52">
        <f t="shared" si="0"/>
        <v>1640.201</v>
      </c>
      <c r="AH13" s="52">
        <f t="shared" si="0"/>
        <v>1659.127</v>
      </c>
      <c r="AI13" s="52">
        <f t="shared" si="0"/>
        <v>1703.5139999999999</v>
      </c>
      <c r="AJ13" s="52">
        <f t="shared" si="0"/>
        <v>1731.8679999999999</v>
      </c>
      <c r="AK13" s="53">
        <f t="shared" si="0"/>
        <v>1754.402</v>
      </c>
      <c r="AL13" s="52">
        <f t="shared" si="0"/>
        <v>1782.9739999999999</v>
      </c>
      <c r="AM13" s="52">
        <f t="shared" si="0"/>
        <v>1853.2269999999999</v>
      </c>
      <c r="AN13" s="52">
        <f t="shared" si="0"/>
        <v>2250.3420000000001</v>
      </c>
      <c r="AO13" s="52">
        <f t="shared" si="0"/>
        <v>2311.547</v>
      </c>
      <c r="AP13" s="52">
        <f t="shared" si="0"/>
        <v>2381.2969999999996</v>
      </c>
      <c r="AQ13" s="52">
        <f t="shared" si="0"/>
        <v>2509.181</v>
      </c>
      <c r="AR13" s="52">
        <f t="shared" si="0"/>
        <v>2548.4479999999999</v>
      </c>
      <c r="AS13" s="52">
        <f t="shared" si="0"/>
        <v>2615.152</v>
      </c>
      <c r="AT13" s="52">
        <f t="shared" si="0"/>
        <v>2658.4249999999997</v>
      </c>
      <c r="AU13" s="52">
        <f t="shared" si="0"/>
        <v>2704.7159999999999</v>
      </c>
      <c r="AV13" s="52">
        <f t="shared" si="0"/>
        <v>2806.279</v>
      </c>
      <c r="AW13" s="54">
        <f t="shared" si="0"/>
        <v>2876.9759999999997</v>
      </c>
      <c r="AX13" s="52">
        <f t="shared" si="0"/>
        <v>2999.6149999999998</v>
      </c>
      <c r="AY13" s="52">
        <f t="shared" si="0"/>
        <v>3116.8270000000002</v>
      </c>
      <c r="AZ13" s="52">
        <f t="shared" si="0"/>
        <v>4157.1950000000006</v>
      </c>
      <c r="BA13" s="52">
        <f t="shared" si="0"/>
        <v>4242.3019999999997</v>
      </c>
      <c r="BB13" s="52">
        <f t="shared" si="0"/>
        <v>4343.88</v>
      </c>
      <c r="BC13" s="52">
        <f t="shared" si="0"/>
        <v>4477.8059999999996</v>
      </c>
      <c r="BD13" s="52">
        <f t="shared" si="0"/>
        <v>4643.5740000000005</v>
      </c>
      <c r="BE13" s="52">
        <f t="shared" si="0"/>
        <v>4705.375</v>
      </c>
      <c r="BF13" s="52">
        <f t="shared" si="0"/>
        <v>4910.116</v>
      </c>
      <c r="BG13" s="52">
        <f t="shared" si="0"/>
        <v>5075.7960000000003</v>
      </c>
      <c r="BH13" s="52">
        <f t="shared" si="0"/>
        <v>5214.491</v>
      </c>
      <c r="BI13" s="54">
        <f t="shared" si="0"/>
        <v>5519.0460000000003</v>
      </c>
      <c r="BJ13" s="52">
        <f t="shared" si="0"/>
        <v>5616.7020000000002</v>
      </c>
      <c r="BK13" s="52">
        <f t="shared" si="0"/>
        <v>5778.8649999999998</v>
      </c>
      <c r="BL13" s="52">
        <f t="shared" si="0"/>
        <v>8146.2579999999998</v>
      </c>
      <c r="BM13" s="52">
        <f t="shared" si="0"/>
        <v>8195.6660000000011</v>
      </c>
      <c r="BN13" s="52">
        <f t="shared" si="0"/>
        <v>8260.25</v>
      </c>
      <c r="BO13" s="52">
        <f t="shared" ref="BO13:DZ13" si="1">SUM(BO7:BO12)</f>
        <v>8393.2740000000013</v>
      </c>
      <c r="BP13" s="52">
        <f t="shared" si="1"/>
        <v>8478.094000000001</v>
      </c>
      <c r="BQ13" s="52">
        <f t="shared" si="1"/>
        <v>8594.9320000000007</v>
      </c>
      <c r="BR13" s="52">
        <f t="shared" si="1"/>
        <v>8722.1369999999988</v>
      </c>
      <c r="BS13" s="52">
        <f t="shared" si="1"/>
        <v>8891.4680000000008</v>
      </c>
      <c r="BT13" s="52">
        <f t="shared" si="1"/>
        <v>9101.3889999999992</v>
      </c>
      <c r="BU13" s="54">
        <f t="shared" si="1"/>
        <v>9782.9889999999978</v>
      </c>
      <c r="BV13" s="52">
        <f t="shared" si="1"/>
        <v>9984.9170000000013</v>
      </c>
      <c r="BW13" s="52">
        <f t="shared" si="1"/>
        <v>10088.950000000001</v>
      </c>
      <c r="BX13" s="52">
        <f t="shared" si="1"/>
        <v>11255.745000000001</v>
      </c>
      <c r="BY13" s="52">
        <f t="shared" si="1"/>
        <v>11321.861999999999</v>
      </c>
      <c r="BZ13" s="52">
        <f t="shared" si="1"/>
        <v>11365.15</v>
      </c>
      <c r="CA13" s="52">
        <f t="shared" si="1"/>
        <v>11583.683999999999</v>
      </c>
      <c r="CB13" s="52">
        <f t="shared" si="1"/>
        <v>11624.371000000001</v>
      </c>
      <c r="CC13" s="52">
        <f t="shared" si="1"/>
        <v>11685.151</v>
      </c>
      <c r="CD13" s="52">
        <f t="shared" si="1"/>
        <v>11728.916000000001</v>
      </c>
      <c r="CE13" s="52">
        <f t="shared" si="1"/>
        <v>11769.36</v>
      </c>
      <c r="CF13" s="52">
        <f t="shared" si="1"/>
        <v>11811.239</v>
      </c>
      <c r="CG13" s="54">
        <f t="shared" si="1"/>
        <v>11887.571000000002</v>
      </c>
      <c r="CH13" s="52">
        <f t="shared" si="1"/>
        <v>11925.545</v>
      </c>
      <c r="CI13" s="52">
        <f t="shared" si="1"/>
        <v>11991.419</v>
      </c>
      <c r="CJ13" s="52">
        <f t="shared" si="1"/>
        <v>12468.005999999999</v>
      </c>
      <c r="CK13" s="52">
        <f t="shared" si="1"/>
        <v>12486.956</v>
      </c>
      <c r="CL13" s="52">
        <f t="shared" si="1"/>
        <v>12504.698</v>
      </c>
      <c r="CM13" s="52">
        <f t="shared" si="1"/>
        <v>12521.638000000001</v>
      </c>
      <c r="CN13" s="52">
        <f t="shared" si="1"/>
        <v>12550.32</v>
      </c>
      <c r="CO13" s="52">
        <f t="shared" si="1"/>
        <v>12567.655000000001</v>
      </c>
      <c r="CP13" s="52">
        <f t="shared" si="1"/>
        <v>12584.359999999999</v>
      </c>
      <c r="CQ13" s="52">
        <f t="shared" si="1"/>
        <v>12608.968000000001</v>
      </c>
      <c r="CR13" s="52">
        <f t="shared" si="1"/>
        <v>12624.665000000001</v>
      </c>
      <c r="CS13" s="54">
        <f t="shared" si="1"/>
        <v>12636.078</v>
      </c>
      <c r="CT13" s="52">
        <f t="shared" si="1"/>
        <v>12648.344999999999</v>
      </c>
      <c r="CU13" s="52">
        <f t="shared" si="1"/>
        <v>12659.231000000002</v>
      </c>
      <c r="CV13" s="52">
        <f t="shared" si="1"/>
        <v>12675.745000000001</v>
      </c>
      <c r="CW13" s="52">
        <f t="shared" si="1"/>
        <v>12689.513000000001</v>
      </c>
      <c r="CX13" s="52">
        <f t="shared" si="1"/>
        <v>12705.769000000002</v>
      </c>
      <c r="CY13" s="52">
        <f t="shared" si="1"/>
        <v>12726.187</v>
      </c>
      <c r="CZ13" s="52">
        <f t="shared" si="1"/>
        <v>12741.609999999999</v>
      </c>
      <c r="DA13" s="52">
        <f t="shared" si="1"/>
        <v>12758.587000000001</v>
      </c>
      <c r="DB13" s="52">
        <f t="shared" si="1"/>
        <v>12775.829</v>
      </c>
      <c r="DC13" s="52">
        <f t="shared" si="1"/>
        <v>12801.784000000001</v>
      </c>
      <c r="DD13" s="52">
        <f t="shared" si="1"/>
        <v>12828.808999999999</v>
      </c>
      <c r="DE13" s="54">
        <f t="shared" si="1"/>
        <v>12859.152</v>
      </c>
      <c r="DF13" s="52">
        <f t="shared" si="1"/>
        <v>12947.606</v>
      </c>
      <c r="DG13" s="52">
        <f t="shared" si="1"/>
        <v>12979.755000000001</v>
      </c>
      <c r="DH13" s="52">
        <f t="shared" si="1"/>
        <v>13067.217000000001</v>
      </c>
      <c r="DI13" s="52">
        <f t="shared" si="1"/>
        <v>13085.468000000001</v>
      </c>
      <c r="DJ13" s="52">
        <f t="shared" si="1"/>
        <v>13093.088</v>
      </c>
      <c r="DK13" s="52">
        <f t="shared" si="1"/>
        <v>13103.304</v>
      </c>
      <c r="DL13" s="52">
        <f t="shared" si="1"/>
        <v>13121.93</v>
      </c>
      <c r="DM13" s="52">
        <f t="shared" si="1"/>
        <v>13138.732</v>
      </c>
      <c r="DN13" s="52">
        <f t="shared" si="1"/>
        <v>13174.147999999999</v>
      </c>
      <c r="DO13" s="52">
        <f t="shared" si="1"/>
        <v>13187.262999999999</v>
      </c>
      <c r="DP13" s="52">
        <f t="shared" si="1"/>
        <v>13200.074000000001</v>
      </c>
      <c r="DQ13" s="54">
        <f t="shared" si="1"/>
        <v>13244.758</v>
      </c>
      <c r="DR13" s="52">
        <f t="shared" si="1"/>
        <v>13284.029999999999</v>
      </c>
      <c r="DS13" s="52">
        <f t="shared" si="1"/>
        <v>13300.989</v>
      </c>
      <c r="DT13" s="52">
        <f t="shared" si="1"/>
        <v>13317.081999999999</v>
      </c>
      <c r="DU13" s="52">
        <f t="shared" si="1"/>
        <v>13322.093000000001</v>
      </c>
      <c r="DV13" s="52">
        <f t="shared" si="1"/>
        <v>13336.091</v>
      </c>
      <c r="DW13" s="52">
        <f t="shared" si="1"/>
        <v>13346.39</v>
      </c>
      <c r="DX13" s="52">
        <f t="shared" si="1"/>
        <v>13365.422999999999</v>
      </c>
      <c r="DY13" s="52">
        <f t="shared" si="1"/>
        <v>13425.785</v>
      </c>
      <c r="DZ13" s="52">
        <f t="shared" si="1"/>
        <v>13441.581</v>
      </c>
      <c r="EA13" s="52">
        <f t="shared" ref="EA13:GL13" si="2">SUM(EA7:EA12)</f>
        <v>13460.480000000001</v>
      </c>
      <c r="EB13" s="52">
        <f t="shared" si="2"/>
        <v>13478.494000000001</v>
      </c>
      <c r="EC13" s="54">
        <f t="shared" si="2"/>
        <v>13505.637000000001</v>
      </c>
      <c r="ED13" s="52">
        <f t="shared" si="2"/>
        <v>13577.391</v>
      </c>
      <c r="EE13" s="52">
        <f t="shared" si="2"/>
        <v>13592.773999999999</v>
      </c>
      <c r="EF13" s="52">
        <f t="shared" si="2"/>
        <v>13745.406999999999</v>
      </c>
      <c r="EG13" s="52">
        <f t="shared" si="2"/>
        <v>13813.766</v>
      </c>
      <c r="EH13" s="52">
        <f t="shared" si="2"/>
        <v>13840.378000000001</v>
      </c>
      <c r="EI13" s="52">
        <f t="shared" si="2"/>
        <v>13874.869000000001</v>
      </c>
      <c r="EJ13" s="52">
        <f t="shared" si="2"/>
        <v>13900.611000000001</v>
      </c>
      <c r="EK13" s="52">
        <f t="shared" si="2"/>
        <v>13922.115000000002</v>
      </c>
      <c r="EL13" s="52">
        <f t="shared" si="2"/>
        <v>13952.736000000001</v>
      </c>
      <c r="EM13" s="52">
        <f t="shared" si="2"/>
        <v>14003.85</v>
      </c>
      <c r="EN13" s="52">
        <f t="shared" si="2"/>
        <v>14034.631000000001</v>
      </c>
      <c r="EO13" s="53">
        <f t="shared" si="2"/>
        <v>14058.386999999999</v>
      </c>
      <c r="EP13" s="52">
        <f t="shared" si="2"/>
        <v>14145.656000000001</v>
      </c>
      <c r="EQ13" s="52">
        <f t="shared" si="2"/>
        <v>14178.595000000001</v>
      </c>
      <c r="ER13" s="52">
        <f t="shared" si="2"/>
        <v>14231.161</v>
      </c>
      <c r="ES13" s="52">
        <f t="shared" si="2"/>
        <v>14314.612000000001</v>
      </c>
      <c r="ET13" s="52">
        <f t="shared" si="2"/>
        <v>14369.375</v>
      </c>
      <c r="EU13" s="52">
        <f t="shared" si="2"/>
        <v>14420.229000000001</v>
      </c>
      <c r="EV13" s="52">
        <f t="shared" si="2"/>
        <v>14491.241000000002</v>
      </c>
      <c r="EW13" s="52">
        <f t="shared" si="2"/>
        <v>14546.759000000002</v>
      </c>
      <c r="EX13" s="52">
        <f t="shared" si="2"/>
        <v>14636.209000000003</v>
      </c>
      <c r="EY13" s="52">
        <f t="shared" si="2"/>
        <v>14706.818000000003</v>
      </c>
      <c r="EZ13" s="52">
        <f t="shared" si="2"/>
        <v>14786.065000000002</v>
      </c>
      <c r="FA13" s="53">
        <f t="shared" si="2"/>
        <v>14899.615000000002</v>
      </c>
      <c r="FB13" s="52">
        <f t="shared" si="2"/>
        <v>15042.219000000001</v>
      </c>
      <c r="FC13" s="52">
        <f t="shared" si="2"/>
        <v>15168.18</v>
      </c>
      <c r="FD13" s="52">
        <f t="shared" si="2"/>
        <v>15393.790999999999</v>
      </c>
      <c r="FE13" s="52">
        <f t="shared" si="2"/>
        <v>15483.093999999999</v>
      </c>
      <c r="FF13" s="52">
        <f t="shared" si="2"/>
        <v>15578.534999999998</v>
      </c>
      <c r="FG13" s="52">
        <f t="shared" si="2"/>
        <v>15679.385</v>
      </c>
      <c r="FH13" s="52">
        <f t="shared" si="2"/>
        <v>15768.299000000001</v>
      </c>
      <c r="FI13" s="52">
        <f t="shared" si="2"/>
        <v>15854.203</v>
      </c>
      <c r="FJ13" s="52">
        <f t="shared" si="2"/>
        <v>16003.54</v>
      </c>
      <c r="FK13" s="157">
        <f t="shared" si="2"/>
        <v>16149.284</v>
      </c>
      <c r="FL13" s="157">
        <f t="shared" si="2"/>
        <v>16253.447</v>
      </c>
      <c r="FM13" s="157">
        <f t="shared" si="2"/>
        <v>16307.552</v>
      </c>
      <c r="FN13" s="125">
        <f t="shared" si="2"/>
        <v>16729.205999999998</v>
      </c>
      <c r="FO13" s="157">
        <f t="shared" si="2"/>
        <v>16876.987000000001</v>
      </c>
      <c r="FP13" s="157">
        <f t="shared" si="2"/>
        <v>17100.395</v>
      </c>
      <c r="FQ13" s="157">
        <f t="shared" si="2"/>
        <v>17329.814999999999</v>
      </c>
      <c r="FR13" s="157">
        <f t="shared" si="2"/>
        <v>17515.704999999998</v>
      </c>
      <c r="FS13" s="157">
        <f t="shared" si="2"/>
        <v>17733.725000000002</v>
      </c>
      <c r="FT13" s="157">
        <f t="shared" si="2"/>
        <v>17876.972000000002</v>
      </c>
      <c r="FU13" s="157">
        <f t="shared" si="2"/>
        <v>17952.805</v>
      </c>
      <c r="FV13" s="157">
        <f t="shared" si="2"/>
        <v>18032.714</v>
      </c>
      <c r="FW13" s="157">
        <f t="shared" si="2"/>
        <v>18398.485000000001</v>
      </c>
      <c r="FX13" s="157">
        <f t="shared" si="2"/>
        <v>18538.837</v>
      </c>
      <c r="FY13" s="191">
        <f t="shared" si="2"/>
        <v>18644.544000000002</v>
      </c>
      <c r="FZ13" s="157">
        <f t="shared" si="2"/>
        <v>18983.225999999999</v>
      </c>
      <c r="GA13" s="157">
        <f t="shared" si="2"/>
        <v>19148.375</v>
      </c>
      <c r="GB13" s="157">
        <f t="shared" si="2"/>
        <v>19405.57</v>
      </c>
      <c r="GC13" s="157">
        <f t="shared" si="2"/>
        <v>19599.048000000003</v>
      </c>
      <c r="GD13" s="157">
        <f t="shared" si="2"/>
        <v>19803.672999999999</v>
      </c>
      <c r="GE13" s="157">
        <f t="shared" si="2"/>
        <v>20039.370999999999</v>
      </c>
      <c r="GF13" s="157">
        <f t="shared" si="2"/>
        <v>20607.469999999998</v>
      </c>
      <c r="GG13" s="157">
        <f t="shared" si="2"/>
        <v>20798.449999999997</v>
      </c>
      <c r="GH13" s="157">
        <f t="shared" si="2"/>
        <v>20975.555</v>
      </c>
      <c r="GI13" s="157">
        <f t="shared" si="2"/>
        <v>21192.864000000001</v>
      </c>
      <c r="GJ13" s="157">
        <f t="shared" si="2"/>
        <v>21294.1</v>
      </c>
      <c r="GK13" s="191">
        <f t="shared" si="2"/>
        <v>21374.538999999997</v>
      </c>
      <c r="GL13" s="157">
        <f t="shared" si="2"/>
        <v>21506.866999999998</v>
      </c>
      <c r="GM13" s="157">
        <f t="shared" ref="GM13:GN13" si="3">SUM(GM7:GM12)</f>
        <v>21595.760000000002</v>
      </c>
      <c r="GN13" s="157">
        <f t="shared" si="3"/>
        <v>21714.902999999998</v>
      </c>
    </row>
    <row r="14" spans="1:196" s="30" customFormat="1" ht="20.149999999999999" customHeight="1" thickTop="1" x14ac:dyDescent="0.35">
      <c r="A14" s="26" t="s">
        <v>268</v>
      </c>
      <c r="B14" s="45"/>
      <c r="C14" s="45"/>
      <c r="D14" s="45"/>
      <c r="E14" s="45"/>
      <c r="F14" s="45"/>
      <c r="G14" s="45"/>
      <c r="H14" s="45"/>
      <c r="I14" s="45"/>
      <c r="J14" s="45"/>
      <c r="K14" s="45"/>
      <c r="L14" s="45"/>
      <c r="M14" s="49"/>
      <c r="N14" s="50"/>
      <c r="O14" s="45"/>
      <c r="P14" s="45"/>
      <c r="Q14" s="45"/>
      <c r="R14" s="45"/>
      <c r="S14" s="45"/>
      <c r="T14" s="45"/>
      <c r="U14" s="45"/>
      <c r="V14" s="45"/>
      <c r="W14" s="45"/>
      <c r="X14" s="45"/>
      <c r="Y14" s="49"/>
      <c r="Z14" s="50"/>
      <c r="AA14" s="45"/>
      <c r="AB14" s="45"/>
      <c r="AC14" s="45"/>
      <c r="AD14" s="45"/>
      <c r="AE14" s="45"/>
      <c r="AF14" s="45"/>
      <c r="AG14" s="45"/>
      <c r="AH14" s="45"/>
      <c r="AI14" s="45"/>
      <c r="AJ14" s="45"/>
      <c r="AK14" s="49"/>
      <c r="AL14" s="50"/>
      <c r="AM14" s="45"/>
      <c r="AN14" s="45"/>
      <c r="AO14" s="45"/>
      <c r="AP14" s="45"/>
      <c r="AQ14" s="45"/>
      <c r="AR14" s="45"/>
      <c r="AS14" s="45"/>
      <c r="AT14" s="45"/>
      <c r="AU14" s="45"/>
      <c r="AV14" s="45"/>
      <c r="AW14" s="49"/>
      <c r="AX14" s="45"/>
      <c r="AY14" s="45"/>
      <c r="AZ14" s="45"/>
      <c r="BA14" s="45"/>
      <c r="BB14" s="45"/>
      <c r="BC14" s="45"/>
      <c r="BD14" s="45"/>
      <c r="BE14" s="45"/>
      <c r="BF14" s="45"/>
      <c r="BG14" s="45"/>
      <c r="BH14" s="45"/>
      <c r="BI14" s="49"/>
      <c r="BJ14" s="45"/>
      <c r="BK14" s="45"/>
      <c r="BL14" s="45"/>
      <c r="BM14" s="45"/>
      <c r="BN14" s="45"/>
      <c r="BO14" s="45"/>
      <c r="BP14" s="45"/>
      <c r="BQ14" s="45"/>
      <c r="BR14" s="45"/>
      <c r="BS14" s="45"/>
      <c r="BT14" s="45"/>
      <c r="BU14" s="49"/>
      <c r="BV14" s="45"/>
      <c r="BW14" s="45"/>
      <c r="BX14" s="45"/>
      <c r="BY14" s="45"/>
      <c r="BZ14" s="45"/>
      <c r="CA14" s="45"/>
      <c r="CB14" s="45"/>
      <c r="CC14" s="45"/>
      <c r="CD14" s="45"/>
      <c r="CE14" s="45"/>
      <c r="CF14" s="45"/>
      <c r="CG14" s="49"/>
      <c r="CH14" s="45"/>
      <c r="CI14" s="45"/>
      <c r="CJ14" s="45"/>
      <c r="CK14" s="45"/>
      <c r="CL14" s="45"/>
      <c r="CM14" s="45"/>
      <c r="CN14" s="45"/>
      <c r="CO14" s="45"/>
      <c r="CP14" s="45"/>
      <c r="CQ14" s="45"/>
      <c r="CR14" s="45"/>
      <c r="CS14" s="49"/>
      <c r="CT14" s="45"/>
      <c r="CU14" s="45"/>
      <c r="CV14" s="45"/>
      <c r="CW14" s="45"/>
      <c r="CX14" s="45"/>
      <c r="CY14" s="45"/>
      <c r="CZ14" s="45"/>
      <c r="DA14" s="45"/>
      <c r="DB14" s="45"/>
      <c r="DC14" s="45"/>
      <c r="DD14" s="45"/>
      <c r="DE14" s="49"/>
      <c r="DF14" s="45"/>
      <c r="DG14" s="45"/>
      <c r="DH14" s="45"/>
      <c r="DI14" s="45"/>
      <c r="DJ14" s="45"/>
      <c r="DK14" s="45"/>
      <c r="DL14" s="45"/>
      <c r="DM14" s="45"/>
      <c r="DN14" s="45"/>
      <c r="DO14" s="45"/>
      <c r="DP14" s="45"/>
      <c r="DQ14" s="49"/>
      <c r="DR14" s="45"/>
      <c r="DS14" s="45"/>
      <c r="DT14" s="45"/>
      <c r="DU14" s="45"/>
      <c r="DV14" s="45"/>
      <c r="DW14" s="45"/>
      <c r="DX14" s="45"/>
      <c r="DY14" s="45"/>
      <c r="DZ14" s="45"/>
      <c r="EA14" s="45"/>
      <c r="EB14" s="45"/>
      <c r="EC14" s="49"/>
      <c r="ED14" s="45"/>
      <c r="EE14" s="45"/>
      <c r="EF14" s="45"/>
      <c r="EG14" s="45"/>
      <c r="EH14" s="45"/>
      <c r="EI14" s="45"/>
      <c r="EJ14" s="45"/>
      <c r="EK14" s="45"/>
      <c r="EL14" s="45"/>
      <c r="EM14" s="45"/>
      <c r="EN14" s="45"/>
      <c r="EO14" s="82"/>
      <c r="EP14" s="45"/>
      <c r="EQ14" s="45"/>
      <c r="ER14" s="45"/>
      <c r="ES14" s="45"/>
      <c r="ET14" s="45"/>
      <c r="EU14" s="45"/>
      <c r="EV14" s="45"/>
      <c r="EW14" s="45"/>
      <c r="EX14" s="45"/>
      <c r="EY14" s="45"/>
      <c r="EZ14" s="45"/>
      <c r="FA14" s="82"/>
      <c r="FB14" s="45"/>
      <c r="FC14" s="45"/>
      <c r="FD14" s="45"/>
      <c r="FE14" s="45"/>
      <c r="FF14" s="45"/>
      <c r="FG14" s="45"/>
      <c r="FH14" s="45"/>
      <c r="FI14" s="45"/>
      <c r="FJ14" s="45"/>
      <c r="FK14" s="155"/>
      <c r="FL14" s="155"/>
      <c r="FM14" s="155"/>
      <c r="FN14" s="69"/>
      <c r="FO14" s="155"/>
      <c r="FP14" s="155"/>
      <c r="FQ14" s="155"/>
      <c r="FR14" s="155"/>
      <c r="FS14" s="155"/>
      <c r="FT14" s="155"/>
      <c r="FU14" s="177"/>
      <c r="FV14" s="177"/>
      <c r="FW14" s="177"/>
      <c r="FX14" s="177"/>
      <c r="FY14" s="192"/>
      <c r="FZ14" s="177"/>
      <c r="GA14" s="178"/>
      <c r="GB14" s="178"/>
      <c r="GC14" s="178"/>
      <c r="GD14" s="178"/>
      <c r="GE14" s="178"/>
      <c r="GF14" s="178"/>
      <c r="GG14" s="178"/>
      <c r="GH14" s="178"/>
      <c r="GI14" s="178"/>
      <c r="GJ14" s="178"/>
      <c r="GK14" s="192"/>
      <c r="GL14" s="177"/>
      <c r="GM14" s="177"/>
      <c r="GN14" s="177"/>
    </row>
    <row r="15" spans="1:196" s="1" customFormat="1" ht="20.149999999999999" customHeight="1" x14ac:dyDescent="0.35">
      <c r="A15" s="31" t="s">
        <v>1623</v>
      </c>
      <c r="B15" s="45">
        <v>0.316</v>
      </c>
      <c r="C15" s="45">
        <v>0.316</v>
      </c>
      <c r="D15" s="45">
        <v>0.32300000000000001</v>
      </c>
      <c r="E15" s="45">
        <v>0.33600000000000002</v>
      </c>
      <c r="F15" s="45">
        <v>0.34200000000000003</v>
      </c>
      <c r="G15" s="45">
        <v>0.35799999999999998</v>
      </c>
      <c r="H15" s="45">
        <v>0.36199999999999999</v>
      </c>
      <c r="I15" s="45">
        <v>0.36499999999999999</v>
      </c>
      <c r="J15" s="45">
        <v>0.36599999999999999</v>
      </c>
      <c r="K15" s="45">
        <v>0.371</v>
      </c>
      <c r="L15" s="45">
        <v>0.39</v>
      </c>
      <c r="M15" s="49">
        <v>0.39700000000000002</v>
      </c>
      <c r="N15" s="50">
        <v>0.39700000000000002</v>
      </c>
      <c r="O15" s="45">
        <v>0.39900000000000002</v>
      </c>
      <c r="P15" s="45">
        <v>0.40799999999999997</v>
      </c>
      <c r="Q15" s="45">
        <v>0.41199999999999998</v>
      </c>
      <c r="R15" s="45">
        <v>0.437</v>
      </c>
      <c r="S15" s="45">
        <v>0.442</v>
      </c>
      <c r="T15" s="45">
        <v>0.44500000000000001</v>
      </c>
      <c r="U15" s="45">
        <v>0.46200000000000002</v>
      </c>
      <c r="V15" s="45">
        <v>0.498</v>
      </c>
      <c r="W15" s="45">
        <v>0.53700000000000003</v>
      </c>
      <c r="X15" s="45">
        <v>0.59599999999999997</v>
      </c>
      <c r="Y15" s="49">
        <v>0.65400000000000003</v>
      </c>
      <c r="Z15" s="50">
        <v>0.72699999999999998</v>
      </c>
      <c r="AA15" s="45">
        <v>0.74399999999999999</v>
      </c>
      <c r="AB15" s="45">
        <v>0.80700000000000005</v>
      </c>
      <c r="AC15" s="45">
        <v>0.83599999999999997</v>
      </c>
      <c r="AD15" s="45">
        <v>0.85799999999999998</v>
      </c>
      <c r="AE15" s="45">
        <v>0.878</v>
      </c>
      <c r="AF15" s="45">
        <v>0.90900000000000003</v>
      </c>
      <c r="AG15" s="45">
        <v>1.0469999999999999</v>
      </c>
      <c r="AH15" s="45">
        <v>1.1919999999999999</v>
      </c>
      <c r="AI15" s="45">
        <v>1.3380000000000001</v>
      </c>
      <c r="AJ15" s="45">
        <v>1.474</v>
      </c>
      <c r="AK15" s="49">
        <v>1.5680000000000001</v>
      </c>
      <c r="AL15" s="50">
        <v>1.758</v>
      </c>
      <c r="AM15" s="45">
        <v>1.9119999999999999</v>
      </c>
      <c r="AN15" s="45">
        <v>2.0510000000000002</v>
      </c>
      <c r="AO15" s="45">
        <v>2.1539999999999999</v>
      </c>
      <c r="AP15" s="45">
        <v>2.3159999999999998</v>
      </c>
      <c r="AQ15" s="45">
        <v>2.3980000000000001</v>
      </c>
      <c r="AR15" s="45">
        <v>2.6019999999999999</v>
      </c>
      <c r="AS15" s="45">
        <v>2.8929999999999998</v>
      </c>
      <c r="AT15" s="45">
        <v>3.1779999999999999</v>
      </c>
      <c r="AU15" s="45">
        <v>3.49</v>
      </c>
      <c r="AV15" s="45">
        <v>3.7320000000000002</v>
      </c>
      <c r="AW15" s="49">
        <v>3.9929999999999999</v>
      </c>
      <c r="AX15" s="45">
        <v>4.181</v>
      </c>
      <c r="AY15" s="45">
        <v>4.4059999999999997</v>
      </c>
      <c r="AZ15" s="45">
        <v>4.72</v>
      </c>
      <c r="BA15" s="45">
        <v>5.0129999999999999</v>
      </c>
      <c r="BB15" s="45">
        <v>5.4589999999999996</v>
      </c>
      <c r="BC15" s="45">
        <v>6.0069999999999997</v>
      </c>
      <c r="BD15" s="45">
        <v>6.6070000000000002</v>
      </c>
      <c r="BE15" s="45">
        <v>7.1980000000000004</v>
      </c>
      <c r="BF15" s="45">
        <v>7.8239999999999998</v>
      </c>
      <c r="BG15" s="45">
        <v>8.391</v>
      </c>
      <c r="BH15" s="45">
        <v>8.9890000000000008</v>
      </c>
      <c r="BI15" s="49">
        <v>9.4209999999999994</v>
      </c>
      <c r="BJ15" s="45">
        <v>9.8360000000000003</v>
      </c>
      <c r="BK15" s="45">
        <v>10.257</v>
      </c>
      <c r="BL15" s="45">
        <v>10.647</v>
      </c>
      <c r="BM15" s="45">
        <v>11.041</v>
      </c>
      <c r="BN15" s="45">
        <v>11.557</v>
      </c>
      <c r="BO15" s="45">
        <v>12.1</v>
      </c>
      <c r="BP15" s="45">
        <v>12.648</v>
      </c>
      <c r="BQ15" s="45">
        <v>13.362</v>
      </c>
      <c r="BR15" s="45">
        <v>14.593999999999999</v>
      </c>
      <c r="BS15" s="45">
        <v>15.196</v>
      </c>
      <c r="BT15" s="45">
        <v>15.941000000000001</v>
      </c>
      <c r="BU15" s="49">
        <v>16.712</v>
      </c>
      <c r="BV15" s="45">
        <v>17.59</v>
      </c>
      <c r="BW15" s="45">
        <v>18.434000000000001</v>
      </c>
      <c r="BX15" s="45">
        <v>19.350999999999999</v>
      </c>
      <c r="BY15" s="45">
        <v>19.905999999999999</v>
      </c>
      <c r="BZ15" s="45">
        <v>20.122</v>
      </c>
      <c r="CA15" s="45">
        <v>20.332000000000001</v>
      </c>
      <c r="CB15" s="45">
        <v>20.701000000000001</v>
      </c>
      <c r="CC15" s="45">
        <v>21.068000000000001</v>
      </c>
      <c r="CD15" s="45">
        <v>22.835999999999999</v>
      </c>
      <c r="CE15" s="45">
        <v>22.876000000000001</v>
      </c>
      <c r="CF15" s="45">
        <v>22.956</v>
      </c>
      <c r="CG15" s="49">
        <v>23.007000000000001</v>
      </c>
      <c r="CH15" s="45">
        <v>23.114999999999998</v>
      </c>
      <c r="CI15" s="45">
        <v>23.443999999999999</v>
      </c>
      <c r="CJ15" s="45">
        <v>24.19</v>
      </c>
      <c r="CK15" s="45">
        <v>24.216000000000001</v>
      </c>
      <c r="CL15" s="45">
        <v>24.254000000000001</v>
      </c>
      <c r="CM15" s="45">
        <v>24.408000000000001</v>
      </c>
      <c r="CN15" s="45">
        <v>24.442</v>
      </c>
      <c r="CO15" s="45">
        <v>24.486000000000001</v>
      </c>
      <c r="CP15" s="45">
        <v>24.556999999999999</v>
      </c>
      <c r="CQ15" s="45">
        <v>24.625</v>
      </c>
      <c r="CR15" s="45">
        <v>24.702000000000002</v>
      </c>
      <c r="CS15" s="49">
        <v>24.736000000000001</v>
      </c>
      <c r="CT15" s="45">
        <v>24.77</v>
      </c>
      <c r="CU15" s="45">
        <v>24.795999999999999</v>
      </c>
      <c r="CV15" s="45">
        <v>24.824999999999999</v>
      </c>
      <c r="CW15" s="45">
        <v>24.843</v>
      </c>
      <c r="CX15" s="45">
        <v>24.873000000000001</v>
      </c>
      <c r="CY15" s="45">
        <v>24.896999999999998</v>
      </c>
      <c r="CZ15" s="45">
        <v>24.908000000000001</v>
      </c>
      <c r="DA15" s="45">
        <v>24.931000000000001</v>
      </c>
      <c r="DB15" s="45">
        <v>24.939</v>
      </c>
      <c r="DC15" s="45">
        <v>25.062999999999999</v>
      </c>
      <c r="DD15" s="45">
        <v>25.132999999999999</v>
      </c>
      <c r="DE15" s="49">
        <v>25.140999999999998</v>
      </c>
      <c r="DF15" s="45">
        <v>25.242999999999999</v>
      </c>
      <c r="DG15" s="45">
        <v>25.32</v>
      </c>
      <c r="DH15" s="45">
        <v>25.349</v>
      </c>
      <c r="DI15" s="45">
        <v>25.372</v>
      </c>
      <c r="DJ15" s="45">
        <v>25.414000000000001</v>
      </c>
      <c r="DK15" s="45">
        <v>25.454000000000001</v>
      </c>
      <c r="DL15" s="45">
        <v>25.495000000000001</v>
      </c>
      <c r="DM15" s="45">
        <v>25.544</v>
      </c>
      <c r="DN15" s="45">
        <v>25.616</v>
      </c>
      <c r="DO15" s="45">
        <v>25.652999999999999</v>
      </c>
      <c r="DP15" s="45">
        <v>25.681999999999999</v>
      </c>
      <c r="DQ15" s="49">
        <v>25.69</v>
      </c>
      <c r="DR15" s="45">
        <v>25.718</v>
      </c>
      <c r="DS15" s="45">
        <v>25.741</v>
      </c>
      <c r="DT15" s="45">
        <v>25.763000000000002</v>
      </c>
      <c r="DU15" s="45">
        <v>25.763000000000002</v>
      </c>
      <c r="DV15" s="45">
        <v>25.766999999999999</v>
      </c>
      <c r="DW15" s="45">
        <v>25.8</v>
      </c>
      <c r="DX15" s="45">
        <v>25.803999999999998</v>
      </c>
      <c r="DY15" s="45">
        <v>25.853999999999999</v>
      </c>
      <c r="DZ15" s="45">
        <v>25.904</v>
      </c>
      <c r="EA15" s="45">
        <v>25.939</v>
      </c>
      <c r="EB15" s="45">
        <v>25.956</v>
      </c>
      <c r="EC15" s="49">
        <v>25.956</v>
      </c>
      <c r="ED15" s="45">
        <v>26.026</v>
      </c>
      <c r="EE15" s="45">
        <v>26.041</v>
      </c>
      <c r="EF15" s="45">
        <v>26.068000000000001</v>
      </c>
      <c r="EG15" s="45">
        <v>26.093</v>
      </c>
      <c r="EH15" s="45">
        <v>26.126000000000001</v>
      </c>
      <c r="EI15" s="45">
        <v>26.193999999999999</v>
      </c>
      <c r="EJ15" s="45">
        <v>26.236999999999998</v>
      </c>
      <c r="EK15" s="45">
        <v>26.306999999999999</v>
      </c>
      <c r="EL15" s="45">
        <v>26.422000000000001</v>
      </c>
      <c r="EM15" s="45">
        <v>26.509</v>
      </c>
      <c r="EN15" s="45">
        <v>26.617000000000001</v>
      </c>
      <c r="EO15" s="82">
        <v>26.657</v>
      </c>
      <c r="EP15" s="45">
        <v>26.731999999999999</v>
      </c>
      <c r="EQ15" s="45">
        <v>26.795999999999999</v>
      </c>
      <c r="ER15" s="45">
        <v>26.823</v>
      </c>
      <c r="ES15" s="45">
        <v>26.844000000000001</v>
      </c>
      <c r="ET15" s="45">
        <v>26.927</v>
      </c>
      <c r="EU15" s="45">
        <v>26.966999999999999</v>
      </c>
      <c r="EV15" s="45">
        <v>27.03</v>
      </c>
      <c r="EW15" s="45">
        <v>27.1</v>
      </c>
      <c r="EX15" s="45">
        <v>27.195</v>
      </c>
      <c r="EY15" s="45">
        <v>27.253</v>
      </c>
      <c r="EZ15" s="45">
        <v>27.327999999999999</v>
      </c>
      <c r="FA15" s="82">
        <v>27.370999999999999</v>
      </c>
      <c r="FB15" s="45">
        <v>27.419</v>
      </c>
      <c r="FC15" s="45">
        <v>27.483000000000001</v>
      </c>
      <c r="FD15" s="45">
        <v>27.524999999999999</v>
      </c>
      <c r="FE15" s="45">
        <v>27.56</v>
      </c>
      <c r="FF15" s="45">
        <v>27.602</v>
      </c>
      <c r="FG15" s="45">
        <v>27.635999999999999</v>
      </c>
      <c r="FH15" s="45">
        <v>27.677</v>
      </c>
      <c r="FI15" s="45">
        <v>27.736999999999998</v>
      </c>
      <c r="FJ15" s="45">
        <v>27.824000000000002</v>
      </c>
      <c r="FK15" s="155">
        <v>27.893999999999998</v>
      </c>
      <c r="FL15" s="155">
        <v>27.946999999999999</v>
      </c>
      <c r="FM15" s="155">
        <v>27.969000000000001</v>
      </c>
      <c r="FN15" s="69">
        <v>28.010999999999999</v>
      </c>
      <c r="FO15" s="155">
        <v>28.129000000000001</v>
      </c>
      <c r="FP15" s="155">
        <v>28.172000000000001</v>
      </c>
      <c r="FQ15" s="155">
        <v>28.369</v>
      </c>
      <c r="FR15" s="155">
        <v>28.472999999999999</v>
      </c>
      <c r="FS15" s="155">
        <v>28.670999999999999</v>
      </c>
      <c r="FT15" s="155">
        <v>28.797999999999998</v>
      </c>
      <c r="FU15" s="178">
        <v>28.934000000000001</v>
      </c>
      <c r="FV15" s="178">
        <v>29.082000000000001</v>
      </c>
      <c r="FW15" s="178">
        <v>29.311</v>
      </c>
      <c r="FX15" s="178">
        <v>29.652999999999999</v>
      </c>
      <c r="FY15" s="180">
        <v>29.727</v>
      </c>
      <c r="FZ15" s="178">
        <v>29.817</v>
      </c>
      <c r="GA15" s="178">
        <v>29.992000000000001</v>
      </c>
      <c r="GB15" s="178">
        <v>30.236999999999998</v>
      </c>
      <c r="GC15" s="178">
        <v>30.385999999999999</v>
      </c>
      <c r="GD15" s="178">
        <v>30.742000000000001</v>
      </c>
      <c r="GE15" s="178">
        <v>30.997</v>
      </c>
      <c r="GF15" s="178">
        <v>31.138999999999999</v>
      </c>
      <c r="GG15" s="178">
        <v>31.335000000000001</v>
      </c>
      <c r="GH15" s="178">
        <v>31.448</v>
      </c>
      <c r="GI15" s="178">
        <v>31.699000000000002</v>
      </c>
      <c r="GJ15" s="178">
        <v>32.01</v>
      </c>
      <c r="GK15" s="180">
        <v>32.14</v>
      </c>
      <c r="GL15" s="178">
        <v>32.344000000000001</v>
      </c>
      <c r="GM15" s="178">
        <v>33.093000000000004</v>
      </c>
      <c r="GN15" s="178">
        <v>33.412999999999997</v>
      </c>
    </row>
    <row r="16" spans="1:196" s="1" customFormat="1" ht="20.149999999999999" customHeight="1" x14ac:dyDescent="0.35">
      <c r="A16" s="31" t="s">
        <v>1626</v>
      </c>
      <c r="B16" s="45">
        <v>0.51300000000000001</v>
      </c>
      <c r="C16" s="45">
        <v>0.51300000000000001</v>
      </c>
      <c r="D16" s="45">
        <v>0.51300000000000001</v>
      </c>
      <c r="E16" s="45">
        <v>0.51300000000000001</v>
      </c>
      <c r="F16" s="45">
        <v>0.51300000000000001</v>
      </c>
      <c r="G16" s="45">
        <v>0.51300000000000001</v>
      </c>
      <c r="H16" s="45">
        <v>0.51300000000000001</v>
      </c>
      <c r="I16" s="45">
        <v>0.51300000000000001</v>
      </c>
      <c r="J16" s="45">
        <v>0.51300000000000001</v>
      </c>
      <c r="K16" s="45">
        <v>0.51900000000000002</v>
      </c>
      <c r="L16" s="45">
        <v>0.51900000000000002</v>
      </c>
      <c r="M16" s="49">
        <v>0.52400000000000002</v>
      </c>
      <c r="N16" s="50">
        <v>0.52400000000000002</v>
      </c>
      <c r="O16" s="45">
        <v>0.53100000000000003</v>
      </c>
      <c r="P16" s="45">
        <v>0.53600000000000003</v>
      </c>
      <c r="Q16" s="45">
        <v>0.54100000000000004</v>
      </c>
      <c r="R16" s="45">
        <v>0.56899999999999995</v>
      </c>
      <c r="S16" s="45">
        <v>0.60699999999999998</v>
      </c>
      <c r="T16" s="45">
        <v>0.621</v>
      </c>
      <c r="U16" s="45">
        <v>0.63700000000000001</v>
      </c>
      <c r="V16" s="45">
        <v>0.65100000000000002</v>
      </c>
      <c r="W16" s="45">
        <v>0.70199999999999996</v>
      </c>
      <c r="X16" s="45">
        <v>0.76</v>
      </c>
      <c r="Y16" s="49">
        <v>0.86199999999999999</v>
      </c>
      <c r="Z16" s="50">
        <v>0.97299999999999998</v>
      </c>
      <c r="AA16" s="45">
        <v>0.999</v>
      </c>
      <c r="AB16" s="45">
        <v>1.0309999999999999</v>
      </c>
      <c r="AC16" s="45">
        <v>1.0740000000000001</v>
      </c>
      <c r="AD16" s="45">
        <v>1.1319999999999999</v>
      </c>
      <c r="AE16" s="45">
        <v>1.1579999999999999</v>
      </c>
      <c r="AF16" s="45">
        <v>1.2290000000000001</v>
      </c>
      <c r="AG16" s="45">
        <v>1.454</v>
      </c>
      <c r="AH16" s="45">
        <v>1.7070000000000001</v>
      </c>
      <c r="AI16" s="45">
        <v>2.1859999999999999</v>
      </c>
      <c r="AJ16" s="45">
        <v>2.681</v>
      </c>
      <c r="AK16" s="49">
        <v>3.121</v>
      </c>
      <c r="AL16" s="50">
        <v>3.669</v>
      </c>
      <c r="AM16" s="45">
        <v>4.1459999999999999</v>
      </c>
      <c r="AN16" s="45">
        <v>4.8150000000000004</v>
      </c>
      <c r="AO16" s="45">
        <v>5.45</v>
      </c>
      <c r="AP16" s="45">
        <v>6.2290000000000001</v>
      </c>
      <c r="AQ16" s="45">
        <v>6.9690000000000003</v>
      </c>
      <c r="AR16" s="45">
        <v>8.1440000000000001</v>
      </c>
      <c r="AS16" s="45">
        <v>9.7829999999999995</v>
      </c>
      <c r="AT16" s="45">
        <v>11.89</v>
      </c>
      <c r="AU16" s="45">
        <v>13.694000000000001</v>
      </c>
      <c r="AV16" s="45">
        <v>15.805</v>
      </c>
      <c r="AW16" s="49">
        <v>17.353000000000002</v>
      </c>
      <c r="AX16" s="45">
        <v>19.427</v>
      </c>
      <c r="AY16" s="45">
        <v>25.596</v>
      </c>
      <c r="AZ16" s="45">
        <v>26.675000000000001</v>
      </c>
      <c r="BA16" s="45">
        <v>27.686</v>
      </c>
      <c r="BB16" s="45">
        <v>28.856000000000002</v>
      </c>
      <c r="BC16" s="45">
        <v>30.077000000000002</v>
      </c>
      <c r="BD16" s="45">
        <v>31.099</v>
      </c>
      <c r="BE16" s="45">
        <v>32.238</v>
      </c>
      <c r="BF16" s="45">
        <v>33.601999999999997</v>
      </c>
      <c r="BG16" s="45">
        <v>34.972999999999999</v>
      </c>
      <c r="BH16" s="45">
        <v>36.171999999999997</v>
      </c>
      <c r="BI16" s="49">
        <v>37.15</v>
      </c>
      <c r="BJ16" s="45">
        <v>38.067999999999998</v>
      </c>
      <c r="BK16" s="45">
        <v>39.154000000000003</v>
      </c>
      <c r="BL16" s="45">
        <v>40.268000000000001</v>
      </c>
      <c r="BM16" s="45">
        <v>41.366999999999997</v>
      </c>
      <c r="BN16" s="45">
        <v>42.468000000000004</v>
      </c>
      <c r="BO16" s="45">
        <v>43.582000000000001</v>
      </c>
      <c r="BP16" s="45">
        <v>44.698999999999998</v>
      </c>
      <c r="BQ16" s="45">
        <v>46.607999999999997</v>
      </c>
      <c r="BR16" s="45">
        <v>50.621000000000002</v>
      </c>
      <c r="BS16" s="45">
        <v>51.173000000000002</v>
      </c>
      <c r="BT16" s="45">
        <v>51.738999999999997</v>
      </c>
      <c r="BU16" s="49">
        <v>52.182000000000002</v>
      </c>
      <c r="BV16" s="45">
        <v>52.679000000000002</v>
      </c>
      <c r="BW16" s="45">
        <v>53.104999999999997</v>
      </c>
      <c r="BX16" s="45">
        <v>53.646999999999998</v>
      </c>
      <c r="BY16" s="45">
        <v>54.215000000000003</v>
      </c>
      <c r="BZ16" s="45">
        <v>54.838000000000001</v>
      </c>
      <c r="CA16" s="45">
        <v>55.567999999999998</v>
      </c>
      <c r="CB16" s="45">
        <v>56.152000000000001</v>
      </c>
      <c r="CC16" s="45">
        <v>57.045000000000002</v>
      </c>
      <c r="CD16" s="45">
        <v>58.844000000000001</v>
      </c>
      <c r="CE16" s="45">
        <v>58.892000000000003</v>
      </c>
      <c r="CF16" s="45">
        <v>59.024999999999999</v>
      </c>
      <c r="CG16" s="49">
        <v>59.146999999999998</v>
      </c>
      <c r="CH16" s="45">
        <v>59.232999999999997</v>
      </c>
      <c r="CI16" s="45">
        <v>59.392000000000003</v>
      </c>
      <c r="CJ16" s="45">
        <v>59.881999999999998</v>
      </c>
      <c r="CK16" s="45">
        <v>59.898000000000003</v>
      </c>
      <c r="CL16" s="45">
        <v>59.902000000000001</v>
      </c>
      <c r="CM16" s="45">
        <v>59.902000000000001</v>
      </c>
      <c r="CN16" s="45">
        <v>59.905999999999999</v>
      </c>
      <c r="CO16" s="45">
        <v>59.93</v>
      </c>
      <c r="CP16" s="45">
        <v>59.948</v>
      </c>
      <c r="CQ16" s="45">
        <v>59.948</v>
      </c>
      <c r="CR16" s="45">
        <v>59.965000000000003</v>
      </c>
      <c r="CS16" s="49">
        <v>59.969000000000001</v>
      </c>
      <c r="CT16" s="45">
        <v>59.976999999999997</v>
      </c>
      <c r="CU16" s="45">
        <v>60.024999999999999</v>
      </c>
      <c r="CV16" s="45">
        <v>60.076999999999998</v>
      </c>
      <c r="CW16" s="45">
        <v>60.125999999999998</v>
      </c>
      <c r="CX16" s="45">
        <v>60.155999999999999</v>
      </c>
      <c r="CY16" s="45">
        <v>60.189</v>
      </c>
      <c r="CZ16" s="45">
        <v>60.231999999999999</v>
      </c>
      <c r="DA16" s="45">
        <v>60.280999999999999</v>
      </c>
      <c r="DB16" s="45">
        <v>60.311</v>
      </c>
      <c r="DC16" s="45">
        <v>60.319000000000003</v>
      </c>
      <c r="DD16" s="45">
        <v>60.331000000000003</v>
      </c>
      <c r="DE16" s="49">
        <v>60.354999999999997</v>
      </c>
      <c r="DF16" s="45">
        <v>60.378</v>
      </c>
      <c r="DG16" s="45">
        <v>60.406999999999996</v>
      </c>
      <c r="DH16" s="45">
        <v>60.427</v>
      </c>
      <c r="DI16" s="45">
        <v>60.436</v>
      </c>
      <c r="DJ16" s="45">
        <v>60.448</v>
      </c>
      <c r="DK16" s="45">
        <v>60.476999999999997</v>
      </c>
      <c r="DL16" s="45">
        <v>60.508000000000003</v>
      </c>
      <c r="DM16" s="45">
        <v>60.524999999999999</v>
      </c>
      <c r="DN16" s="45">
        <v>60.555999999999997</v>
      </c>
      <c r="DO16" s="45">
        <v>60.567999999999998</v>
      </c>
      <c r="DP16" s="45">
        <v>60.576999999999998</v>
      </c>
      <c r="DQ16" s="49">
        <v>60.591000000000001</v>
      </c>
      <c r="DR16" s="45">
        <v>60.621000000000002</v>
      </c>
      <c r="DS16" s="45">
        <v>60.671999999999997</v>
      </c>
      <c r="DT16" s="45">
        <v>60.695999999999998</v>
      </c>
      <c r="DU16" s="45">
        <v>60.7</v>
      </c>
      <c r="DV16" s="45">
        <v>60.7</v>
      </c>
      <c r="DW16" s="45">
        <v>60.75</v>
      </c>
      <c r="DX16" s="45">
        <v>60.802</v>
      </c>
      <c r="DY16" s="45">
        <v>60.837000000000003</v>
      </c>
      <c r="DZ16" s="45">
        <v>60.889000000000003</v>
      </c>
      <c r="EA16" s="45">
        <v>60.902999999999999</v>
      </c>
      <c r="EB16" s="45">
        <v>60.954999999999998</v>
      </c>
      <c r="EC16" s="49">
        <v>60.98</v>
      </c>
      <c r="ED16" s="45">
        <v>61.006999999999998</v>
      </c>
      <c r="EE16" s="45">
        <v>61.054000000000002</v>
      </c>
      <c r="EF16" s="45">
        <v>61.122999999999998</v>
      </c>
      <c r="EG16" s="45">
        <v>61.210999999999999</v>
      </c>
      <c r="EH16" s="45">
        <v>61.366</v>
      </c>
      <c r="EI16" s="45">
        <v>61.52</v>
      </c>
      <c r="EJ16" s="45">
        <v>61.604999999999997</v>
      </c>
      <c r="EK16" s="45">
        <v>61.765000000000001</v>
      </c>
      <c r="EL16" s="45">
        <v>62.009</v>
      </c>
      <c r="EM16" s="45">
        <v>62.12</v>
      </c>
      <c r="EN16" s="45">
        <v>62.478000000000002</v>
      </c>
      <c r="EO16" s="82">
        <v>62.628999999999998</v>
      </c>
      <c r="EP16" s="45">
        <v>63.048000000000002</v>
      </c>
      <c r="EQ16" s="45">
        <v>63.277999999999999</v>
      </c>
      <c r="ER16" s="45">
        <v>63.66</v>
      </c>
      <c r="ES16" s="45">
        <v>64.055000000000007</v>
      </c>
      <c r="ET16" s="45">
        <v>64.766000000000005</v>
      </c>
      <c r="EU16" s="45">
        <v>65.399000000000001</v>
      </c>
      <c r="EV16" s="45">
        <v>65.965999999999994</v>
      </c>
      <c r="EW16" s="45">
        <v>66.597999999999999</v>
      </c>
      <c r="EX16" s="45">
        <v>67.442999999999998</v>
      </c>
      <c r="EY16" s="45">
        <v>68.215999999999994</v>
      </c>
      <c r="EZ16" s="45">
        <v>69.332999999999998</v>
      </c>
      <c r="FA16" s="82">
        <v>70.006</v>
      </c>
      <c r="FB16" s="45">
        <v>70.951999999999998</v>
      </c>
      <c r="FC16" s="45">
        <v>71.674999999999997</v>
      </c>
      <c r="FD16" s="45">
        <v>72.33</v>
      </c>
      <c r="FE16" s="45">
        <v>72.787000000000006</v>
      </c>
      <c r="FF16" s="45">
        <v>73.510000000000005</v>
      </c>
      <c r="FG16" s="45">
        <v>74.308999999999997</v>
      </c>
      <c r="FH16" s="45">
        <v>75.022000000000006</v>
      </c>
      <c r="FI16" s="45">
        <v>75.888999999999996</v>
      </c>
      <c r="FJ16" s="45">
        <v>76.566999999999993</v>
      </c>
      <c r="FK16" s="155">
        <v>77.284000000000006</v>
      </c>
      <c r="FL16" s="155">
        <v>77.951999999999998</v>
      </c>
      <c r="FM16" s="155">
        <v>78.411000000000001</v>
      </c>
      <c r="FN16" s="69">
        <v>78.878</v>
      </c>
      <c r="FO16" s="155">
        <v>79.44</v>
      </c>
      <c r="FP16" s="155">
        <v>79.799000000000007</v>
      </c>
      <c r="FQ16" s="155">
        <v>80.387</v>
      </c>
      <c r="FR16" s="155">
        <v>81.027000000000001</v>
      </c>
      <c r="FS16" s="155">
        <v>81.798000000000002</v>
      </c>
      <c r="FT16" s="155">
        <v>82.534000000000006</v>
      </c>
      <c r="FU16" s="178">
        <v>83.325999999999993</v>
      </c>
      <c r="FV16" s="178">
        <v>83.965000000000003</v>
      </c>
      <c r="FW16" s="178">
        <v>84.622</v>
      </c>
      <c r="FX16" s="178">
        <v>85.316999999999993</v>
      </c>
      <c r="FY16" s="180">
        <v>85.626000000000005</v>
      </c>
      <c r="FZ16" s="178">
        <v>86.215000000000003</v>
      </c>
      <c r="GA16" s="178">
        <v>86.787999999999997</v>
      </c>
      <c r="GB16" s="178">
        <v>87.644999999999996</v>
      </c>
      <c r="GC16" s="178">
        <v>88.388000000000005</v>
      </c>
      <c r="GD16" s="178">
        <v>89.644000000000005</v>
      </c>
      <c r="GE16" s="178">
        <v>90.778000000000006</v>
      </c>
      <c r="GF16" s="178">
        <v>91.664000000000001</v>
      </c>
      <c r="GG16" s="178">
        <v>92.686999999999998</v>
      </c>
      <c r="GH16" s="178">
        <v>93.744</v>
      </c>
      <c r="GI16" s="178">
        <v>94.893000000000001</v>
      </c>
      <c r="GJ16" s="178">
        <v>95.966999999999999</v>
      </c>
      <c r="GK16" s="180">
        <v>96.632999999999996</v>
      </c>
      <c r="GL16" s="178">
        <v>97.635999999999996</v>
      </c>
      <c r="GM16" s="178">
        <v>97.697999999999993</v>
      </c>
      <c r="GN16" s="178">
        <v>98.991</v>
      </c>
    </row>
    <row r="17" spans="1:196" s="1" customFormat="1" ht="20.149999999999999" customHeight="1" x14ac:dyDescent="0.35">
      <c r="A17" s="31" t="s">
        <v>1625</v>
      </c>
      <c r="B17" s="45">
        <v>0.217</v>
      </c>
      <c r="C17" s="45">
        <v>0.217</v>
      </c>
      <c r="D17" s="45">
        <v>0.25</v>
      </c>
      <c r="E17" s="45">
        <v>0.25</v>
      </c>
      <c r="F17" s="45">
        <v>0.25</v>
      </c>
      <c r="G17" s="45">
        <v>0.26200000000000001</v>
      </c>
      <c r="H17" s="45">
        <v>0.27700000000000002</v>
      </c>
      <c r="I17" s="45">
        <v>0.27700000000000002</v>
      </c>
      <c r="J17" s="45">
        <v>0.27700000000000002</v>
      </c>
      <c r="K17" s="45">
        <v>0.27700000000000002</v>
      </c>
      <c r="L17" s="45">
        <v>0.27700000000000002</v>
      </c>
      <c r="M17" s="49">
        <v>0.27700000000000002</v>
      </c>
      <c r="N17" s="50">
        <v>0.27700000000000002</v>
      </c>
      <c r="O17" s="45">
        <v>0.27700000000000002</v>
      </c>
      <c r="P17" s="45">
        <v>0.27700000000000002</v>
      </c>
      <c r="Q17" s="45">
        <v>0.27700000000000002</v>
      </c>
      <c r="R17" s="45">
        <v>0.27700000000000002</v>
      </c>
      <c r="S17" s="45">
        <v>0.27700000000000002</v>
      </c>
      <c r="T17" s="45">
        <v>0.27700000000000002</v>
      </c>
      <c r="U17" s="45">
        <v>0.27700000000000002</v>
      </c>
      <c r="V17" s="45">
        <v>0.27700000000000002</v>
      </c>
      <c r="W17" s="45">
        <v>0.29699999999999999</v>
      </c>
      <c r="X17" s="45">
        <v>0.29699999999999999</v>
      </c>
      <c r="Y17" s="49">
        <v>0.307</v>
      </c>
      <c r="Z17" s="50">
        <v>0.307</v>
      </c>
      <c r="AA17" s="45">
        <v>0.34799999999999998</v>
      </c>
      <c r="AB17" s="45">
        <v>0.38800000000000001</v>
      </c>
      <c r="AC17" s="45">
        <v>0.40799999999999997</v>
      </c>
      <c r="AD17" s="45">
        <v>0.40799999999999997</v>
      </c>
      <c r="AE17" s="45">
        <v>0.40799999999999997</v>
      </c>
      <c r="AF17" s="45">
        <v>0.40799999999999997</v>
      </c>
      <c r="AG17" s="45">
        <v>0.49099999999999999</v>
      </c>
      <c r="AH17" s="45">
        <v>0.54200000000000004</v>
      </c>
      <c r="AI17" s="45">
        <v>0.67300000000000004</v>
      </c>
      <c r="AJ17" s="45">
        <v>0.89300000000000002</v>
      </c>
      <c r="AK17" s="49">
        <v>0.98599999999999999</v>
      </c>
      <c r="AL17" s="50">
        <v>1.125</v>
      </c>
      <c r="AM17" s="45">
        <v>1.2</v>
      </c>
      <c r="AN17" s="45">
        <v>1.33</v>
      </c>
      <c r="AO17" s="45">
        <v>1.409</v>
      </c>
      <c r="AP17" s="45">
        <v>1.7350000000000001</v>
      </c>
      <c r="AQ17" s="45">
        <v>2.1520000000000001</v>
      </c>
      <c r="AR17" s="45">
        <v>2.544</v>
      </c>
      <c r="AS17" s="45">
        <v>3.3479999999999999</v>
      </c>
      <c r="AT17" s="45">
        <v>3.7559999999999998</v>
      </c>
      <c r="AU17" s="45">
        <v>4.2629999999999999</v>
      </c>
      <c r="AV17" s="45">
        <v>5.141</v>
      </c>
      <c r="AW17" s="49">
        <v>5.8049999999999997</v>
      </c>
      <c r="AX17" s="45">
        <v>6.9489999999999998</v>
      </c>
      <c r="AY17" s="45">
        <v>10.959</v>
      </c>
      <c r="AZ17" s="45">
        <v>11.295</v>
      </c>
      <c r="BA17" s="45">
        <v>11.76</v>
      </c>
      <c r="BB17" s="45">
        <v>12.656000000000001</v>
      </c>
      <c r="BC17" s="45">
        <v>13.215999999999999</v>
      </c>
      <c r="BD17" s="45">
        <v>13.746</v>
      </c>
      <c r="BE17" s="45">
        <v>14.12</v>
      </c>
      <c r="BF17" s="45">
        <v>14.744</v>
      </c>
      <c r="BG17" s="45">
        <v>15.169</v>
      </c>
      <c r="BH17" s="45">
        <v>15.662000000000001</v>
      </c>
      <c r="BI17" s="49">
        <v>16.146999999999998</v>
      </c>
      <c r="BJ17" s="45">
        <v>16.981000000000002</v>
      </c>
      <c r="BK17" s="45">
        <v>18.204999999999998</v>
      </c>
      <c r="BL17" s="45">
        <v>20.013000000000002</v>
      </c>
      <c r="BM17" s="45">
        <v>21.024000000000001</v>
      </c>
      <c r="BN17" s="45">
        <v>21.792999999999999</v>
      </c>
      <c r="BO17" s="45">
        <v>22.95</v>
      </c>
      <c r="BP17" s="45">
        <v>23.696999999999999</v>
      </c>
      <c r="BQ17" s="45">
        <v>25.457000000000001</v>
      </c>
      <c r="BR17" s="45">
        <v>31.257999999999999</v>
      </c>
      <c r="BS17" s="45">
        <v>31.553000000000001</v>
      </c>
      <c r="BT17" s="45">
        <v>31.757999999999999</v>
      </c>
      <c r="BU17" s="49">
        <v>31.937000000000001</v>
      </c>
      <c r="BV17" s="45">
        <v>32.161999999999999</v>
      </c>
      <c r="BW17" s="45">
        <v>32.356000000000002</v>
      </c>
      <c r="BX17" s="45">
        <v>32.69</v>
      </c>
      <c r="BY17" s="45">
        <v>32.917999999999999</v>
      </c>
      <c r="BZ17" s="45">
        <v>33.335999999999999</v>
      </c>
      <c r="CA17" s="45">
        <v>33.953000000000003</v>
      </c>
      <c r="CB17" s="45">
        <v>34.661000000000001</v>
      </c>
      <c r="CC17" s="45">
        <v>35.612000000000002</v>
      </c>
      <c r="CD17" s="45">
        <v>39.152999999999999</v>
      </c>
      <c r="CE17" s="45">
        <v>39.226999999999997</v>
      </c>
      <c r="CF17" s="45">
        <v>39.283000000000001</v>
      </c>
      <c r="CG17" s="49">
        <v>39.354999999999997</v>
      </c>
      <c r="CH17" s="45">
        <v>39.378999999999998</v>
      </c>
      <c r="CI17" s="45">
        <v>39.555999999999997</v>
      </c>
      <c r="CJ17" s="45">
        <v>40.21</v>
      </c>
      <c r="CK17" s="45">
        <v>40.241999999999997</v>
      </c>
      <c r="CL17" s="45">
        <v>40.241999999999997</v>
      </c>
      <c r="CM17" s="45">
        <v>40.292000000000002</v>
      </c>
      <c r="CN17" s="45">
        <v>40.304000000000002</v>
      </c>
      <c r="CO17" s="45">
        <v>40.347999999999999</v>
      </c>
      <c r="CP17" s="45">
        <v>40.347999999999999</v>
      </c>
      <c r="CQ17" s="45">
        <v>40.36</v>
      </c>
      <c r="CR17" s="45">
        <v>40.49</v>
      </c>
      <c r="CS17" s="49">
        <v>40.567</v>
      </c>
      <c r="CT17" s="45">
        <v>40.567</v>
      </c>
      <c r="CU17" s="45">
        <v>40.579000000000001</v>
      </c>
      <c r="CV17" s="45">
        <v>40.579000000000001</v>
      </c>
      <c r="CW17" s="45">
        <v>40.651000000000003</v>
      </c>
      <c r="CX17" s="45">
        <v>40.662999999999997</v>
      </c>
      <c r="CY17" s="45">
        <v>40.674999999999997</v>
      </c>
      <c r="CZ17" s="45">
        <v>40.686999999999998</v>
      </c>
      <c r="DA17" s="45">
        <v>40.805</v>
      </c>
      <c r="DB17" s="45">
        <v>40.817</v>
      </c>
      <c r="DC17" s="45">
        <v>40.826999999999998</v>
      </c>
      <c r="DD17" s="45">
        <v>40.85</v>
      </c>
      <c r="DE17" s="49">
        <v>40.904000000000003</v>
      </c>
      <c r="DF17" s="45">
        <v>40.904000000000003</v>
      </c>
      <c r="DG17" s="45">
        <v>40.966000000000001</v>
      </c>
      <c r="DH17" s="45">
        <v>40.966000000000001</v>
      </c>
      <c r="DI17" s="45">
        <v>40.966000000000001</v>
      </c>
      <c r="DJ17" s="45">
        <v>40.966000000000001</v>
      </c>
      <c r="DK17" s="45">
        <v>41.002000000000002</v>
      </c>
      <c r="DL17" s="45">
        <v>41.002000000000002</v>
      </c>
      <c r="DM17" s="45">
        <v>41.014000000000003</v>
      </c>
      <c r="DN17" s="45">
        <v>41.082000000000001</v>
      </c>
      <c r="DO17" s="45">
        <v>41.128999999999998</v>
      </c>
      <c r="DP17" s="45">
        <v>41.149000000000001</v>
      </c>
      <c r="DQ17" s="49">
        <v>41.161999999999999</v>
      </c>
      <c r="DR17" s="45">
        <v>41.173999999999999</v>
      </c>
      <c r="DS17" s="45">
        <v>41.173999999999999</v>
      </c>
      <c r="DT17" s="45">
        <v>41.186</v>
      </c>
      <c r="DU17" s="45">
        <v>41.198</v>
      </c>
      <c r="DV17" s="45">
        <v>41.198</v>
      </c>
      <c r="DW17" s="45">
        <v>41.219000000000001</v>
      </c>
      <c r="DX17" s="45">
        <v>41.27</v>
      </c>
      <c r="DY17" s="45">
        <v>41.27</v>
      </c>
      <c r="DZ17" s="45">
        <v>41.293999999999997</v>
      </c>
      <c r="EA17" s="45">
        <v>41.293999999999997</v>
      </c>
      <c r="EB17" s="45">
        <v>41.293999999999997</v>
      </c>
      <c r="EC17" s="49">
        <v>41.293999999999997</v>
      </c>
      <c r="ED17" s="45">
        <v>41.304000000000002</v>
      </c>
      <c r="EE17" s="45">
        <v>41.304000000000002</v>
      </c>
      <c r="EF17" s="45">
        <v>41.326000000000001</v>
      </c>
      <c r="EG17" s="45">
        <v>41.393999999999998</v>
      </c>
      <c r="EH17" s="45">
        <v>41.454999999999998</v>
      </c>
      <c r="EI17" s="45">
        <v>41.530999999999999</v>
      </c>
      <c r="EJ17" s="45">
        <v>41.546999999999997</v>
      </c>
      <c r="EK17" s="45">
        <v>41.558</v>
      </c>
      <c r="EL17" s="45">
        <v>41.603000000000002</v>
      </c>
      <c r="EM17" s="45">
        <v>41.673000000000002</v>
      </c>
      <c r="EN17" s="45">
        <v>41.718000000000004</v>
      </c>
      <c r="EO17" s="82">
        <v>41.761000000000003</v>
      </c>
      <c r="EP17" s="45">
        <v>41.828000000000003</v>
      </c>
      <c r="EQ17" s="45">
        <v>41.954000000000001</v>
      </c>
      <c r="ER17" s="45">
        <v>42.094999999999999</v>
      </c>
      <c r="ES17" s="45">
        <v>42.191000000000003</v>
      </c>
      <c r="ET17" s="45">
        <v>42.323999999999998</v>
      </c>
      <c r="EU17" s="45">
        <v>42.511000000000003</v>
      </c>
      <c r="EV17" s="45">
        <v>42.656999999999996</v>
      </c>
      <c r="EW17" s="45">
        <v>42.85</v>
      </c>
      <c r="EX17" s="45">
        <v>43.018999999999998</v>
      </c>
      <c r="EY17" s="45">
        <v>43.448</v>
      </c>
      <c r="EZ17" s="45">
        <v>43.716000000000001</v>
      </c>
      <c r="FA17" s="82">
        <v>43.935000000000002</v>
      </c>
      <c r="FB17" s="45">
        <v>44.195</v>
      </c>
      <c r="FC17" s="45">
        <v>44.591000000000001</v>
      </c>
      <c r="FD17" s="45">
        <v>44.963000000000001</v>
      </c>
      <c r="FE17" s="45">
        <v>45.363</v>
      </c>
      <c r="FF17" s="45">
        <v>45.688000000000002</v>
      </c>
      <c r="FG17" s="45">
        <v>45.917999999999999</v>
      </c>
      <c r="FH17" s="45">
        <v>46.073</v>
      </c>
      <c r="FI17" s="45">
        <v>46.188000000000002</v>
      </c>
      <c r="FJ17" s="45">
        <v>46.466999999999999</v>
      </c>
      <c r="FK17" s="155">
        <v>47.034999999999997</v>
      </c>
      <c r="FL17" s="155">
        <v>47.271999999999998</v>
      </c>
      <c r="FM17" s="155">
        <v>47.49</v>
      </c>
      <c r="FN17" s="69">
        <v>47.613999999999997</v>
      </c>
      <c r="FO17" s="155">
        <v>47.874000000000002</v>
      </c>
      <c r="FP17" s="155">
        <v>48.018999999999998</v>
      </c>
      <c r="FQ17" s="155">
        <v>48.404000000000003</v>
      </c>
      <c r="FR17" s="155">
        <v>48.533000000000001</v>
      </c>
      <c r="FS17" s="155">
        <v>48.692999999999998</v>
      </c>
      <c r="FT17" s="155">
        <v>48.859000000000002</v>
      </c>
      <c r="FU17" s="178">
        <v>48.975000000000001</v>
      </c>
      <c r="FV17" s="178">
        <v>49.054000000000002</v>
      </c>
      <c r="FW17" s="178">
        <v>49.127000000000002</v>
      </c>
      <c r="FX17" s="178">
        <v>49.256</v>
      </c>
      <c r="FY17" s="180">
        <v>49.347000000000001</v>
      </c>
      <c r="FZ17" s="178">
        <v>49.432000000000002</v>
      </c>
      <c r="GA17" s="178">
        <v>49.637999999999998</v>
      </c>
      <c r="GB17" s="178">
        <v>49.720999999999997</v>
      </c>
      <c r="GC17" s="178">
        <v>49.933999999999997</v>
      </c>
      <c r="GD17" s="178">
        <v>50.204000000000001</v>
      </c>
      <c r="GE17" s="178">
        <v>50.545999999999999</v>
      </c>
      <c r="GF17" s="178">
        <v>50.777999999999999</v>
      </c>
      <c r="GG17" s="178">
        <v>51.006</v>
      </c>
      <c r="GH17" s="178">
        <v>51.207000000000001</v>
      </c>
      <c r="GI17" s="178">
        <v>51.610999999999997</v>
      </c>
      <c r="GJ17" s="178">
        <v>51.942</v>
      </c>
      <c r="GK17" s="180">
        <v>52.076999999999998</v>
      </c>
      <c r="GL17" s="178">
        <v>52.289000000000001</v>
      </c>
      <c r="GM17" s="178">
        <v>52.408999999999999</v>
      </c>
      <c r="GN17" s="178">
        <v>52.606000000000002</v>
      </c>
    </row>
    <row r="18" spans="1:196" s="1" customFormat="1" ht="20.149999999999999" customHeight="1" x14ac:dyDescent="0.35">
      <c r="A18" s="31" t="s">
        <v>1627</v>
      </c>
      <c r="B18" s="45">
        <v>0</v>
      </c>
      <c r="C18" s="45">
        <v>0</v>
      </c>
      <c r="D18" s="45">
        <v>0</v>
      </c>
      <c r="E18" s="45">
        <v>0</v>
      </c>
      <c r="F18" s="45">
        <v>0</v>
      </c>
      <c r="G18" s="45">
        <v>0</v>
      </c>
      <c r="H18" s="45">
        <v>0</v>
      </c>
      <c r="I18" s="45">
        <v>0</v>
      </c>
      <c r="J18" s="45">
        <v>0</v>
      </c>
      <c r="K18" s="45">
        <v>0</v>
      </c>
      <c r="L18" s="45">
        <v>0</v>
      </c>
      <c r="M18" s="49">
        <v>0</v>
      </c>
      <c r="N18" s="50">
        <v>0</v>
      </c>
      <c r="O18" s="45">
        <v>0</v>
      </c>
      <c r="P18" s="45">
        <v>0</v>
      </c>
      <c r="Q18" s="45">
        <v>0</v>
      </c>
      <c r="R18" s="45">
        <v>0</v>
      </c>
      <c r="S18" s="45">
        <v>0</v>
      </c>
      <c r="T18" s="45">
        <v>0</v>
      </c>
      <c r="U18" s="45">
        <v>0</v>
      </c>
      <c r="V18" s="45">
        <v>0</v>
      </c>
      <c r="W18" s="45">
        <v>0</v>
      </c>
      <c r="X18" s="45">
        <v>0</v>
      </c>
      <c r="Y18" s="49">
        <v>0</v>
      </c>
      <c r="Z18" s="50">
        <v>0</v>
      </c>
      <c r="AA18" s="45">
        <v>0</v>
      </c>
      <c r="AB18" s="45">
        <v>0</v>
      </c>
      <c r="AC18" s="45">
        <v>0</v>
      </c>
      <c r="AD18" s="45">
        <v>0</v>
      </c>
      <c r="AE18" s="45">
        <v>0</v>
      </c>
      <c r="AF18" s="45">
        <v>0</v>
      </c>
      <c r="AG18" s="45">
        <v>0</v>
      </c>
      <c r="AH18" s="45">
        <v>0</v>
      </c>
      <c r="AI18" s="45">
        <v>0.05</v>
      </c>
      <c r="AJ18" s="45">
        <v>0.255</v>
      </c>
      <c r="AK18" s="49">
        <v>0.255</v>
      </c>
      <c r="AL18" s="50">
        <v>0.255</v>
      </c>
      <c r="AM18" s="45">
        <v>0.255</v>
      </c>
      <c r="AN18" s="45">
        <v>0.255</v>
      </c>
      <c r="AO18" s="45">
        <v>0.255</v>
      </c>
      <c r="AP18" s="45">
        <v>0.255</v>
      </c>
      <c r="AQ18" s="45">
        <v>0.255</v>
      </c>
      <c r="AR18" s="45">
        <v>0.255</v>
      </c>
      <c r="AS18" s="45">
        <v>0.255</v>
      </c>
      <c r="AT18" s="45">
        <v>0.255</v>
      </c>
      <c r="AU18" s="45">
        <v>0.255</v>
      </c>
      <c r="AV18" s="45">
        <v>0.45500000000000002</v>
      </c>
      <c r="AW18" s="49">
        <v>0.45500000000000002</v>
      </c>
      <c r="AX18" s="45">
        <v>0.60499999999999998</v>
      </c>
      <c r="AY18" s="45">
        <v>0.85499999999999998</v>
      </c>
      <c r="AZ18" s="45">
        <v>1.0049999999999999</v>
      </c>
      <c r="BA18" s="45">
        <v>1.0049999999999999</v>
      </c>
      <c r="BB18" s="45">
        <v>1.3979999999999999</v>
      </c>
      <c r="BC18" s="45">
        <v>1.6479999999999999</v>
      </c>
      <c r="BD18" s="45">
        <v>2.266</v>
      </c>
      <c r="BE18" s="45">
        <v>2.3660000000000001</v>
      </c>
      <c r="BF18" s="45">
        <v>2.4159999999999999</v>
      </c>
      <c r="BG18" s="45">
        <v>2.6160000000000001</v>
      </c>
      <c r="BH18" s="45">
        <v>2.6659999999999999</v>
      </c>
      <c r="BI18" s="49">
        <v>4.1239999999999997</v>
      </c>
      <c r="BJ18" s="45">
        <v>4.3739999999999997</v>
      </c>
      <c r="BK18" s="45">
        <v>4.3739999999999997</v>
      </c>
      <c r="BL18" s="45">
        <v>4.7240000000000002</v>
      </c>
      <c r="BM18" s="45">
        <v>4.8739999999999997</v>
      </c>
      <c r="BN18" s="45">
        <v>8.8070000000000004</v>
      </c>
      <c r="BO18" s="45">
        <v>8.9570000000000007</v>
      </c>
      <c r="BP18" s="45">
        <v>9.157</v>
      </c>
      <c r="BQ18" s="45">
        <v>9.8569999999999993</v>
      </c>
      <c r="BR18" s="45">
        <v>10.606999999999999</v>
      </c>
      <c r="BS18" s="45">
        <v>10.757</v>
      </c>
      <c r="BT18" s="45">
        <v>10.757</v>
      </c>
      <c r="BU18" s="49">
        <v>10.907</v>
      </c>
      <c r="BV18" s="45">
        <v>10.907</v>
      </c>
      <c r="BW18" s="45">
        <v>11.037000000000001</v>
      </c>
      <c r="BX18" s="45">
        <v>11.037000000000001</v>
      </c>
      <c r="BY18" s="45">
        <v>11.286</v>
      </c>
      <c r="BZ18" s="45">
        <v>16.085999999999999</v>
      </c>
      <c r="CA18" s="45">
        <v>16.135999999999999</v>
      </c>
      <c r="CB18" s="45">
        <v>16.385999999999999</v>
      </c>
      <c r="CC18" s="45">
        <v>16.436</v>
      </c>
      <c r="CD18" s="45">
        <v>16.436</v>
      </c>
      <c r="CE18" s="45">
        <v>16.436</v>
      </c>
      <c r="CF18" s="45">
        <v>16.436</v>
      </c>
      <c r="CG18" s="49">
        <v>16.436</v>
      </c>
      <c r="CH18" s="45">
        <v>17.055</v>
      </c>
      <c r="CI18" s="45">
        <v>17.600000000000001</v>
      </c>
      <c r="CJ18" s="45">
        <v>19.867000000000001</v>
      </c>
      <c r="CK18" s="45">
        <v>19.867000000000001</v>
      </c>
      <c r="CL18" s="45">
        <v>19.917000000000002</v>
      </c>
      <c r="CM18" s="45">
        <v>19.917000000000002</v>
      </c>
      <c r="CN18" s="45">
        <v>19.917000000000002</v>
      </c>
      <c r="CO18" s="45">
        <v>19.917000000000002</v>
      </c>
      <c r="CP18" s="45">
        <v>19.917000000000002</v>
      </c>
      <c r="CQ18" s="45">
        <v>19.917000000000002</v>
      </c>
      <c r="CR18" s="45">
        <v>19.917000000000002</v>
      </c>
      <c r="CS18" s="49">
        <v>19.917000000000002</v>
      </c>
      <c r="CT18" s="45">
        <v>19.917000000000002</v>
      </c>
      <c r="CU18" s="45">
        <v>19.917000000000002</v>
      </c>
      <c r="CV18" s="45">
        <v>30.077999999999999</v>
      </c>
      <c r="CW18" s="45">
        <v>30.077999999999999</v>
      </c>
      <c r="CX18" s="45">
        <v>30.077999999999999</v>
      </c>
      <c r="CY18" s="45">
        <v>30.077999999999999</v>
      </c>
      <c r="CZ18" s="45">
        <v>30.077999999999999</v>
      </c>
      <c r="DA18" s="45">
        <v>30.077999999999999</v>
      </c>
      <c r="DB18" s="45">
        <v>30.077999999999999</v>
      </c>
      <c r="DC18" s="45">
        <v>30.077999999999999</v>
      </c>
      <c r="DD18" s="45">
        <v>30.077999999999999</v>
      </c>
      <c r="DE18" s="49">
        <v>30.077999999999999</v>
      </c>
      <c r="DF18" s="45">
        <v>30.077999999999999</v>
      </c>
      <c r="DG18" s="45">
        <v>30.077999999999999</v>
      </c>
      <c r="DH18" s="45">
        <v>30.077999999999999</v>
      </c>
      <c r="DI18" s="45">
        <v>30.077999999999999</v>
      </c>
      <c r="DJ18" s="45">
        <v>30.077999999999999</v>
      </c>
      <c r="DK18" s="45">
        <v>30.077999999999999</v>
      </c>
      <c r="DL18" s="45">
        <v>30.077999999999999</v>
      </c>
      <c r="DM18" s="45">
        <v>30.077999999999999</v>
      </c>
      <c r="DN18" s="45">
        <v>30.077999999999999</v>
      </c>
      <c r="DO18" s="45">
        <v>30.077999999999999</v>
      </c>
      <c r="DP18" s="45">
        <v>30.077999999999999</v>
      </c>
      <c r="DQ18" s="49">
        <v>30.077999999999999</v>
      </c>
      <c r="DR18" s="45">
        <v>30.077999999999999</v>
      </c>
      <c r="DS18" s="45">
        <v>30.077999999999999</v>
      </c>
      <c r="DT18" s="45">
        <v>30.077999999999999</v>
      </c>
      <c r="DU18" s="45">
        <v>30.077999999999999</v>
      </c>
      <c r="DV18" s="45">
        <v>30.077999999999999</v>
      </c>
      <c r="DW18" s="45">
        <v>30.077999999999999</v>
      </c>
      <c r="DX18" s="45">
        <v>30.077999999999999</v>
      </c>
      <c r="DY18" s="45">
        <v>30.178000000000001</v>
      </c>
      <c r="DZ18" s="45">
        <v>30.178000000000001</v>
      </c>
      <c r="EA18" s="45">
        <v>30.178000000000001</v>
      </c>
      <c r="EB18" s="45">
        <v>30.178000000000001</v>
      </c>
      <c r="EC18" s="49">
        <v>30.178000000000001</v>
      </c>
      <c r="ED18" s="45">
        <v>30.178000000000001</v>
      </c>
      <c r="EE18" s="45">
        <v>30.178000000000001</v>
      </c>
      <c r="EF18" s="45">
        <v>30.178000000000001</v>
      </c>
      <c r="EG18" s="45">
        <v>30.178000000000001</v>
      </c>
      <c r="EH18" s="45">
        <v>30.178000000000001</v>
      </c>
      <c r="EI18" s="45">
        <v>30.178000000000001</v>
      </c>
      <c r="EJ18" s="45">
        <v>30.178000000000001</v>
      </c>
      <c r="EK18" s="45">
        <v>30.178000000000001</v>
      </c>
      <c r="EL18" s="45">
        <v>30.178000000000001</v>
      </c>
      <c r="EM18" s="45">
        <v>30.178000000000001</v>
      </c>
      <c r="EN18" s="45">
        <v>30.178000000000001</v>
      </c>
      <c r="EO18" s="82">
        <v>30.178000000000001</v>
      </c>
      <c r="EP18" s="45">
        <v>30.178000000000001</v>
      </c>
      <c r="EQ18" s="45">
        <v>30.178000000000001</v>
      </c>
      <c r="ER18" s="45">
        <v>30.228000000000002</v>
      </c>
      <c r="ES18" s="45">
        <v>30.228000000000002</v>
      </c>
      <c r="ET18" s="45">
        <v>30.277999999999999</v>
      </c>
      <c r="EU18" s="45">
        <v>30.277999999999999</v>
      </c>
      <c r="EV18" s="45">
        <v>30.277999999999999</v>
      </c>
      <c r="EW18" s="45">
        <v>30.277999999999999</v>
      </c>
      <c r="EX18" s="45">
        <v>30.277999999999999</v>
      </c>
      <c r="EY18" s="45">
        <v>30.277999999999999</v>
      </c>
      <c r="EZ18" s="45">
        <v>30.277999999999999</v>
      </c>
      <c r="FA18" s="82">
        <v>30.277999999999999</v>
      </c>
      <c r="FB18" s="45">
        <v>30.277999999999999</v>
      </c>
      <c r="FC18" s="45">
        <v>30.277999999999999</v>
      </c>
      <c r="FD18" s="45">
        <v>30.277999999999999</v>
      </c>
      <c r="FE18" s="45">
        <v>30.277999999999999</v>
      </c>
      <c r="FF18" s="45">
        <v>30.277999999999999</v>
      </c>
      <c r="FG18" s="45">
        <v>30.277999999999999</v>
      </c>
      <c r="FH18" s="45">
        <v>30.277999999999999</v>
      </c>
      <c r="FI18" s="45">
        <v>30.277999999999999</v>
      </c>
      <c r="FJ18" s="45">
        <v>30.327999999999999</v>
      </c>
      <c r="FK18" s="155">
        <v>30.628</v>
      </c>
      <c r="FL18" s="155">
        <v>30.628</v>
      </c>
      <c r="FM18" s="155">
        <v>30.628</v>
      </c>
      <c r="FN18" s="69">
        <v>30.628</v>
      </c>
      <c r="FO18" s="155">
        <v>30.628</v>
      </c>
      <c r="FP18" s="155">
        <v>30.628</v>
      </c>
      <c r="FQ18" s="155">
        <v>30.628</v>
      </c>
      <c r="FR18" s="155">
        <v>30.628</v>
      </c>
      <c r="FS18" s="155">
        <v>30.628</v>
      </c>
      <c r="FT18" s="155">
        <v>30.678000000000001</v>
      </c>
      <c r="FU18" s="178">
        <v>30.678000000000001</v>
      </c>
      <c r="FV18" s="178">
        <v>30.678000000000001</v>
      </c>
      <c r="FW18" s="178">
        <v>30.678000000000001</v>
      </c>
      <c r="FX18" s="178">
        <v>30.678000000000001</v>
      </c>
      <c r="FY18" s="180">
        <v>30.895</v>
      </c>
      <c r="FZ18" s="178">
        <v>30.895</v>
      </c>
      <c r="GA18" s="178">
        <v>30.895</v>
      </c>
      <c r="GB18" s="178">
        <v>30.895</v>
      </c>
      <c r="GC18" s="178">
        <v>30.895</v>
      </c>
      <c r="GD18" s="178">
        <v>30.895</v>
      </c>
      <c r="GE18" s="178">
        <v>30.895</v>
      </c>
      <c r="GF18" s="178">
        <v>30.945</v>
      </c>
      <c r="GG18" s="178">
        <v>30.995000000000001</v>
      </c>
      <c r="GH18" s="178">
        <v>30.995000000000001</v>
      </c>
      <c r="GI18" s="178">
        <v>30.995000000000001</v>
      </c>
      <c r="GJ18" s="178">
        <v>30.995000000000001</v>
      </c>
      <c r="GK18" s="180">
        <v>30.995000000000001</v>
      </c>
      <c r="GL18" s="178">
        <v>30.995000000000001</v>
      </c>
      <c r="GM18" s="178">
        <v>31.045000000000002</v>
      </c>
      <c r="GN18" s="178">
        <v>31.045000000000002</v>
      </c>
    </row>
    <row r="19" spans="1:196" s="1" customFormat="1" ht="20.149999999999999" customHeight="1" x14ac:dyDescent="0.35">
      <c r="A19" s="31" t="s">
        <v>1624</v>
      </c>
      <c r="B19" s="45">
        <v>0</v>
      </c>
      <c r="C19" s="45">
        <v>0</v>
      </c>
      <c r="D19" s="45">
        <v>0</v>
      </c>
      <c r="E19" s="45">
        <v>0</v>
      </c>
      <c r="F19" s="45">
        <v>0</v>
      </c>
      <c r="G19" s="45">
        <v>0</v>
      </c>
      <c r="H19" s="45">
        <v>0</v>
      </c>
      <c r="I19" s="45">
        <v>0</v>
      </c>
      <c r="J19" s="45">
        <v>0</v>
      </c>
      <c r="K19" s="45">
        <v>0</v>
      </c>
      <c r="L19" s="45">
        <v>0</v>
      </c>
      <c r="M19" s="49">
        <v>0</v>
      </c>
      <c r="N19" s="50">
        <v>0</v>
      </c>
      <c r="O19" s="45">
        <v>0</v>
      </c>
      <c r="P19" s="45">
        <v>0</v>
      </c>
      <c r="Q19" s="45">
        <v>0</v>
      </c>
      <c r="R19" s="45">
        <v>0</v>
      </c>
      <c r="S19" s="45">
        <v>0</v>
      </c>
      <c r="T19" s="45">
        <v>0</v>
      </c>
      <c r="U19" s="45">
        <v>0</v>
      </c>
      <c r="V19" s="45">
        <v>0</v>
      </c>
      <c r="W19" s="45">
        <v>0</v>
      </c>
      <c r="X19" s="45">
        <v>0</v>
      </c>
      <c r="Y19" s="49">
        <v>0</v>
      </c>
      <c r="Z19" s="50">
        <v>0</v>
      </c>
      <c r="AA19" s="45">
        <v>0</v>
      </c>
      <c r="AB19" s="45">
        <v>0</v>
      </c>
      <c r="AC19" s="45">
        <v>0</v>
      </c>
      <c r="AD19" s="45">
        <v>0</v>
      </c>
      <c r="AE19" s="45">
        <v>0</v>
      </c>
      <c r="AF19" s="45">
        <v>0</v>
      </c>
      <c r="AG19" s="45">
        <v>0</v>
      </c>
      <c r="AH19" s="45">
        <v>0</v>
      </c>
      <c r="AI19" s="45">
        <v>0</v>
      </c>
      <c r="AJ19" s="45">
        <v>0</v>
      </c>
      <c r="AK19" s="49">
        <v>0</v>
      </c>
      <c r="AL19" s="50">
        <v>0</v>
      </c>
      <c r="AM19" s="45">
        <v>0</v>
      </c>
      <c r="AN19" s="45">
        <v>0</v>
      </c>
      <c r="AO19" s="45">
        <v>0</v>
      </c>
      <c r="AP19" s="45">
        <v>0</v>
      </c>
      <c r="AQ19" s="45">
        <v>0</v>
      </c>
      <c r="AR19" s="45">
        <v>0</v>
      </c>
      <c r="AS19" s="45">
        <v>0</v>
      </c>
      <c r="AT19" s="45">
        <v>0</v>
      </c>
      <c r="AU19" s="45">
        <v>0</v>
      </c>
      <c r="AV19" s="45">
        <v>0</v>
      </c>
      <c r="AW19" s="49">
        <v>0</v>
      </c>
      <c r="AX19" s="45">
        <v>0</v>
      </c>
      <c r="AY19" s="45">
        <v>0</v>
      </c>
      <c r="AZ19" s="45">
        <v>0</v>
      </c>
      <c r="BA19" s="45">
        <v>0</v>
      </c>
      <c r="BB19" s="45">
        <v>0</v>
      </c>
      <c r="BC19" s="45">
        <v>0</v>
      </c>
      <c r="BD19" s="45">
        <v>0</v>
      </c>
      <c r="BE19" s="45">
        <v>0</v>
      </c>
      <c r="BF19" s="45">
        <v>0</v>
      </c>
      <c r="BG19" s="45">
        <v>0</v>
      </c>
      <c r="BH19" s="45">
        <v>0</v>
      </c>
      <c r="BI19" s="49">
        <v>0</v>
      </c>
      <c r="BJ19" s="45">
        <v>0</v>
      </c>
      <c r="BK19" s="45">
        <v>0</v>
      </c>
      <c r="BL19" s="45">
        <v>0</v>
      </c>
      <c r="BM19" s="45">
        <v>0</v>
      </c>
      <c r="BN19" s="45">
        <v>0</v>
      </c>
      <c r="BO19" s="45">
        <v>0</v>
      </c>
      <c r="BP19" s="45">
        <v>0</v>
      </c>
      <c r="BQ19" s="45">
        <v>0</v>
      </c>
      <c r="BR19" s="45">
        <v>0</v>
      </c>
      <c r="BS19" s="45">
        <v>0</v>
      </c>
      <c r="BT19" s="45">
        <v>0</v>
      </c>
      <c r="BU19" s="49">
        <v>0</v>
      </c>
      <c r="BV19" s="45">
        <v>0</v>
      </c>
      <c r="BW19" s="45">
        <v>0</v>
      </c>
      <c r="BX19" s="45">
        <v>0</v>
      </c>
      <c r="BY19" s="45">
        <v>5.1260000000000003</v>
      </c>
      <c r="BZ19" s="45">
        <v>5.1260000000000003</v>
      </c>
      <c r="CA19" s="45">
        <v>5.1260000000000003</v>
      </c>
      <c r="CB19" s="45">
        <v>5.1260000000000003</v>
      </c>
      <c r="CC19" s="45">
        <v>5.1260000000000003</v>
      </c>
      <c r="CD19" s="45">
        <v>5.1260000000000003</v>
      </c>
      <c r="CE19" s="45">
        <v>5.1260000000000003</v>
      </c>
      <c r="CF19" s="45">
        <v>5.1260000000000003</v>
      </c>
      <c r="CG19" s="49">
        <v>5.1260000000000003</v>
      </c>
      <c r="CH19" s="45">
        <v>5.1260000000000003</v>
      </c>
      <c r="CI19" s="45">
        <v>31.606999999999999</v>
      </c>
      <c r="CJ19" s="45">
        <v>65.807000000000002</v>
      </c>
      <c r="CK19" s="45">
        <v>65.807000000000002</v>
      </c>
      <c r="CL19" s="45">
        <v>65.807000000000002</v>
      </c>
      <c r="CM19" s="45">
        <v>65.807000000000002</v>
      </c>
      <c r="CN19" s="45">
        <v>65.807000000000002</v>
      </c>
      <c r="CO19" s="45">
        <v>65.807000000000002</v>
      </c>
      <c r="CP19" s="45">
        <v>65.807000000000002</v>
      </c>
      <c r="CQ19" s="45">
        <v>65.807000000000002</v>
      </c>
      <c r="CR19" s="45">
        <v>65.807000000000002</v>
      </c>
      <c r="CS19" s="49">
        <v>77.766999999999996</v>
      </c>
      <c r="CT19" s="45">
        <v>77.766999999999996</v>
      </c>
      <c r="CU19" s="45">
        <v>84.266999999999996</v>
      </c>
      <c r="CV19" s="45">
        <v>98.468999999999994</v>
      </c>
      <c r="CW19" s="45">
        <v>111.46899999999999</v>
      </c>
      <c r="CX19" s="45">
        <v>117.96899999999999</v>
      </c>
      <c r="CY19" s="45">
        <v>117.96899999999999</v>
      </c>
      <c r="CZ19" s="45">
        <v>117.96899999999999</v>
      </c>
      <c r="DA19" s="45">
        <v>117.96899999999999</v>
      </c>
      <c r="DB19" s="45">
        <v>117.96899999999999</v>
      </c>
      <c r="DC19" s="45">
        <v>117.96899999999999</v>
      </c>
      <c r="DD19" s="45">
        <v>117.96899999999999</v>
      </c>
      <c r="DE19" s="49">
        <v>117.96899999999999</v>
      </c>
      <c r="DF19" s="45">
        <v>117.96899999999999</v>
      </c>
      <c r="DG19" s="45">
        <v>117.96899999999999</v>
      </c>
      <c r="DH19" s="45">
        <v>117.96899999999999</v>
      </c>
      <c r="DI19" s="45">
        <v>117.96899999999999</v>
      </c>
      <c r="DJ19" s="45">
        <v>117.96899999999999</v>
      </c>
      <c r="DK19" s="45">
        <v>117.96899999999999</v>
      </c>
      <c r="DL19" s="45">
        <v>117.96899999999999</v>
      </c>
      <c r="DM19" s="45">
        <v>117.96899999999999</v>
      </c>
      <c r="DN19" s="45">
        <v>117.96899999999999</v>
      </c>
      <c r="DO19" s="45">
        <v>117.96899999999999</v>
      </c>
      <c r="DP19" s="45">
        <v>117.96899999999999</v>
      </c>
      <c r="DQ19" s="49">
        <v>117.96899999999999</v>
      </c>
      <c r="DR19" s="45">
        <v>117.96899999999999</v>
      </c>
      <c r="DS19" s="45">
        <v>117.96899999999999</v>
      </c>
      <c r="DT19" s="45">
        <v>117.96899999999999</v>
      </c>
      <c r="DU19" s="45">
        <v>117.96899999999999</v>
      </c>
      <c r="DV19" s="45">
        <v>117.96899999999999</v>
      </c>
      <c r="DW19" s="45">
        <v>117.96899999999999</v>
      </c>
      <c r="DX19" s="45">
        <v>117.96899999999999</v>
      </c>
      <c r="DY19" s="45">
        <v>117.96899999999999</v>
      </c>
      <c r="DZ19" s="45">
        <v>117.96899999999999</v>
      </c>
      <c r="EA19" s="45">
        <v>117.96899999999999</v>
      </c>
      <c r="EB19" s="45">
        <v>117.96899999999999</v>
      </c>
      <c r="EC19" s="49">
        <v>117.96899999999999</v>
      </c>
      <c r="ED19" s="45">
        <v>117.96899999999999</v>
      </c>
      <c r="EE19" s="45">
        <v>117.96899999999999</v>
      </c>
      <c r="EF19" s="45">
        <v>117.96899999999999</v>
      </c>
      <c r="EG19" s="45">
        <v>117.96899999999999</v>
      </c>
      <c r="EH19" s="45">
        <v>117.96899999999999</v>
      </c>
      <c r="EI19" s="45">
        <v>117.96899999999999</v>
      </c>
      <c r="EJ19" s="45">
        <v>117.96899999999999</v>
      </c>
      <c r="EK19" s="45">
        <v>117.96899999999999</v>
      </c>
      <c r="EL19" s="45">
        <v>117.96899999999999</v>
      </c>
      <c r="EM19" s="45">
        <v>117.96899999999999</v>
      </c>
      <c r="EN19" s="45">
        <v>117.96899999999999</v>
      </c>
      <c r="EO19" s="82">
        <v>117.96899999999999</v>
      </c>
      <c r="EP19" s="45">
        <v>117.96899999999999</v>
      </c>
      <c r="EQ19" s="45">
        <v>117.96899999999999</v>
      </c>
      <c r="ER19" s="45">
        <v>117.96899999999999</v>
      </c>
      <c r="ES19" s="45">
        <v>117.96899999999999</v>
      </c>
      <c r="ET19" s="45">
        <v>117.96899999999999</v>
      </c>
      <c r="EU19" s="45">
        <v>117.96899999999999</v>
      </c>
      <c r="EV19" s="45">
        <v>117.96899999999999</v>
      </c>
      <c r="EW19" s="45">
        <v>117.96899999999999</v>
      </c>
      <c r="EX19" s="45">
        <v>117.96899999999999</v>
      </c>
      <c r="EY19" s="45">
        <v>117.96899999999999</v>
      </c>
      <c r="EZ19" s="45">
        <v>117.96899999999999</v>
      </c>
      <c r="FA19" s="82">
        <v>117.96899999999999</v>
      </c>
      <c r="FB19" s="45">
        <v>117.96899999999999</v>
      </c>
      <c r="FC19" s="45">
        <v>117.96899999999999</v>
      </c>
      <c r="FD19" s="45">
        <v>117.96899999999999</v>
      </c>
      <c r="FE19" s="45">
        <v>117.96899999999999</v>
      </c>
      <c r="FF19" s="45">
        <v>117.96899999999999</v>
      </c>
      <c r="FG19" s="45">
        <v>117.96899999999999</v>
      </c>
      <c r="FH19" s="45">
        <v>117.96899999999999</v>
      </c>
      <c r="FI19" s="45">
        <v>117.96899999999999</v>
      </c>
      <c r="FJ19" s="45">
        <v>117.96899999999999</v>
      </c>
      <c r="FK19" s="155">
        <v>117.96899999999999</v>
      </c>
      <c r="FL19" s="155">
        <v>117.96899999999999</v>
      </c>
      <c r="FM19" s="155">
        <v>117.96899999999999</v>
      </c>
      <c r="FN19" s="69">
        <v>117.96899999999999</v>
      </c>
      <c r="FO19" s="155">
        <v>117.96899999999999</v>
      </c>
      <c r="FP19" s="155">
        <v>117.96899999999999</v>
      </c>
      <c r="FQ19" s="155">
        <v>117.96899999999999</v>
      </c>
      <c r="FR19" s="155">
        <v>117.96899999999999</v>
      </c>
      <c r="FS19" s="155">
        <v>117.96899999999999</v>
      </c>
      <c r="FT19" s="155">
        <v>117.96899999999999</v>
      </c>
      <c r="FU19" s="178">
        <v>117.96899999999999</v>
      </c>
      <c r="FV19" s="178">
        <v>117.96899999999999</v>
      </c>
      <c r="FW19" s="178">
        <v>117.96899999999999</v>
      </c>
      <c r="FX19" s="178">
        <v>117.96899999999999</v>
      </c>
      <c r="FY19" s="180">
        <v>117.96899999999999</v>
      </c>
      <c r="FZ19" s="178">
        <v>117.96899999999999</v>
      </c>
      <c r="GA19" s="178">
        <v>117.96899999999999</v>
      </c>
      <c r="GB19" s="178">
        <v>117.96899999999999</v>
      </c>
      <c r="GC19" s="178">
        <v>117.96899999999999</v>
      </c>
      <c r="GD19" s="178">
        <v>117.96899999999999</v>
      </c>
      <c r="GE19" s="178">
        <v>117.96899999999999</v>
      </c>
      <c r="GF19" s="178">
        <v>117.96899999999999</v>
      </c>
      <c r="GG19" s="178">
        <v>117.96899999999999</v>
      </c>
      <c r="GH19" s="178">
        <v>117.96899999999999</v>
      </c>
      <c r="GI19" s="178">
        <v>117.96899999999999</v>
      </c>
      <c r="GJ19" s="178">
        <v>117.96899999999999</v>
      </c>
      <c r="GK19" s="180">
        <v>117.96899999999999</v>
      </c>
      <c r="GL19" s="178">
        <v>117.96899999999999</v>
      </c>
      <c r="GM19" s="178">
        <v>117.96899999999999</v>
      </c>
      <c r="GN19" s="178">
        <v>117.96899999999999</v>
      </c>
    </row>
    <row r="20" spans="1:196" s="1" customFormat="1" ht="20.149999999999999" customHeight="1" x14ac:dyDescent="0.4">
      <c r="A20" s="31" t="s">
        <v>1628</v>
      </c>
      <c r="B20" s="46">
        <v>0</v>
      </c>
      <c r="C20" s="46">
        <v>0</v>
      </c>
      <c r="D20" s="46">
        <v>0</v>
      </c>
      <c r="E20" s="46">
        <v>0</v>
      </c>
      <c r="F20" s="46">
        <v>0</v>
      </c>
      <c r="G20" s="46">
        <v>0</v>
      </c>
      <c r="H20" s="46">
        <v>0</v>
      </c>
      <c r="I20" s="46">
        <v>0</v>
      </c>
      <c r="J20" s="46">
        <v>0</v>
      </c>
      <c r="K20" s="46">
        <v>0</v>
      </c>
      <c r="L20" s="46">
        <v>0</v>
      </c>
      <c r="M20" s="48">
        <v>0</v>
      </c>
      <c r="N20" s="47">
        <v>0</v>
      </c>
      <c r="O20" s="46">
        <v>0</v>
      </c>
      <c r="P20" s="46">
        <v>0</v>
      </c>
      <c r="Q20" s="46">
        <v>0</v>
      </c>
      <c r="R20" s="46">
        <v>0</v>
      </c>
      <c r="S20" s="46">
        <v>0</v>
      </c>
      <c r="T20" s="46">
        <v>0</v>
      </c>
      <c r="U20" s="46">
        <v>0</v>
      </c>
      <c r="V20" s="46">
        <v>0</v>
      </c>
      <c r="W20" s="46">
        <v>0</v>
      </c>
      <c r="X20" s="46">
        <v>0</v>
      </c>
      <c r="Y20" s="48">
        <v>0</v>
      </c>
      <c r="Z20" s="47">
        <v>0</v>
      </c>
      <c r="AA20" s="46">
        <v>0</v>
      </c>
      <c r="AB20" s="46">
        <v>0</v>
      </c>
      <c r="AC20" s="46">
        <v>0</v>
      </c>
      <c r="AD20" s="46">
        <v>0</v>
      </c>
      <c r="AE20" s="46">
        <v>0</v>
      </c>
      <c r="AF20" s="46">
        <v>0</v>
      </c>
      <c r="AG20" s="46">
        <v>0</v>
      </c>
      <c r="AH20" s="46">
        <v>0</v>
      </c>
      <c r="AI20" s="46">
        <v>0</v>
      </c>
      <c r="AJ20" s="46">
        <v>0</v>
      </c>
      <c r="AK20" s="48">
        <v>0</v>
      </c>
      <c r="AL20" s="47">
        <v>0</v>
      </c>
      <c r="AM20" s="46">
        <v>0</v>
      </c>
      <c r="AN20" s="46">
        <v>0</v>
      </c>
      <c r="AO20" s="46">
        <v>0</v>
      </c>
      <c r="AP20" s="46">
        <v>0</v>
      </c>
      <c r="AQ20" s="46">
        <v>0</v>
      </c>
      <c r="AR20" s="46">
        <v>0</v>
      </c>
      <c r="AS20" s="46">
        <v>0</v>
      </c>
      <c r="AT20" s="46">
        <v>0</v>
      </c>
      <c r="AU20" s="46">
        <v>0</v>
      </c>
      <c r="AV20" s="46">
        <v>0</v>
      </c>
      <c r="AW20" s="48">
        <v>0</v>
      </c>
      <c r="AX20" s="46">
        <v>0</v>
      </c>
      <c r="AY20" s="46">
        <v>0</v>
      </c>
      <c r="AZ20" s="46">
        <v>0</v>
      </c>
      <c r="BA20" s="46">
        <v>0</v>
      </c>
      <c r="BB20" s="46">
        <v>0</v>
      </c>
      <c r="BC20" s="46">
        <v>0</v>
      </c>
      <c r="BD20" s="46">
        <v>0</v>
      </c>
      <c r="BE20" s="46">
        <v>0</v>
      </c>
      <c r="BF20" s="46">
        <v>0</v>
      </c>
      <c r="BG20" s="46">
        <v>0</v>
      </c>
      <c r="BH20" s="46">
        <v>0</v>
      </c>
      <c r="BI20" s="48">
        <v>0</v>
      </c>
      <c r="BJ20" s="46">
        <v>0</v>
      </c>
      <c r="BK20" s="46">
        <v>0</v>
      </c>
      <c r="BL20" s="46">
        <v>0</v>
      </c>
      <c r="BM20" s="46">
        <v>0</v>
      </c>
      <c r="BN20" s="46">
        <v>0</v>
      </c>
      <c r="BO20" s="46">
        <v>0</v>
      </c>
      <c r="BP20" s="46">
        <v>0</v>
      </c>
      <c r="BQ20" s="46">
        <v>0</v>
      </c>
      <c r="BR20" s="46">
        <v>0</v>
      </c>
      <c r="BS20" s="46">
        <v>0</v>
      </c>
      <c r="BT20" s="46">
        <v>0</v>
      </c>
      <c r="BU20" s="48">
        <v>0</v>
      </c>
      <c r="BV20" s="46">
        <v>0</v>
      </c>
      <c r="BW20" s="46">
        <v>0</v>
      </c>
      <c r="BX20" s="46">
        <v>0</v>
      </c>
      <c r="BY20" s="46">
        <v>0</v>
      </c>
      <c r="BZ20" s="46">
        <v>0</v>
      </c>
      <c r="CA20" s="46">
        <v>0</v>
      </c>
      <c r="CB20" s="46">
        <v>0</v>
      </c>
      <c r="CC20" s="46">
        <v>0</v>
      </c>
      <c r="CD20" s="46">
        <v>0</v>
      </c>
      <c r="CE20" s="46">
        <v>0</v>
      </c>
      <c r="CF20" s="46">
        <v>0</v>
      </c>
      <c r="CG20" s="48">
        <v>0</v>
      </c>
      <c r="CH20" s="45">
        <v>0</v>
      </c>
      <c r="CI20" s="45">
        <v>0</v>
      </c>
      <c r="CJ20" s="45">
        <v>45.753</v>
      </c>
      <c r="CK20" s="45">
        <v>45.753</v>
      </c>
      <c r="CL20" s="45">
        <v>45.753</v>
      </c>
      <c r="CM20" s="45">
        <v>45.753</v>
      </c>
      <c r="CN20" s="45">
        <v>45.753</v>
      </c>
      <c r="CO20" s="45">
        <v>45.753</v>
      </c>
      <c r="CP20" s="45">
        <v>45.753</v>
      </c>
      <c r="CQ20" s="45">
        <v>45.753</v>
      </c>
      <c r="CR20" s="45">
        <v>45.753</v>
      </c>
      <c r="CS20" s="49">
        <v>45.753</v>
      </c>
      <c r="CT20" s="45">
        <v>72.852999999999994</v>
      </c>
      <c r="CU20" s="45">
        <v>72.852999999999994</v>
      </c>
      <c r="CV20" s="45">
        <v>72.852999999999994</v>
      </c>
      <c r="CW20" s="45">
        <v>72.852999999999994</v>
      </c>
      <c r="CX20" s="45">
        <v>72.852999999999994</v>
      </c>
      <c r="CY20" s="45">
        <v>72.852999999999994</v>
      </c>
      <c r="CZ20" s="45">
        <v>72.852999999999994</v>
      </c>
      <c r="DA20" s="45">
        <v>72.852999999999994</v>
      </c>
      <c r="DB20" s="45">
        <v>72.852999999999994</v>
      </c>
      <c r="DC20" s="45">
        <v>72.852999999999994</v>
      </c>
      <c r="DD20" s="46">
        <v>72.852999999999994</v>
      </c>
      <c r="DE20" s="48">
        <v>72.852999999999994</v>
      </c>
      <c r="DF20" s="45">
        <v>72.852999999999994</v>
      </c>
      <c r="DG20" s="45">
        <v>72.852999999999994</v>
      </c>
      <c r="DH20" s="46">
        <v>72.852999999999994</v>
      </c>
      <c r="DI20" s="45">
        <v>72.852999999999994</v>
      </c>
      <c r="DJ20" s="45">
        <v>72.852999999999994</v>
      </c>
      <c r="DK20" s="45">
        <v>72.852999999999994</v>
      </c>
      <c r="DL20" s="45">
        <v>72.852999999999994</v>
      </c>
      <c r="DM20" s="45">
        <v>72.852999999999994</v>
      </c>
      <c r="DN20" s="45">
        <v>72.852999999999994</v>
      </c>
      <c r="DO20" s="45">
        <v>72.852999999999994</v>
      </c>
      <c r="DP20" s="45">
        <v>72.852999999999994</v>
      </c>
      <c r="DQ20" s="48">
        <v>72.852999999999994</v>
      </c>
      <c r="DR20" s="45">
        <v>72.852999999999994</v>
      </c>
      <c r="DS20" s="45">
        <v>72.852999999999994</v>
      </c>
      <c r="DT20" s="45">
        <v>72.852999999999994</v>
      </c>
      <c r="DU20" s="45">
        <v>72.852999999999994</v>
      </c>
      <c r="DV20" s="45">
        <v>72.852999999999994</v>
      </c>
      <c r="DW20" s="45">
        <v>72.852999999999994</v>
      </c>
      <c r="DX20" s="45">
        <v>72.852999999999994</v>
      </c>
      <c r="DY20" s="45">
        <v>72.852999999999994</v>
      </c>
      <c r="DZ20" s="45">
        <v>72.852999999999994</v>
      </c>
      <c r="EA20" s="45">
        <v>72.852999999999994</v>
      </c>
      <c r="EB20" s="45">
        <v>72.852999999999994</v>
      </c>
      <c r="EC20" s="49">
        <v>72.852999999999994</v>
      </c>
      <c r="ED20" s="45">
        <v>72.852999999999994</v>
      </c>
      <c r="EE20" s="45">
        <v>72.852999999999994</v>
      </c>
      <c r="EF20" s="45">
        <v>72.852999999999994</v>
      </c>
      <c r="EG20" s="45">
        <v>72.852999999999994</v>
      </c>
      <c r="EH20" s="45">
        <v>72.852999999999994</v>
      </c>
      <c r="EI20" s="45">
        <v>72.852999999999994</v>
      </c>
      <c r="EJ20" s="45">
        <v>72.852999999999994</v>
      </c>
      <c r="EK20" s="45">
        <v>72.852999999999994</v>
      </c>
      <c r="EL20" s="45">
        <v>72.852999999999994</v>
      </c>
      <c r="EM20" s="45">
        <v>72.852999999999994</v>
      </c>
      <c r="EN20" s="45">
        <v>72.852999999999994</v>
      </c>
      <c r="EO20" s="82">
        <v>72.852999999999994</v>
      </c>
      <c r="EP20" s="45">
        <v>72.852999999999994</v>
      </c>
      <c r="EQ20" s="45">
        <v>72.852999999999994</v>
      </c>
      <c r="ER20" s="45">
        <v>72.852999999999994</v>
      </c>
      <c r="ES20" s="45">
        <v>72.852999999999994</v>
      </c>
      <c r="ET20" s="45">
        <v>72.852999999999994</v>
      </c>
      <c r="EU20" s="45">
        <v>72.852999999999994</v>
      </c>
      <c r="EV20" s="45">
        <v>72.852999999999994</v>
      </c>
      <c r="EW20" s="45">
        <v>72.852999999999994</v>
      </c>
      <c r="EX20" s="45">
        <v>72.852999999999994</v>
      </c>
      <c r="EY20" s="45">
        <v>72.852999999999994</v>
      </c>
      <c r="EZ20" s="45">
        <v>72.852999999999994</v>
      </c>
      <c r="FA20" s="82">
        <v>72.852999999999994</v>
      </c>
      <c r="FB20" s="45">
        <v>72.852999999999994</v>
      </c>
      <c r="FC20" s="45">
        <v>72.852999999999994</v>
      </c>
      <c r="FD20" s="45">
        <v>72.852999999999994</v>
      </c>
      <c r="FE20" s="45">
        <v>72.852999999999994</v>
      </c>
      <c r="FF20" s="45">
        <v>72.852999999999994</v>
      </c>
      <c r="FG20" s="45">
        <v>72.852999999999994</v>
      </c>
      <c r="FH20" s="45">
        <v>72.852999999999994</v>
      </c>
      <c r="FI20" s="45">
        <v>72.852999999999994</v>
      </c>
      <c r="FJ20" s="45">
        <v>72.852999999999994</v>
      </c>
      <c r="FK20" s="155">
        <v>72.852999999999994</v>
      </c>
      <c r="FL20" s="155">
        <v>72.852999999999994</v>
      </c>
      <c r="FM20" s="155">
        <v>72.852999999999994</v>
      </c>
      <c r="FN20" s="69">
        <v>72.852999999999994</v>
      </c>
      <c r="FO20" s="155">
        <v>72.852999999999994</v>
      </c>
      <c r="FP20" s="155">
        <v>72.852999999999994</v>
      </c>
      <c r="FQ20" s="155">
        <v>72.852999999999994</v>
      </c>
      <c r="FR20" s="155">
        <v>72.852999999999994</v>
      </c>
      <c r="FS20" s="155">
        <v>72.852999999999994</v>
      </c>
      <c r="FT20" s="155">
        <v>72.852999999999994</v>
      </c>
      <c r="FU20" s="178">
        <v>72.852999999999994</v>
      </c>
      <c r="FV20" s="178">
        <v>72.852999999999994</v>
      </c>
      <c r="FW20" s="178">
        <v>72.852999999999994</v>
      </c>
      <c r="FX20" s="178">
        <v>72.852999999999994</v>
      </c>
      <c r="FY20" s="180">
        <v>72.852999999999994</v>
      </c>
      <c r="FZ20" s="178">
        <v>72.852999999999994</v>
      </c>
      <c r="GA20" s="178">
        <v>72.852999999999994</v>
      </c>
      <c r="GB20" s="178">
        <v>72.852999999999994</v>
      </c>
      <c r="GC20" s="178">
        <v>72.852999999999994</v>
      </c>
      <c r="GD20" s="178">
        <v>72.852999999999994</v>
      </c>
      <c r="GE20" s="178">
        <v>72.852999999999994</v>
      </c>
      <c r="GF20" s="178">
        <v>72.852999999999994</v>
      </c>
      <c r="GG20" s="178">
        <v>72.852999999999994</v>
      </c>
      <c r="GH20" s="178">
        <v>72.852999999999994</v>
      </c>
      <c r="GI20" s="178">
        <v>72.852999999999994</v>
      </c>
      <c r="GJ20" s="178">
        <v>72.852999999999994</v>
      </c>
      <c r="GK20" s="180">
        <v>72.852999999999994</v>
      </c>
      <c r="GL20" s="178">
        <v>72.852999999999994</v>
      </c>
      <c r="GM20" s="178">
        <v>72.852999999999994</v>
      </c>
      <c r="GN20" s="178">
        <v>72.852999999999994</v>
      </c>
    </row>
    <row r="21" spans="1:196" s="25" customFormat="1" ht="20.149999999999999" customHeight="1" thickBot="1" x14ac:dyDescent="0.4">
      <c r="A21" s="32" t="s">
        <v>267</v>
      </c>
      <c r="B21" s="51">
        <f>SUM(B15:B20)</f>
        <v>1.046</v>
      </c>
      <c r="C21" s="52">
        <f t="shared" ref="C21:BN21" si="4">SUM(C15:C20)</f>
        <v>1.046</v>
      </c>
      <c r="D21" s="52">
        <f t="shared" si="4"/>
        <v>1.0860000000000001</v>
      </c>
      <c r="E21" s="52">
        <f t="shared" si="4"/>
        <v>1.099</v>
      </c>
      <c r="F21" s="52">
        <f t="shared" si="4"/>
        <v>1.105</v>
      </c>
      <c r="G21" s="52">
        <f t="shared" si="4"/>
        <v>1.133</v>
      </c>
      <c r="H21" s="52">
        <f t="shared" si="4"/>
        <v>1.1520000000000001</v>
      </c>
      <c r="I21" s="52">
        <f t="shared" si="4"/>
        <v>1.155</v>
      </c>
      <c r="J21" s="52">
        <f t="shared" si="4"/>
        <v>1.1560000000000001</v>
      </c>
      <c r="K21" s="52">
        <f t="shared" si="4"/>
        <v>1.167</v>
      </c>
      <c r="L21" s="52">
        <f t="shared" si="4"/>
        <v>1.1859999999999999</v>
      </c>
      <c r="M21" s="53">
        <f t="shared" si="4"/>
        <v>1.198</v>
      </c>
      <c r="N21" s="52">
        <f t="shared" si="4"/>
        <v>1.198</v>
      </c>
      <c r="O21" s="52">
        <f t="shared" si="4"/>
        <v>1.2070000000000001</v>
      </c>
      <c r="P21" s="52">
        <f t="shared" si="4"/>
        <v>1.2210000000000001</v>
      </c>
      <c r="Q21" s="52">
        <f t="shared" si="4"/>
        <v>1.23</v>
      </c>
      <c r="R21" s="52">
        <f t="shared" si="4"/>
        <v>1.2829999999999999</v>
      </c>
      <c r="S21" s="52">
        <f t="shared" si="4"/>
        <v>1.3260000000000001</v>
      </c>
      <c r="T21" s="52">
        <f t="shared" si="4"/>
        <v>1.343</v>
      </c>
      <c r="U21" s="52">
        <f t="shared" si="4"/>
        <v>1.3759999999999999</v>
      </c>
      <c r="V21" s="52">
        <f t="shared" si="4"/>
        <v>1.4260000000000002</v>
      </c>
      <c r="W21" s="52">
        <f t="shared" si="4"/>
        <v>1.5359999999999998</v>
      </c>
      <c r="X21" s="52">
        <f t="shared" si="4"/>
        <v>1.6529999999999998</v>
      </c>
      <c r="Y21" s="53">
        <f t="shared" si="4"/>
        <v>1.823</v>
      </c>
      <c r="Z21" s="52">
        <f t="shared" si="4"/>
        <v>2.0070000000000001</v>
      </c>
      <c r="AA21" s="52">
        <f t="shared" si="4"/>
        <v>2.0909999999999997</v>
      </c>
      <c r="AB21" s="52">
        <f t="shared" si="4"/>
        <v>2.226</v>
      </c>
      <c r="AC21" s="52">
        <f t="shared" si="4"/>
        <v>2.3180000000000001</v>
      </c>
      <c r="AD21" s="52">
        <f t="shared" si="4"/>
        <v>2.3979999999999997</v>
      </c>
      <c r="AE21" s="52">
        <f t="shared" si="4"/>
        <v>2.444</v>
      </c>
      <c r="AF21" s="52">
        <f t="shared" si="4"/>
        <v>2.5459999999999998</v>
      </c>
      <c r="AG21" s="52">
        <f t="shared" si="4"/>
        <v>2.992</v>
      </c>
      <c r="AH21" s="52">
        <f t="shared" si="4"/>
        <v>3.4409999999999998</v>
      </c>
      <c r="AI21" s="52">
        <f t="shared" si="4"/>
        <v>4.2469999999999999</v>
      </c>
      <c r="AJ21" s="52">
        <f t="shared" si="4"/>
        <v>5.3029999999999999</v>
      </c>
      <c r="AK21" s="53">
        <f t="shared" si="4"/>
        <v>5.93</v>
      </c>
      <c r="AL21" s="52">
        <f t="shared" si="4"/>
        <v>6.8069999999999995</v>
      </c>
      <c r="AM21" s="52">
        <f t="shared" si="4"/>
        <v>7.5129999999999999</v>
      </c>
      <c r="AN21" s="52">
        <f t="shared" si="4"/>
        <v>8.4510000000000023</v>
      </c>
      <c r="AO21" s="52">
        <f t="shared" si="4"/>
        <v>9.2680000000000007</v>
      </c>
      <c r="AP21" s="52">
        <f t="shared" si="4"/>
        <v>10.535</v>
      </c>
      <c r="AQ21" s="52">
        <f t="shared" si="4"/>
        <v>11.774000000000003</v>
      </c>
      <c r="AR21" s="52">
        <f t="shared" si="4"/>
        <v>13.545000000000002</v>
      </c>
      <c r="AS21" s="52">
        <f t="shared" si="4"/>
        <v>16.278999999999996</v>
      </c>
      <c r="AT21" s="52">
        <f t="shared" si="4"/>
        <v>19.079000000000001</v>
      </c>
      <c r="AU21" s="52">
        <f t="shared" si="4"/>
        <v>21.702000000000002</v>
      </c>
      <c r="AV21" s="52">
        <f t="shared" si="4"/>
        <v>25.132999999999996</v>
      </c>
      <c r="AW21" s="54">
        <f t="shared" si="4"/>
        <v>27.605999999999998</v>
      </c>
      <c r="AX21" s="52">
        <f t="shared" si="4"/>
        <v>31.162000000000003</v>
      </c>
      <c r="AY21" s="52">
        <f t="shared" si="4"/>
        <v>41.815999999999995</v>
      </c>
      <c r="AZ21" s="52">
        <f t="shared" si="4"/>
        <v>43.695</v>
      </c>
      <c r="BA21" s="52">
        <f t="shared" si="4"/>
        <v>45.463999999999999</v>
      </c>
      <c r="BB21" s="52">
        <f t="shared" si="4"/>
        <v>48.369</v>
      </c>
      <c r="BC21" s="52">
        <f t="shared" si="4"/>
        <v>50.948000000000008</v>
      </c>
      <c r="BD21" s="52">
        <f t="shared" si="4"/>
        <v>53.718000000000004</v>
      </c>
      <c r="BE21" s="52">
        <f t="shared" si="4"/>
        <v>55.921999999999997</v>
      </c>
      <c r="BF21" s="52">
        <f t="shared" si="4"/>
        <v>58.585999999999991</v>
      </c>
      <c r="BG21" s="52">
        <f t="shared" si="4"/>
        <v>61.149000000000001</v>
      </c>
      <c r="BH21" s="52">
        <f t="shared" si="4"/>
        <v>63.488999999999997</v>
      </c>
      <c r="BI21" s="54">
        <f t="shared" si="4"/>
        <v>66.841999999999999</v>
      </c>
      <c r="BJ21" s="52">
        <f t="shared" si="4"/>
        <v>69.258999999999986</v>
      </c>
      <c r="BK21" s="52">
        <f t="shared" si="4"/>
        <v>71.989999999999995</v>
      </c>
      <c r="BL21" s="52">
        <f t="shared" si="4"/>
        <v>75.652000000000001</v>
      </c>
      <c r="BM21" s="52">
        <f t="shared" si="4"/>
        <v>78.305999999999997</v>
      </c>
      <c r="BN21" s="52">
        <f t="shared" si="4"/>
        <v>84.625000000000014</v>
      </c>
      <c r="BO21" s="52">
        <f t="shared" ref="BO21:DZ21" si="5">SUM(BO15:BO20)</f>
        <v>87.588999999999999</v>
      </c>
      <c r="BP21" s="52">
        <f t="shared" si="5"/>
        <v>90.200999999999993</v>
      </c>
      <c r="BQ21" s="52">
        <f t="shared" si="5"/>
        <v>95.283999999999992</v>
      </c>
      <c r="BR21" s="52">
        <f t="shared" si="5"/>
        <v>107.08</v>
      </c>
      <c r="BS21" s="52">
        <f t="shared" si="5"/>
        <v>108.679</v>
      </c>
      <c r="BT21" s="52">
        <f t="shared" si="5"/>
        <v>110.19499999999999</v>
      </c>
      <c r="BU21" s="54">
        <f t="shared" si="5"/>
        <v>111.738</v>
      </c>
      <c r="BV21" s="52">
        <f t="shared" si="5"/>
        <v>113.33800000000001</v>
      </c>
      <c r="BW21" s="52">
        <f t="shared" si="5"/>
        <v>114.93200000000002</v>
      </c>
      <c r="BX21" s="52">
        <f t="shared" si="5"/>
        <v>116.72499999999999</v>
      </c>
      <c r="BY21" s="52">
        <f t="shared" si="5"/>
        <v>123.45100000000002</v>
      </c>
      <c r="BZ21" s="52">
        <f t="shared" si="5"/>
        <v>129.50800000000001</v>
      </c>
      <c r="CA21" s="52">
        <f t="shared" si="5"/>
        <v>131.11500000000001</v>
      </c>
      <c r="CB21" s="52">
        <f t="shared" si="5"/>
        <v>133.02600000000001</v>
      </c>
      <c r="CC21" s="52">
        <f t="shared" si="5"/>
        <v>135.28700000000001</v>
      </c>
      <c r="CD21" s="52">
        <f t="shared" si="5"/>
        <v>142.39500000000001</v>
      </c>
      <c r="CE21" s="52">
        <f t="shared" si="5"/>
        <v>142.55700000000002</v>
      </c>
      <c r="CF21" s="52">
        <f t="shared" si="5"/>
        <v>142.82599999999999</v>
      </c>
      <c r="CG21" s="54">
        <f t="shared" si="5"/>
        <v>143.071</v>
      </c>
      <c r="CH21" s="52">
        <f t="shared" si="5"/>
        <v>143.90800000000002</v>
      </c>
      <c r="CI21" s="52">
        <f t="shared" si="5"/>
        <v>171.59899999999999</v>
      </c>
      <c r="CJ21" s="52">
        <f t="shared" si="5"/>
        <v>255.709</v>
      </c>
      <c r="CK21" s="52">
        <f t="shared" si="5"/>
        <v>255.78299999999996</v>
      </c>
      <c r="CL21" s="52">
        <f t="shared" si="5"/>
        <v>255.875</v>
      </c>
      <c r="CM21" s="52">
        <f t="shared" si="5"/>
        <v>256.07900000000001</v>
      </c>
      <c r="CN21" s="52">
        <f t="shared" si="5"/>
        <v>256.12900000000002</v>
      </c>
      <c r="CO21" s="52">
        <f t="shared" si="5"/>
        <v>256.24099999999999</v>
      </c>
      <c r="CP21" s="52">
        <f t="shared" si="5"/>
        <v>256.33</v>
      </c>
      <c r="CQ21" s="52">
        <f t="shared" si="5"/>
        <v>256.41000000000003</v>
      </c>
      <c r="CR21" s="52">
        <f t="shared" si="5"/>
        <v>256.63400000000001</v>
      </c>
      <c r="CS21" s="54">
        <f t="shared" si="5"/>
        <v>268.709</v>
      </c>
      <c r="CT21" s="52">
        <f t="shared" si="5"/>
        <v>295.851</v>
      </c>
      <c r="CU21" s="52">
        <f t="shared" si="5"/>
        <v>302.43700000000001</v>
      </c>
      <c r="CV21" s="52">
        <f t="shared" si="5"/>
        <v>326.88099999999997</v>
      </c>
      <c r="CW21" s="52">
        <f t="shared" si="5"/>
        <v>340.02000000000004</v>
      </c>
      <c r="CX21" s="52">
        <f t="shared" si="5"/>
        <v>346.59199999999998</v>
      </c>
      <c r="CY21" s="52">
        <f t="shared" si="5"/>
        <v>346.661</v>
      </c>
      <c r="CZ21" s="52">
        <f t="shared" si="5"/>
        <v>346.72700000000003</v>
      </c>
      <c r="DA21" s="52">
        <f t="shared" si="5"/>
        <v>346.91699999999997</v>
      </c>
      <c r="DB21" s="52">
        <f t="shared" si="5"/>
        <v>346.96700000000004</v>
      </c>
      <c r="DC21" s="52">
        <f t="shared" si="5"/>
        <v>347.10899999999998</v>
      </c>
      <c r="DD21" s="52">
        <f t="shared" si="5"/>
        <v>347.214</v>
      </c>
      <c r="DE21" s="54">
        <f t="shared" si="5"/>
        <v>347.3</v>
      </c>
      <c r="DF21" s="52">
        <f t="shared" si="5"/>
        <v>347.42500000000001</v>
      </c>
      <c r="DG21" s="52">
        <f t="shared" si="5"/>
        <v>347.59300000000002</v>
      </c>
      <c r="DH21" s="52">
        <f t="shared" si="5"/>
        <v>347.642</v>
      </c>
      <c r="DI21" s="52">
        <f t="shared" si="5"/>
        <v>347.67400000000004</v>
      </c>
      <c r="DJ21" s="52">
        <f t="shared" si="5"/>
        <v>347.72800000000001</v>
      </c>
      <c r="DK21" s="52">
        <f t="shared" si="5"/>
        <v>347.83300000000003</v>
      </c>
      <c r="DL21" s="52">
        <f t="shared" si="5"/>
        <v>347.90500000000003</v>
      </c>
      <c r="DM21" s="52">
        <f t="shared" si="5"/>
        <v>347.983</v>
      </c>
      <c r="DN21" s="52">
        <f t="shared" si="5"/>
        <v>348.154</v>
      </c>
      <c r="DO21" s="52">
        <f t="shared" si="5"/>
        <v>348.25</v>
      </c>
      <c r="DP21" s="52">
        <f t="shared" si="5"/>
        <v>348.30799999999999</v>
      </c>
      <c r="DQ21" s="54">
        <f t="shared" si="5"/>
        <v>348.34300000000002</v>
      </c>
      <c r="DR21" s="52">
        <f t="shared" si="5"/>
        <v>348.41300000000001</v>
      </c>
      <c r="DS21" s="52">
        <f t="shared" si="5"/>
        <v>348.48700000000002</v>
      </c>
      <c r="DT21" s="52">
        <f t="shared" si="5"/>
        <v>348.54500000000002</v>
      </c>
      <c r="DU21" s="52">
        <f t="shared" si="5"/>
        <v>348.56099999999998</v>
      </c>
      <c r="DV21" s="52">
        <f t="shared" si="5"/>
        <v>348.565</v>
      </c>
      <c r="DW21" s="52">
        <f t="shared" si="5"/>
        <v>348.66900000000004</v>
      </c>
      <c r="DX21" s="52">
        <f t="shared" si="5"/>
        <v>348.77600000000001</v>
      </c>
      <c r="DY21" s="52">
        <f t="shared" si="5"/>
        <v>348.96100000000001</v>
      </c>
      <c r="DZ21" s="52">
        <f t="shared" si="5"/>
        <v>349.08699999999999</v>
      </c>
      <c r="EA21" s="52">
        <f t="shared" ref="EA21:GL21" si="6">SUM(EA15:EA20)</f>
        <v>349.13600000000002</v>
      </c>
      <c r="EB21" s="52">
        <f t="shared" si="6"/>
        <v>349.20499999999998</v>
      </c>
      <c r="EC21" s="54">
        <f t="shared" si="6"/>
        <v>349.22999999999996</v>
      </c>
      <c r="ED21" s="52">
        <f>SUM(ED15:ED20)</f>
        <v>349.33699999999999</v>
      </c>
      <c r="EE21" s="52">
        <f t="shared" si="6"/>
        <v>349.399</v>
      </c>
      <c r="EF21" s="52">
        <f t="shared" si="6"/>
        <v>349.517</v>
      </c>
      <c r="EG21" s="52">
        <f t="shared" si="6"/>
        <v>349.69800000000004</v>
      </c>
      <c r="EH21" s="52">
        <f t="shared" si="6"/>
        <v>349.947</v>
      </c>
      <c r="EI21" s="52">
        <f t="shared" si="6"/>
        <v>350.245</v>
      </c>
      <c r="EJ21" s="52">
        <f t="shared" si="6"/>
        <v>350.38900000000001</v>
      </c>
      <c r="EK21" s="52">
        <f t="shared" si="6"/>
        <v>350.63</v>
      </c>
      <c r="EL21" s="52">
        <f t="shared" si="6"/>
        <v>351.03399999999999</v>
      </c>
      <c r="EM21" s="52">
        <f t="shared" si="6"/>
        <v>351.30199999999996</v>
      </c>
      <c r="EN21" s="52">
        <f t="shared" si="6"/>
        <v>351.81299999999999</v>
      </c>
      <c r="EO21" s="53">
        <f t="shared" si="6"/>
        <v>352.04699999999997</v>
      </c>
      <c r="EP21" s="52">
        <f t="shared" si="6"/>
        <v>352.608</v>
      </c>
      <c r="EQ21" s="52">
        <f t="shared" si="6"/>
        <v>353.02799999999996</v>
      </c>
      <c r="ER21" s="52">
        <f t="shared" si="6"/>
        <v>353.62799999999999</v>
      </c>
      <c r="ES21" s="52">
        <f t="shared" si="6"/>
        <v>354.14000000000004</v>
      </c>
      <c r="ET21" s="52">
        <f t="shared" si="6"/>
        <v>355.11700000000002</v>
      </c>
      <c r="EU21" s="52">
        <f t="shared" si="6"/>
        <v>355.97700000000003</v>
      </c>
      <c r="EV21" s="52">
        <f t="shared" si="6"/>
        <v>356.75299999999999</v>
      </c>
      <c r="EW21" s="52">
        <f t="shared" si="6"/>
        <v>357.64799999999997</v>
      </c>
      <c r="EX21" s="52">
        <f t="shared" si="6"/>
        <v>358.75700000000001</v>
      </c>
      <c r="EY21" s="52">
        <f t="shared" si="6"/>
        <v>360.017</v>
      </c>
      <c r="EZ21" s="52">
        <f t="shared" si="6"/>
        <v>361.47700000000003</v>
      </c>
      <c r="FA21" s="53">
        <f t="shared" si="6"/>
        <v>362.41199999999998</v>
      </c>
      <c r="FB21" s="52">
        <f t="shared" si="6"/>
        <v>363.666</v>
      </c>
      <c r="FC21" s="52">
        <f t="shared" si="6"/>
        <v>364.84899999999999</v>
      </c>
      <c r="FD21" s="52">
        <f t="shared" si="6"/>
        <v>365.91799999999995</v>
      </c>
      <c r="FE21" s="52">
        <f t="shared" si="6"/>
        <v>366.81</v>
      </c>
      <c r="FF21" s="52">
        <f t="shared" si="6"/>
        <v>367.90000000000003</v>
      </c>
      <c r="FG21" s="52">
        <f t="shared" si="6"/>
        <v>368.96300000000002</v>
      </c>
      <c r="FH21" s="52">
        <f t="shared" si="6"/>
        <v>369.87200000000001</v>
      </c>
      <c r="FI21" s="52">
        <f t="shared" si="6"/>
        <v>370.91399999999999</v>
      </c>
      <c r="FJ21" s="52">
        <f t="shared" si="6"/>
        <v>372.00799999999998</v>
      </c>
      <c r="FK21" s="157">
        <f t="shared" si="6"/>
        <v>373.66300000000001</v>
      </c>
      <c r="FL21" s="157">
        <f t="shared" si="6"/>
        <v>374.62099999999998</v>
      </c>
      <c r="FM21" s="157">
        <f t="shared" si="6"/>
        <v>375.32</v>
      </c>
      <c r="FN21" s="125">
        <f t="shared" si="6"/>
        <v>375.95299999999997</v>
      </c>
      <c r="FO21" s="157">
        <f t="shared" si="6"/>
        <v>376.89300000000003</v>
      </c>
      <c r="FP21" s="157">
        <f t="shared" si="6"/>
        <v>377.44</v>
      </c>
      <c r="FQ21" s="157">
        <f t="shared" si="6"/>
        <v>378.61</v>
      </c>
      <c r="FR21" s="157">
        <f t="shared" si="6"/>
        <v>379.483</v>
      </c>
      <c r="FS21" s="157">
        <f t="shared" si="6"/>
        <v>380.61199999999997</v>
      </c>
      <c r="FT21" s="157">
        <f t="shared" si="6"/>
        <v>381.69099999999997</v>
      </c>
      <c r="FU21" s="157">
        <f t="shared" si="6"/>
        <v>382.73499999999996</v>
      </c>
      <c r="FV21" s="157">
        <f t="shared" si="6"/>
        <v>383.601</v>
      </c>
      <c r="FW21" s="157">
        <f t="shared" si="6"/>
        <v>384.56</v>
      </c>
      <c r="FX21" s="157">
        <f t="shared" si="6"/>
        <v>385.726</v>
      </c>
      <c r="FY21" s="191">
        <f t="shared" si="6"/>
        <v>386.41700000000003</v>
      </c>
      <c r="FZ21" s="157">
        <f t="shared" si="6"/>
        <v>387.18099999999998</v>
      </c>
      <c r="GA21" s="157">
        <f t="shared" si="6"/>
        <v>388.13500000000005</v>
      </c>
      <c r="GB21" s="157">
        <f t="shared" si="6"/>
        <v>389.32</v>
      </c>
      <c r="GC21" s="157">
        <f t="shared" si="6"/>
        <v>390.42500000000001</v>
      </c>
      <c r="GD21" s="157">
        <f t="shared" si="6"/>
        <v>392.30700000000002</v>
      </c>
      <c r="GE21" s="157">
        <f t="shared" si="6"/>
        <v>394.03800000000001</v>
      </c>
      <c r="GF21" s="157">
        <f t="shared" si="6"/>
        <v>395.34800000000001</v>
      </c>
      <c r="GG21" s="157">
        <f t="shared" si="6"/>
        <v>396.84499999999997</v>
      </c>
      <c r="GH21" s="157">
        <f t="shared" si="6"/>
        <v>398.21600000000001</v>
      </c>
      <c r="GI21" s="157">
        <f t="shared" si="6"/>
        <v>400.02000000000004</v>
      </c>
      <c r="GJ21" s="157">
        <f t="shared" si="6"/>
        <v>401.73600000000005</v>
      </c>
      <c r="GK21" s="191">
        <f t="shared" si="6"/>
        <v>402.66699999999997</v>
      </c>
      <c r="GL21" s="157">
        <f t="shared" si="6"/>
        <v>404.08600000000001</v>
      </c>
      <c r="GM21" s="157">
        <f t="shared" ref="GM21:GN21" si="7">SUM(GM15:GM20)</f>
        <v>405.06700000000001</v>
      </c>
      <c r="GN21" s="157">
        <f t="shared" si="7"/>
        <v>406.87700000000001</v>
      </c>
    </row>
    <row r="22" spans="1:196" s="30" customFormat="1" ht="20.149999999999999" customHeight="1" thickTop="1" x14ac:dyDescent="0.35">
      <c r="A22" s="26" t="s">
        <v>269</v>
      </c>
      <c r="B22" s="45"/>
      <c r="C22" s="45"/>
      <c r="D22" s="45"/>
      <c r="E22" s="45"/>
      <c r="F22" s="45"/>
      <c r="G22" s="45"/>
      <c r="H22" s="45"/>
      <c r="I22" s="45"/>
      <c r="J22" s="45"/>
      <c r="K22" s="45"/>
      <c r="L22" s="45"/>
      <c r="M22" s="49"/>
      <c r="N22" s="50"/>
      <c r="O22" s="45"/>
      <c r="P22" s="45"/>
      <c r="Q22" s="45"/>
      <c r="R22" s="45"/>
      <c r="S22" s="45"/>
      <c r="T22" s="45"/>
      <c r="U22" s="45"/>
      <c r="V22" s="45"/>
      <c r="W22" s="45"/>
      <c r="X22" s="45"/>
      <c r="Y22" s="49"/>
      <c r="Z22" s="50"/>
      <c r="AA22" s="45"/>
      <c r="AB22" s="45"/>
      <c r="AC22" s="45"/>
      <c r="AD22" s="45"/>
      <c r="AE22" s="45"/>
      <c r="AF22" s="45"/>
      <c r="AG22" s="45"/>
      <c r="AH22" s="45"/>
      <c r="AI22" s="45"/>
      <c r="AJ22" s="45"/>
      <c r="AK22" s="49"/>
      <c r="AL22" s="50"/>
      <c r="AM22" s="45"/>
      <c r="AN22" s="45"/>
      <c r="AO22" s="45"/>
      <c r="AP22" s="45"/>
      <c r="AQ22" s="45"/>
      <c r="AR22" s="45"/>
      <c r="AS22" s="45"/>
      <c r="AT22" s="45"/>
      <c r="AU22" s="45"/>
      <c r="AV22" s="45"/>
      <c r="AW22" s="49"/>
      <c r="AX22" s="45"/>
      <c r="AY22" s="45"/>
      <c r="AZ22" s="45"/>
      <c r="BA22" s="45"/>
      <c r="BB22" s="45"/>
      <c r="BC22" s="45"/>
      <c r="BD22" s="45"/>
      <c r="BE22" s="45"/>
      <c r="BF22" s="45"/>
      <c r="BG22" s="45"/>
      <c r="BH22" s="45"/>
      <c r="BI22" s="49"/>
      <c r="BJ22" s="45"/>
      <c r="BK22" s="45"/>
      <c r="BL22" s="45"/>
      <c r="BM22" s="45"/>
      <c r="BN22" s="45"/>
      <c r="BO22" s="45"/>
      <c r="BP22" s="45"/>
      <c r="BQ22" s="45"/>
      <c r="BR22" s="45"/>
      <c r="BS22" s="45"/>
      <c r="BT22" s="45"/>
      <c r="BU22" s="49"/>
      <c r="BV22" s="45"/>
      <c r="BW22" s="45"/>
      <c r="BX22" s="45"/>
      <c r="BY22" s="45"/>
      <c r="BZ22" s="45"/>
      <c r="CA22" s="45"/>
      <c r="CB22" s="45"/>
      <c r="CC22" s="45"/>
      <c r="CD22" s="45"/>
      <c r="CE22" s="45"/>
      <c r="CF22" s="45"/>
      <c r="CG22" s="49"/>
      <c r="CH22" s="45"/>
      <c r="CI22" s="45"/>
      <c r="CJ22" s="45"/>
      <c r="CK22" s="45"/>
      <c r="CL22" s="45"/>
      <c r="CM22" s="45"/>
      <c r="CN22" s="45"/>
      <c r="CO22" s="45"/>
      <c r="CP22" s="45"/>
      <c r="CQ22" s="45"/>
      <c r="CR22" s="45"/>
      <c r="CS22" s="49"/>
      <c r="CT22" s="45"/>
      <c r="CU22" s="45"/>
      <c r="CV22" s="45"/>
      <c r="CW22" s="45"/>
      <c r="CX22" s="45"/>
      <c r="CY22" s="45"/>
      <c r="CZ22" s="45"/>
      <c r="DA22" s="45"/>
      <c r="DB22" s="45"/>
      <c r="DC22" s="45"/>
      <c r="DD22" s="45"/>
      <c r="DE22" s="49"/>
      <c r="DF22" s="45"/>
      <c r="DG22" s="45"/>
      <c r="DH22" s="45"/>
      <c r="DI22" s="45"/>
      <c r="DJ22" s="45"/>
      <c r="DK22" s="45"/>
      <c r="DL22" s="45"/>
      <c r="DM22" s="45"/>
      <c r="DN22" s="45"/>
      <c r="DO22" s="45"/>
      <c r="DP22" s="45"/>
      <c r="DQ22" s="49"/>
      <c r="DR22" s="45"/>
      <c r="DS22" s="45"/>
      <c r="DT22" s="45"/>
      <c r="DU22" s="45"/>
      <c r="DV22" s="45"/>
      <c r="DW22" s="45"/>
      <c r="DX22" s="45"/>
      <c r="DY22" s="45"/>
      <c r="DZ22" s="45"/>
      <c r="EA22" s="45"/>
      <c r="EB22" s="45"/>
      <c r="EC22" s="49"/>
      <c r="ED22" s="45"/>
      <c r="EE22" s="45"/>
      <c r="EF22" s="45"/>
      <c r="EG22" s="45"/>
      <c r="EH22" s="45"/>
      <c r="EI22" s="45"/>
      <c r="EJ22" s="45"/>
      <c r="EK22" s="45"/>
      <c r="EL22" s="45"/>
      <c r="EM22" s="45"/>
      <c r="EN22" s="45"/>
      <c r="EO22" s="82"/>
      <c r="EP22" s="45"/>
      <c r="EQ22" s="45"/>
      <c r="ER22" s="45"/>
      <c r="ES22" s="45"/>
      <c r="ET22" s="45"/>
      <c r="EU22" s="45"/>
      <c r="EV22" s="45"/>
      <c r="EW22" s="45"/>
      <c r="EX22" s="45"/>
      <c r="EY22" s="45"/>
      <c r="EZ22" s="45"/>
      <c r="FA22" s="82"/>
      <c r="FB22" s="45"/>
      <c r="FC22" s="45"/>
      <c r="FD22" s="45"/>
      <c r="FE22" s="45"/>
      <c r="FF22" s="45"/>
      <c r="FG22" s="45"/>
      <c r="FH22" s="45"/>
      <c r="FI22" s="45"/>
      <c r="FJ22" s="45"/>
      <c r="FK22" s="155"/>
      <c r="FL22" s="155"/>
      <c r="FM22" s="155"/>
      <c r="FN22" s="69"/>
      <c r="FO22" s="155"/>
      <c r="FP22" s="155"/>
      <c r="FQ22" s="155"/>
      <c r="FR22" s="155"/>
      <c r="FS22" s="155"/>
      <c r="FT22" s="155"/>
      <c r="FU22" s="177"/>
      <c r="FV22" s="177"/>
      <c r="FW22" s="177"/>
      <c r="FX22" s="177"/>
      <c r="FY22" s="193"/>
      <c r="FZ22" s="177"/>
      <c r="GA22" s="178"/>
      <c r="GB22" s="178"/>
      <c r="GC22" s="178"/>
      <c r="GD22" s="178"/>
      <c r="GE22" s="178"/>
      <c r="GF22" s="178"/>
      <c r="GG22" s="178"/>
      <c r="GH22" s="178"/>
      <c r="GI22" s="178"/>
      <c r="GJ22" s="178"/>
      <c r="GK22" s="193"/>
      <c r="GL22" s="177"/>
      <c r="GM22" s="177"/>
      <c r="GN22" s="177"/>
    </row>
    <row r="23" spans="1:196" s="1" customFormat="1" ht="20.149999999999999" customHeight="1" x14ac:dyDescent="0.35">
      <c r="A23" s="31" t="s">
        <v>1623</v>
      </c>
      <c r="B23" s="45">
        <v>8.3360000000000003</v>
      </c>
      <c r="C23" s="45">
        <v>9.4689999999999994</v>
      </c>
      <c r="D23" s="45">
        <v>11.361000000000001</v>
      </c>
      <c r="E23" s="45">
        <v>13.592000000000001</v>
      </c>
      <c r="F23" s="45">
        <v>17.041</v>
      </c>
      <c r="G23" s="45">
        <v>21.274000000000001</v>
      </c>
      <c r="H23" s="45">
        <v>26.466000000000001</v>
      </c>
      <c r="I23" s="45">
        <v>31.62</v>
      </c>
      <c r="J23" s="45">
        <v>38.286999999999999</v>
      </c>
      <c r="K23" s="45">
        <v>46.337000000000003</v>
      </c>
      <c r="L23" s="45">
        <v>55.654000000000003</v>
      </c>
      <c r="M23" s="49">
        <v>62.838999999999999</v>
      </c>
      <c r="N23" s="50">
        <v>72.679000000000002</v>
      </c>
      <c r="O23" s="45">
        <v>83.924000000000007</v>
      </c>
      <c r="P23" s="45">
        <v>100.82299999999999</v>
      </c>
      <c r="Q23" s="45">
        <v>116.658</v>
      </c>
      <c r="R23" s="45">
        <v>135.48699999999999</v>
      </c>
      <c r="S23" s="45">
        <v>160.28</v>
      </c>
      <c r="T23" s="45">
        <v>189.06899999999999</v>
      </c>
      <c r="U23" s="45">
        <v>225.47900000000001</v>
      </c>
      <c r="V23" s="45">
        <v>270.238</v>
      </c>
      <c r="W23" s="45">
        <v>321.70999999999998</v>
      </c>
      <c r="X23" s="45">
        <v>466.44799999999998</v>
      </c>
      <c r="Y23" s="49">
        <v>579.11099999999999</v>
      </c>
      <c r="Z23" s="50">
        <v>600.11599999999999</v>
      </c>
      <c r="AA23" s="45">
        <v>706.73199999999997</v>
      </c>
      <c r="AB23" s="45">
        <v>771.81899999999996</v>
      </c>
      <c r="AC23" s="45">
        <v>784.70399999999995</v>
      </c>
      <c r="AD23" s="45">
        <v>808.75099999999998</v>
      </c>
      <c r="AE23" s="45">
        <v>838.54499999999996</v>
      </c>
      <c r="AF23" s="45">
        <v>894.20799999999997</v>
      </c>
      <c r="AG23" s="45">
        <v>903.44600000000003</v>
      </c>
      <c r="AH23" s="45">
        <v>915.06799999999998</v>
      </c>
      <c r="AI23" s="45">
        <v>937.04700000000003</v>
      </c>
      <c r="AJ23" s="45">
        <v>949.94</v>
      </c>
      <c r="AK23" s="49">
        <v>962.84299999999996</v>
      </c>
      <c r="AL23" s="50">
        <v>977.01300000000003</v>
      </c>
      <c r="AM23" s="45">
        <v>991.79</v>
      </c>
      <c r="AN23" s="45">
        <v>1008.111</v>
      </c>
      <c r="AO23" s="45">
        <v>1024.5830000000001</v>
      </c>
      <c r="AP23" s="45">
        <v>1040.6949999999999</v>
      </c>
      <c r="AQ23" s="45">
        <v>1063.01</v>
      </c>
      <c r="AR23" s="45">
        <v>1076.5630000000001</v>
      </c>
      <c r="AS23" s="45">
        <v>1092.1210000000001</v>
      </c>
      <c r="AT23" s="45">
        <v>1107.9069999999999</v>
      </c>
      <c r="AU23" s="45">
        <v>1124.96</v>
      </c>
      <c r="AV23" s="45">
        <v>1143.8399999999999</v>
      </c>
      <c r="AW23" s="49">
        <v>1159.386</v>
      </c>
      <c r="AX23" s="45">
        <v>1175.0360000000001</v>
      </c>
      <c r="AY23" s="45">
        <v>1191.8389999999999</v>
      </c>
      <c r="AZ23" s="45">
        <v>1217.713</v>
      </c>
      <c r="BA23" s="45">
        <v>1232.9100000000001</v>
      </c>
      <c r="BB23" s="45">
        <v>1249.2439999999999</v>
      </c>
      <c r="BC23" s="45">
        <v>1266.546</v>
      </c>
      <c r="BD23" s="45">
        <v>1286.884</v>
      </c>
      <c r="BE23" s="45">
        <v>1306.915</v>
      </c>
      <c r="BF23" s="45">
        <v>1330.8420000000001</v>
      </c>
      <c r="BG23" s="45">
        <v>1355.309</v>
      </c>
      <c r="BH23" s="45">
        <v>1378.2639999999999</v>
      </c>
      <c r="BI23" s="49">
        <v>1401.1890000000001</v>
      </c>
      <c r="BJ23" s="45">
        <v>1417.922</v>
      </c>
      <c r="BK23" s="45">
        <v>1438.155</v>
      </c>
      <c r="BL23" s="45">
        <v>1468.808</v>
      </c>
      <c r="BM23" s="45">
        <v>1489.873</v>
      </c>
      <c r="BN23" s="45">
        <v>1512.2850000000001</v>
      </c>
      <c r="BO23" s="45">
        <v>1544.4359999999999</v>
      </c>
      <c r="BP23" s="45">
        <v>1567.845</v>
      </c>
      <c r="BQ23" s="45">
        <v>1591.4169999999999</v>
      </c>
      <c r="BR23" s="45">
        <v>1630.261</v>
      </c>
      <c r="BS23" s="45">
        <v>1665.1759999999999</v>
      </c>
      <c r="BT23" s="45">
        <v>1711.579</v>
      </c>
      <c r="BU23" s="49">
        <v>1762.576</v>
      </c>
      <c r="BV23" s="45">
        <v>1794.0609999999999</v>
      </c>
      <c r="BW23" s="45">
        <v>1800.884</v>
      </c>
      <c r="BX23" s="45">
        <v>1809.114</v>
      </c>
      <c r="BY23" s="45">
        <v>1815.028</v>
      </c>
      <c r="BZ23" s="45">
        <v>1821.33</v>
      </c>
      <c r="CA23" s="45">
        <v>1828.327</v>
      </c>
      <c r="CB23" s="45">
        <v>1834.2239999999999</v>
      </c>
      <c r="CC23" s="45">
        <v>1839.7449999999999</v>
      </c>
      <c r="CD23" s="45">
        <v>1847.15</v>
      </c>
      <c r="CE23" s="45">
        <v>1851.829</v>
      </c>
      <c r="CF23" s="45">
        <v>1857.481</v>
      </c>
      <c r="CG23" s="49">
        <v>1861.6990000000001</v>
      </c>
      <c r="CH23" s="45">
        <v>1865.7739999999999</v>
      </c>
      <c r="CI23" s="45">
        <v>1870.6590000000001</v>
      </c>
      <c r="CJ23" s="45">
        <v>1877.338</v>
      </c>
      <c r="CK23" s="45">
        <v>1881.596</v>
      </c>
      <c r="CL23" s="45">
        <v>1886.547</v>
      </c>
      <c r="CM23" s="45">
        <v>1891.5640000000001</v>
      </c>
      <c r="CN23" s="45">
        <v>1896.1179999999999</v>
      </c>
      <c r="CO23" s="45">
        <v>1901.635</v>
      </c>
      <c r="CP23" s="45">
        <v>1906.9549999999999</v>
      </c>
      <c r="CQ23" s="45">
        <v>1911.904</v>
      </c>
      <c r="CR23" s="45">
        <v>1917.932</v>
      </c>
      <c r="CS23" s="49">
        <v>1921.9659999999999</v>
      </c>
      <c r="CT23" s="45">
        <v>1926.423</v>
      </c>
      <c r="CU23" s="45">
        <v>1930.5039999999999</v>
      </c>
      <c r="CV23" s="45">
        <v>1935.4559999999999</v>
      </c>
      <c r="CW23" s="45">
        <v>1940.191</v>
      </c>
      <c r="CX23" s="45">
        <v>1945.546</v>
      </c>
      <c r="CY23" s="45">
        <v>1950.9749999999999</v>
      </c>
      <c r="CZ23" s="45">
        <v>1956.2139999999999</v>
      </c>
      <c r="DA23" s="45">
        <v>1962.1949999999999</v>
      </c>
      <c r="DB23" s="45">
        <v>1968.24</v>
      </c>
      <c r="DC23" s="45">
        <v>1975.662</v>
      </c>
      <c r="DD23" s="45">
        <v>1983.443</v>
      </c>
      <c r="DE23" s="49">
        <v>1989.854</v>
      </c>
      <c r="DF23" s="45">
        <v>1999.2760000000001</v>
      </c>
      <c r="DG23" s="45">
        <v>2010.079</v>
      </c>
      <c r="DH23" s="45">
        <v>2034.6469999999999</v>
      </c>
      <c r="DI23" s="45">
        <v>2037.9469999999999</v>
      </c>
      <c r="DJ23" s="45">
        <v>2042.0060000000001</v>
      </c>
      <c r="DK23" s="45">
        <v>2046.3689999999999</v>
      </c>
      <c r="DL23" s="45">
        <v>2050.5590000000002</v>
      </c>
      <c r="DM23" s="45">
        <v>2054.9340000000002</v>
      </c>
      <c r="DN23" s="45">
        <v>2059.7249999999999</v>
      </c>
      <c r="DO23" s="45">
        <v>2064.4940000000001</v>
      </c>
      <c r="DP23" s="45">
        <v>2069.529</v>
      </c>
      <c r="DQ23" s="49">
        <v>2072.7849999999999</v>
      </c>
      <c r="DR23" s="45">
        <v>2077.0439999999999</v>
      </c>
      <c r="DS23" s="45">
        <v>2081.174</v>
      </c>
      <c r="DT23" s="45">
        <v>2085.3760000000002</v>
      </c>
      <c r="DU23" s="45">
        <v>2086.1849999999999</v>
      </c>
      <c r="DV23" s="45">
        <v>2087.4569999999999</v>
      </c>
      <c r="DW23" s="45">
        <v>2090.3159999999998</v>
      </c>
      <c r="DX23" s="45">
        <v>2094.3110000000001</v>
      </c>
      <c r="DY23" s="45">
        <v>2098.5839999999998</v>
      </c>
      <c r="DZ23" s="45">
        <v>2103.9279999999999</v>
      </c>
      <c r="EA23" s="45">
        <v>2109.1529999999998</v>
      </c>
      <c r="EB23" s="45">
        <v>2114.7049999999999</v>
      </c>
      <c r="EC23" s="49">
        <v>2118.8649999999998</v>
      </c>
      <c r="ED23" s="45">
        <v>2124.165</v>
      </c>
      <c r="EE23" s="45">
        <v>2128.8809999999999</v>
      </c>
      <c r="EF23" s="45">
        <v>2135.3389999999999</v>
      </c>
      <c r="EG23" s="45">
        <v>2142.1950000000002</v>
      </c>
      <c r="EH23" s="45">
        <v>2149.4850000000001</v>
      </c>
      <c r="EI23" s="45">
        <v>2156.87</v>
      </c>
      <c r="EJ23" s="45">
        <v>2163.6640000000002</v>
      </c>
      <c r="EK23" s="45">
        <v>2171.15</v>
      </c>
      <c r="EL23" s="45">
        <v>2179.4830000000002</v>
      </c>
      <c r="EM23" s="45">
        <v>2187.018</v>
      </c>
      <c r="EN23" s="45">
        <v>2196.683</v>
      </c>
      <c r="EO23" s="82">
        <v>2203.89</v>
      </c>
      <c r="EP23" s="45">
        <v>2212.4960000000001</v>
      </c>
      <c r="EQ23" s="45">
        <v>2223.4679999999998</v>
      </c>
      <c r="ER23" s="45">
        <v>2238.2530000000002</v>
      </c>
      <c r="ES23" s="45">
        <v>2252.355</v>
      </c>
      <c r="ET23" s="45">
        <v>2267.5749999999998</v>
      </c>
      <c r="EU23" s="45">
        <v>2283.4679999999998</v>
      </c>
      <c r="EV23" s="45">
        <v>2298.0520000000001</v>
      </c>
      <c r="EW23" s="45">
        <v>2314.165</v>
      </c>
      <c r="EX23" s="45">
        <v>2333.4740000000002</v>
      </c>
      <c r="EY23" s="45">
        <v>2350.7950000000001</v>
      </c>
      <c r="EZ23" s="45">
        <v>2369.59</v>
      </c>
      <c r="FA23" s="82">
        <v>2383.54</v>
      </c>
      <c r="FB23" s="45">
        <v>2402.335</v>
      </c>
      <c r="FC23" s="45">
        <v>2422.902</v>
      </c>
      <c r="FD23" s="45">
        <v>2445.8850000000002</v>
      </c>
      <c r="FE23" s="45">
        <v>2464.1590000000001</v>
      </c>
      <c r="FF23" s="45">
        <v>2483.9160000000002</v>
      </c>
      <c r="FG23" s="45">
        <v>2504.3200000000002</v>
      </c>
      <c r="FH23" s="45">
        <v>2522.2089999999998</v>
      </c>
      <c r="FI23" s="45">
        <v>2539.9279999999999</v>
      </c>
      <c r="FJ23" s="45">
        <v>2557.9209999999998</v>
      </c>
      <c r="FK23" s="45">
        <v>2575.3380000000002</v>
      </c>
      <c r="FL23" s="45">
        <v>2593.884</v>
      </c>
      <c r="FM23" s="155">
        <v>2605.6990000000001</v>
      </c>
      <c r="FN23" s="69">
        <v>2621.71</v>
      </c>
      <c r="FO23" s="178">
        <v>2638.922</v>
      </c>
      <c r="FP23" s="178">
        <v>2658.4810000000002</v>
      </c>
      <c r="FQ23" s="178">
        <v>2677.6080000000002</v>
      </c>
      <c r="FR23" s="178">
        <v>2697.6109999999999</v>
      </c>
      <c r="FS23" s="178">
        <v>2717.2979999999998</v>
      </c>
      <c r="FT23" s="178">
        <v>2737.616</v>
      </c>
      <c r="FU23" s="178">
        <v>2757.8119999999999</v>
      </c>
      <c r="FV23" s="178">
        <v>2780.4389999999999</v>
      </c>
      <c r="FW23" s="178">
        <v>2807.2060000000001</v>
      </c>
      <c r="FX23" s="178">
        <v>2835.779</v>
      </c>
      <c r="FY23" s="180">
        <v>2855.01</v>
      </c>
      <c r="FZ23" s="178">
        <v>2880.1120000000001</v>
      </c>
      <c r="GA23" s="178">
        <v>2909.0650000000001</v>
      </c>
      <c r="GB23" s="178">
        <v>2944.7739999999999</v>
      </c>
      <c r="GC23" s="178">
        <v>2971.15</v>
      </c>
      <c r="GD23" s="178">
        <v>3000.623</v>
      </c>
      <c r="GE23" s="178">
        <v>3030.9929999999999</v>
      </c>
      <c r="GF23" s="178">
        <v>3059.5050000000001</v>
      </c>
      <c r="GG23" s="178">
        <v>3084.5250000000001</v>
      </c>
      <c r="GH23" s="178">
        <v>3114.011</v>
      </c>
      <c r="GI23" s="178">
        <v>3147.2820000000002</v>
      </c>
      <c r="GJ23" s="178">
        <v>3177.989</v>
      </c>
      <c r="GK23" s="180">
        <v>3202.404</v>
      </c>
      <c r="GL23" s="178">
        <v>3229.4920000000002</v>
      </c>
      <c r="GM23" s="178">
        <v>3269.1329999999998</v>
      </c>
      <c r="GN23" s="178">
        <v>3310.2089999999998</v>
      </c>
    </row>
    <row r="24" spans="1:196" s="1" customFormat="1" ht="20.149999999999999" customHeight="1" x14ac:dyDescent="0.35">
      <c r="A24" s="31" t="s">
        <v>1626</v>
      </c>
      <c r="B24" s="45">
        <v>3.153</v>
      </c>
      <c r="C24" s="45">
        <v>3.34</v>
      </c>
      <c r="D24" s="45">
        <v>3.6160000000000001</v>
      </c>
      <c r="E24" s="45">
        <v>3.7989999999999999</v>
      </c>
      <c r="F24" s="45">
        <v>4.1310000000000002</v>
      </c>
      <c r="G24" s="45">
        <v>4.5049999999999999</v>
      </c>
      <c r="H24" s="45">
        <v>4.907</v>
      </c>
      <c r="I24" s="45">
        <v>5.2949999999999999</v>
      </c>
      <c r="J24" s="45">
        <v>5.702</v>
      </c>
      <c r="K24" s="45">
        <v>6.282</v>
      </c>
      <c r="L24" s="45">
        <v>6.8819999999999997</v>
      </c>
      <c r="M24" s="49">
        <v>7.3029999999999999</v>
      </c>
      <c r="N24" s="50">
        <v>8.1159999999999997</v>
      </c>
      <c r="O24" s="45">
        <v>9.0030000000000001</v>
      </c>
      <c r="P24" s="45">
        <v>10.375999999999999</v>
      </c>
      <c r="Q24" s="45">
        <v>12.067</v>
      </c>
      <c r="R24" s="45">
        <v>14.048999999999999</v>
      </c>
      <c r="S24" s="45">
        <v>16.427</v>
      </c>
      <c r="T24" s="45">
        <v>19.640999999999998</v>
      </c>
      <c r="U24" s="45">
        <v>24.981000000000002</v>
      </c>
      <c r="V24" s="45">
        <v>32.279000000000003</v>
      </c>
      <c r="W24" s="45">
        <v>41.695</v>
      </c>
      <c r="X24" s="45">
        <v>71.039000000000001</v>
      </c>
      <c r="Y24" s="49">
        <v>96.933000000000007</v>
      </c>
      <c r="Z24" s="50">
        <v>99.222999999999999</v>
      </c>
      <c r="AA24" s="45">
        <v>126.133</v>
      </c>
      <c r="AB24" s="45">
        <v>136.26300000000001</v>
      </c>
      <c r="AC24" s="45">
        <v>138.28200000000001</v>
      </c>
      <c r="AD24" s="45">
        <v>144.99600000000001</v>
      </c>
      <c r="AE24" s="45">
        <v>155.12</v>
      </c>
      <c r="AF24" s="45">
        <v>181.24</v>
      </c>
      <c r="AG24" s="45">
        <v>183.21799999999999</v>
      </c>
      <c r="AH24" s="45">
        <v>187.047</v>
      </c>
      <c r="AI24" s="45">
        <v>198.334</v>
      </c>
      <c r="AJ24" s="45">
        <v>202.804</v>
      </c>
      <c r="AK24" s="49">
        <v>208.06</v>
      </c>
      <c r="AL24" s="50">
        <v>213.839</v>
      </c>
      <c r="AM24" s="45">
        <v>220.70400000000001</v>
      </c>
      <c r="AN24" s="45">
        <v>229.548</v>
      </c>
      <c r="AO24" s="45">
        <v>239.554</v>
      </c>
      <c r="AP24" s="45">
        <v>250.75700000000001</v>
      </c>
      <c r="AQ24" s="45">
        <v>268.995</v>
      </c>
      <c r="AR24" s="45">
        <v>277.33199999999999</v>
      </c>
      <c r="AS24" s="45">
        <v>287.904</v>
      </c>
      <c r="AT24" s="45">
        <v>300.18099999999998</v>
      </c>
      <c r="AU24" s="45">
        <v>313.137</v>
      </c>
      <c r="AV24" s="45">
        <v>328.61700000000002</v>
      </c>
      <c r="AW24" s="49">
        <v>341.51299999999998</v>
      </c>
      <c r="AX24" s="45">
        <v>354.12799999999999</v>
      </c>
      <c r="AY24" s="45">
        <v>371.75799999999998</v>
      </c>
      <c r="AZ24" s="45">
        <v>396.30700000000002</v>
      </c>
      <c r="BA24" s="45">
        <v>407.72800000000001</v>
      </c>
      <c r="BB24" s="45">
        <v>421.02</v>
      </c>
      <c r="BC24" s="45">
        <v>436.096</v>
      </c>
      <c r="BD24" s="45">
        <v>451.83600000000001</v>
      </c>
      <c r="BE24" s="45">
        <v>466.91500000000002</v>
      </c>
      <c r="BF24" s="45">
        <v>484.15300000000002</v>
      </c>
      <c r="BG24" s="45">
        <v>502.42099999999999</v>
      </c>
      <c r="BH24" s="45">
        <v>520.61300000000006</v>
      </c>
      <c r="BI24" s="49">
        <v>540.47799999999995</v>
      </c>
      <c r="BJ24" s="45">
        <v>549.92399999999998</v>
      </c>
      <c r="BK24" s="45">
        <v>562.26599999999996</v>
      </c>
      <c r="BL24" s="45">
        <v>583.85699999999997</v>
      </c>
      <c r="BM24" s="45">
        <v>596.87900000000002</v>
      </c>
      <c r="BN24" s="45">
        <v>611.62599999999998</v>
      </c>
      <c r="BO24" s="45">
        <v>633.17700000000002</v>
      </c>
      <c r="BP24" s="45">
        <v>646.54300000000001</v>
      </c>
      <c r="BQ24" s="45">
        <v>661.05799999999999</v>
      </c>
      <c r="BR24" s="45">
        <v>687.51800000000003</v>
      </c>
      <c r="BS24" s="45">
        <v>704.39400000000001</v>
      </c>
      <c r="BT24" s="45">
        <v>725.33100000000002</v>
      </c>
      <c r="BU24" s="49">
        <v>752.149</v>
      </c>
      <c r="BV24" s="45">
        <v>765.654</v>
      </c>
      <c r="BW24" s="45">
        <v>768.05499999999995</v>
      </c>
      <c r="BX24" s="45">
        <v>771.81100000000004</v>
      </c>
      <c r="BY24" s="45">
        <v>775.06500000000005</v>
      </c>
      <c r="BZ24" s="45">
        <v>778.33500000000004</v>
      </c>
      <c r="CA24" s="45">
        <v>782.38400000000001</v>
      </c>
      <c r="CB24" s="45">
        <v>785.63400000000001</v>
      </c>
      <c r="CC24" s="45">
        <v>789.13400000000001</v>
      </c>
      <c r="CD24" s="45">
        <v>794.13300000000004</v>
      </c>
      <c r="CE24" s="45">
        <v>796.27200000000005</v>
      </c>
      <c r="CF24" s="45">
        <v>798.73500000000001</v>
      </c>
      <c r="CG24" s="49">
        <v>801.00800000000004</v>
      </c>
      <c r="CH24" s="45">
        <v>802.85400000000004</v>
      </c>
      <c r="CI24" s="45">
        <v>804.87199999999996</v>
      </c>
      <c r="CJ24" s="45">
        <v>808.07899999999995</v>
      </c>
      <c r="CK24" s="45">
        <v>809.976</v>
      </c>
      <c r="CL24" s="45">
        <v>812.529</v>
      </c>
      <c r="CM24" s="45">
        <v>815.44399999999996</v>
      </c>
      <c r="CN24" s="45">
        <v>818.03499999999997</v>
      </c>
      <c r="CO24" s="45">
        <v>820.51300000000003</v>
      </c>
      <c r="CP24" s="45">
        <v>823.53</v>
      </c>
      <c r="CQ24" s="45">
        <v>826.24599999999998</v>
      </c>
      <c r="CR24" s="45">
        <v>829.13300000000004</v>
      </c>
      <c r="CS24" s="49">
        <v>831.54100000000005</v>
      </c>
      <c r="CT24" s="45">
        <v>833.65700000000004</v>
      </c>
      <c r="CU24" s="45">
        <v>836.048</v>
      </c>
      <c r="CV24" s="45">
        <v>839.24900000000002</v>
      </c>
      <c r="CW24" s="45">
        <v>842.19600000000003</v>
      </c>
      <c r="CX24" s="45">
        <v>845.48599999999999</v>
      </c>
      <c r="CY24" s="45">
        <v>849.25599999999997</v>
      </c>
      <c r="CZ24" s="45">
        <v>852.44600000000003</v>
      </c>
      <c r="DA24" s="45">
        <v>855.90300000000002</v>
      </c>
      <c r="DB24" s="45">
        <v>860.221</v>
      </c>
      <c r="DC24" s="45">
        <v>864.24199999999996</v>
      </c>
      <c r="DD24" s="45">
        <v>869.61300000000006</v>
      </c>
      <c r="DE24" s="49">
        <v>874.63599999999997</v>
      </c>
      <c r="DF24" s="45">
        <v>879.86</v>
      </c>
      <c r="DG24" s="45">
        <v>887.726</v>
      </c>
      <c r="DH24" s="45">
        <v>907.83799999999997</v>
      </c>
      <c r="DI24" s="45">
        <v>908.61500000000001</v>
      </c>
      <c r="DJ24" s="45">
        <v>909.92</v>
      </c>
      <c r="DK24" s="45">
        <v>911.61599999999999</v>
      </c>
      <c r="DL24" s="45">
        <v>914.01900000000001</v>
      </c>
      <c r="DM24" s="45">
        <v>916.46100000000001</v>
      </c>
      <c r="DN24" s="45">
        <v>919.78899999999999</v>
      </c>
      <c r="DO24" s="45">
        <v>923.822</v>
      </c>
      <c r="DP24" s="45">
        <v>927.26300000000003</v>
      </c>
      <c r="DQ24" s="49">
        <v>930.03599999999994</v>
      </c>
      <c r="DR24" s="45">
        <v>933.51300000000003</v>
      </c>
      <c r="DS24" s="45">
        <v>937.12199999999996</v>
      </c>
      <c r="DT24" s="45">
        <v>941.07299999999998</v>
      </c>
      <c r="DU24" s="45">
        <v>942.58699999999999</v>
      </c>
      <c r="DV24" s="45">
        <v>945.14099999999996</v>
      </c>
      <c r="DW24" s="45">
        <v>949.87800000000004</v>
      </c>
      <c r="DX24" s="45">
        <v>954.98500000000001</v>
      </c>
      <c r="DY24" s="45">
        <v>959.60900000000004</v>
      </c>
      <c r="DZ24" s="45">
        <v>965.53</v>
      </c>
      <c r="EA24" s="45">
        <v>971.53899999999999</v>
      </c>
      <c r="EB24" s="45">
        <v>977.86500000000001</v>
      </c>
      <c r="EC24" s="49">
        <v>982.54700000000003</v>
      </c>
      <c r="ED24" s="45">
        <v>987.55100000000004</v>
      </c>
      <c r="EE24" s="45">
        <v>993.00599999999997</v>
      </c>
      <c r="EF24" s="45">
        <v>1001.047</v>
      </c>
      <c r="EG24" s="45">
        <v>1008.676</v>
      </c>
      <c r="EH24" s="45">
        <v>1016.2670000000001</v>
      </c>
      <c r="EI24" s="45">
        <v>1024.826</v>
      </c>
      <c r="EJ24" s="45">
        <v>1033.0450000000001</v>
      </c>
      <c r="EK24" s="45">
        <v>1040.502</v>
      </c>
      <c r="EL24" s="45">
        <v>1050.645</v>
      </c>
      <c r="EM24" s="45">
        <v>1060.5640000000001</v>
      </c>
      <c r="EN24" s="45">
        <v>1073.1510000000001</v>
      </c>
      <c r="EO24" s="82">
        <v>1082.3209999999999</v>
      </c>
      <c r="EP24" s="45">
        <v>1094.2090000000001</v>
      </c>
      <c r="EQ24" s="45">
        <v>1107.856</v>
      </c>
      <c r="ER24" s="45">
        <v>1126.8219999999999</v>
      </c>
      <c r="ES24" s="45">
        <v>1147.1659999999999</v>
      </c>
      <c r="ET24" s="45">
        <v>1172.0309999999999</v>
      </c>
      <c r="EU24" s="45">
        <v>1197.087</v>
      </c>
      <c r="EV24" s="45">
        <v>1224.739</v>
      </c>
      <c r="EW24" s="45">
        <v>1255.28</v>
      </c>
      <c r="EX24" s="45">
        <v>1291.6089999999999</v>
      </c>
      <c r="EY24" s="45">
        <v>1330.81</v>
      </c>
      <c r="EZ24" s="45">
        <v>1376.694</v>
      </c>
      <c r="FA24" s="82">
        <v>1412.2639999999999</v>
      </c>
      <c r="FB24" s="45">
        <v>1461.9469999999999</v>
      </c>
      <c r="FC24" s="45">
        <v>1513.701</v>
      </c>
      <c r="FD24" s="45">
        <v>1572.2529999999999</v>
      </c>
      <c r="FE24" s="45">
        <v>1619.7539999999999</v>
      </c>
      <c r="FF24" s="45">
        <v>1673.655</v>
      </c>
      <c r="FG24" s="45">
        <v>1727.183</v>
      </c>
      <c r="FH24" s="45">
        <v>1772.576</v>
      </c>
      <c r="FI24" s="45">
        <v>1819.2570000000001</v>
      </c>
      <c r="FJ24" s="45">
        <v>1863.521</v>
      </c>
      <c r="FK24" s="45">
        <v>1907.8779999999999</v>
      </c>
      <c r="FL24" s="45">
        <v>1951.3009999999999</v>
      </c>
      <c r="FM24" s="155">
        <v>1980.059</v>
      </c>
      <c r="FN24" s="69">
        <v>2015.1610000000001</v>
      </c>
      <c r="FO24" s="178">
        <v>2051.9670000000001</v>
      </c>
      <c r="FP24" s="178">
        <v>2089.0500000000002</v>
      </c>
      <c r="FQ24" s="178">
        <v>2129.252</v>
      </c>
      <c r="FR24" s="178">
        <v>2169.6790000000001</v>
      </c>
      <c r="FS24" s="178">
        <v>2206.2629999999999</v>
      </c>
      <c r="FT24" s="178">
        <v>2245.922</v>
      </c>
      <c r="FU24" s="178">
        <v>2280.9699999999998</v>
      </c>
      <c r="FV24" s="178">
        <v>2318.145</v>
      </c>
      <c r="FW24" s="178">
        <v>2359.989</v>
      </c>
      <c r="FX24" s="178">
        <v>2399.5340000000001</v>
      </c>
      <c r="FY24" s="180">
        <v>2427.9870000000001</v>
      </c>
      <c r="FZ24" s="178">
        <v>2464.134</v>
      </c>
      <c r="GA24" s="178">
        <v>2504.989</v>
      </c>
      <c r="GB24" s="178">
        <v>2553.6469999999999</v>
      </c>
      <c r="GC24" s="178">
        <v>2599.4450000000002</v>
      </c>
      <c r="GD24" s="178">
        <v>2650.0430000000001</v>
      </c>
      <c r="GE24" s="178">
        <v>2700.6460000000002</v>
      </c>
      <c r="GF24" s="178">
        <v>2754.5630000000001</v>
      </c>
      <c r="GG24" s="178">
        <v>2802.8679999999999</v>
      </c>
      <c r="GH24" s="178">
        <v>2857.3919999999998</v>
      </c>
      <c r="GI24" s="178">
        <v>2914.3629999999998</v>
      </c>
      <c r="GJ24" s="178">
        <v>2964.1750000000002</v>
      </c>
      <c r="GK24" s="180">
        <v>3000.2089999999998</v>
      </c>
      <c r="GL24" s="178">
        <v>3040.5050000000001</v>
      </c>
      <c r="GM24" s="178">
        <v>3071.194</v>
      </c>
      <c r="GN24" s="178">
        <v>3120.3820000000001</v>
      </c>
    </row>
    <row r="25" spans="1:196" s="1" customFormat="1" ht="20.149999999999999" customHeight="1" x14ac:dyDescent="0.35">
      <c r="A25" s="31" t="s">
        <v>1625</v>
      </c>
      <c r="B25" s="45">
        <v>2.65</v>
      </c>
      <c r="C25" s="45">
        <v>2.7450000000000001</v>
      </c>
      <c r="D25" s="45">
        <v>3.1110000000000002</v>
      </c>
      <c r="E25" s="45">
        <v>3.3570000000000002</v>
      </c>
      <c r="F25" s="45">
        <v>3.7120000000000002</v>
      </c>
      <c r="G25" s="45">
        <v>3.9449999999999998</v>
      </c>
      <c r="H25" s="45">
        <v>4.0949999999999998</v>
      </c>
      <c r="I25" s="45">
        <v>4.3780000000000001</v>
      </c>
      <c r="J25" s="45">
        <v>4.827</v>
      </c>
      <c r="K25" s="45">
        <v>5.1970000000000001</v>
      </c>
      <c r="L25" s="45">
        <v>5.6909999999999998</v>
      </c>
      <c r="M25" s="49">
        <v>5.9390000000000001</v>
      </c>
      <c r="N25" s="50">
        <v>6.4939999999999998</v>
      </c>
      <c r="O25" s="45">
        <v>7.319</v>
      </c>
      <c r="P25" s="45">
        <v>8.15</v>
      </c>
      <c r="Q25" s="45">
        <v>9.1579999999999995</v>
      </c>
      <c r="R25" s="45">
        <v>10.382</v>
      </c>
      <c r="S25" s="45">
        <v>11.755000000000001</v>
      </c>
      <c r="T25" s="45">
        <v>15.018000000000001</v>
      </c>
      <c r="U25" s="45">
        <v>18.279</v>
      </c>
      <c r="V25" s="45">
        <v>22.56</v>
      </c>
      <c r="W25" s="45">
        <v>26.891999999999999</v>
      </c>
      <c r="X25" s="45">
        <v>49.792000000000002</v>
      </c>
      <c r="Y25" s="49">
        <v>96.597999999999999</v>
      </c>
      <c r="Z25" s="50">
        <v>97.736999999999995</v>
      </c>
      <c r="AA25" s="45">
        <v>134.953</v>
      </c>
      <c r="AB25" s="45">
        <v>161.291</v>
      </c>
      <c r="AC25" s="45">
        <v>162.96700000000001</v>
      </c>
      <c r="AD25" s="45">
        <v>167.358</v>
      </c>
      <c r="AE25" s="45">
        <v>176.64500000000001</v>
      </c>
      <c r="AF25" s="45">
        <v>213.774</v>
      </c>
      <c r="AG25" s="45">
        <v>215.214</v>
      </c>
      <c r="AH25" s="45">
        <v>217.47</v>
      </c>
      <c r="AI25" s="45">
        <v>225.464</v>
      </c>
      <c r="AJ25" s="45">
        <v>228.208</v>
      </c>
      <c r="AK25" s="49">
        <v>231.08</v>
      </c>
      <c r="AL25" s="50">
        <v>234.73099999999999</v>
      </c>
      <c r="AM25" s="45">
        <v>240.57300000000001</v>
      </c>
      <c r="AN25" s="45">
        <v>248.52</v>
      </c>
      <c r="AO25" s="45">
        <v>257.53800000000001</v>
      </c>
      <c r="AP25" s="45">
        <v>265.71800000000002</v>
      </c>
      <c r="AQ25" s="45">
        <v>286.53699999999998</v>
      </c>
      <c r="AR25" s="45">
        <v>291.01</v>
      </c>
      <c r="AS25" s="45">
        <v>298.12700000000001</v>
      </c>
      <c r="AT25" s="45">
        <v>305.36200000000002</v>
      </c>
      <c r="AU25" s="45">
        <v>311.726</v>
      </c>
      <c r="AV25" s="45">
        <v>319.01900000000001</v>
      </c>
      <c r="AW25" s="49">
        <v>326.44299999999998</v>
      </c>
      <c r="AX25" s="45">
        <v>332.81299999999999</v>
      </c>
      <c r="AY25" s="45">
        <v>342.524</v>
      </c>
      <c r="AZ25" s="45">
        <v>364.27100000000002</v>
      </c>
      <c r="BA25" s="45">
        <v>368.35500000000002</v>
      </c>
      <c r="BB25" s="45">
        <v>374.35</v>
      </c>
      <c r="BC25" s="45">
        <v>382.14800000000002</v>
      </c>
      <c r="BD25" s="45">
        <v>389.53300000000002</v>
      </c>
      <c r="BE25" s="45">
        <v>396.47399999999999</v>
      </c>
      <c r="BF25" s="45">
        <v>405.08100000000002</v>
      </c>
      <c r="BG25" s="45">
        <v>413.21</v>
      </c>
      <c r="BH25" s="45">
        <v>421.46600000000001</v>
      </c>
      <c r="BI25" s="49">
        <v>438.46699999999998</v>
      </c>
      <c r="BJ25" s="45">
        <v>442.327</v>
      </c>
      <c r="BK25" s="45">
        <v>449.82</v>
      </c>
      <c r="BL25" s="45">
        <v>462.62599999999998</v>
      </c>
      <c r="BM25" s="45">
        <v>470.05500000000001</v>
      </c>
      <c r="BN25" s="45">
        <v>477.33699999999999</v>
      </c>
      <c r="BO25" s="45">
        <v>488.685</v>
      </c>
      <c r="BP25" s="45">
        <v>498.24900000000002</v>
      </c>
      <c r="BQ25" s="45">
        <v>509.91699999999997</v>
      </c>
      <c r="BR25" s="45">
        <v>537.30999999999995</v>
      </c>
      <c r="BS25" s="45">
        <v>548.63900000000001</v>
      </c>
      <c r="BT25" s="45">
        <v>566.55499999999995</v>
      </c>
      <c r="BU25" s="49">
        <v>616.24400000000003</v>
      </c>
      <c r="BV25" s="45">
        <v>640.15099999999995</v>
      </c>
      <c r="BW25" s="45">
        <v>642.47699999999998</v>
      </c>
      <c r="BX25" s="45">
        <v>647.21799999999996</v>
      </c>
      <c r="BY25" s="45">
        <v>650.11</v>
      </c>
      <c r="BZ25" s="45">
        <v>653.15700000000004</v>
      </c>
      <c r="CA25" s="45">
        <v>657.779</v>
      </c>
      <c r="CB25" s="45">
        <v>662.15599999999995</v>
      </c>
      <c r="CC25" s="45">
        <v>668.27099999999996</v>
      </c>
      <c r="CD25" s="45">
        <v>679.52200000000005</v>
      </c>
      <c r="CE25" s="45">
        <v>682.32899999999995</v>
      </c>
      <c r="CF25" s="45">
        <v>685.32600000000002</v>
      </c>
      <c r="CG25" s="49">
        <v>689.89</v>
      </c>
      <c r="CH25" s="45">
        <v>691.57100000000003</v>
      </c>
      <c r="CI25" s="45">
        <v>694.11400000000003</v>
      </c>
      <c r="CJ25" s="45">
        <v>699.35699999999997</v>
      </c>
      <c r="CK25" s="45">
        <v>702.3</v>
      </c>
      <c r="CL25" s="45">
        <v>705.89499999999998</v>
      </c>
      <c r="CM25" s="45">
        <v>709.88</v>
      </c>
      <c r="CN25" s="45">
        <v>713.64499999999998</v>
      </c>
      <c r="CO25" s="45">
        <v>717.63800000000003</v>
      </c>
      <c r="CP25" s="45">
        <v>722.52099999999996</v>
      </c>
      <c r="CQ25" s="45">
        <v>726.40300000000002</v>
      </c>
      <c r="CR25" s="45">
        <v>731.49099999999999</v>
      </c>
      <c r="CS25" s="49">
        <v>735.44</v>
      </c>
      <c r="CT25" s="45">
        <v>739.53399999999999</v>
      </c>
      <c r="CU25" s="45">
        <v>743.27599999999995</v>
      </c>
      <c r="CV25" s="45">
        <v>748.59100000000001</v>
      </c>
      <c r="CW25" s="45">
        <v>752.03300000000002</v>
      </c>
      <c r="CX25" s="45">
        <v>755.48900000000003</v>
      </c>
      <c r="CY25" s="45">
        <v>760.27200000000005</v>
      </c>
      <c r="CZ25" s="45">
        <v>764.60799999999995</v>
      </c>
      <c r="DA25" s="45">
        <v>769.83699999999999</v>
      </c>
      <c r="DB25" s="45">
        <v>774.35</v>
      </c>
      <c r="DC25" s="45">
        <v>779.40599999999995</v>
      </c>
      <c r="DD25" s="45">
        <v>784.40300000000002</v>
      </c>
      <c r="DE25" s="49">
        <v>790.09299999999996</v>
      </c>
      <c r="DF25" s="45">
        <v>796.42</v>
      </c>
      <c r="DG25" s="45">
        <v>806.48</v>
      </c>
      <c r="DH25" s="45">
        <v>845.21799999999996</v>
      </c>
      <c r="DI25" s="45">
        <v>846.76900000000001</v>
      </c>
      <c r="DJ25" s="45">
        <v>848.37199999999996</v>
      </c>
      <c r="DK25" s="45">
        <v>850.38900000000001</v>
      </c>
      <c r="DL25" s="45">
        <v>852.70500000000004</v>
      </c>
      <c r="DM25" s="45">
        <v>856.00599999999997</v>
      </c>
      <c r="DN25" s="45">
        <v>859.39499999999998</v>
      </c>
      <c r="DO25" s="45">
        <v>862.67</v>
      </c>
      <c r="DP25" s="45">
        <v>866.30100000000004</v>
      </c>
      <c r="DQ25" s="49">
        <v>868.66600000000005</v>
      </c>
      <c r="DR25" s="45">
        <v>872.21299999999997</v>
      </c>
      <c r="DS25" s="45">
        <v>875.90800000000002</v>
      </c>
      <c r="DT25" s="45">
        <v>881.51800000000003</v>
      </c>
      <c r="DU25" s="45">
        <v>882.77200000000005</v>
      </c>
      <c r="DV25" s="45">
        <v>883.79100000000005</v>
      </c>
      <c r="DW25" s="45">
        <v>886.44899999999996</v>
      </c>
      <c r="DX25" s="45">
        <v>889.63699999999994</v>
      </c>
      <c r="DY25" s="45">
        <v>892.21900000000005</v>
      </c>
      <c r="DZ25" s="45">
        <v>896.37599999999998</v>
      </c>
      <c r="EA25" s="45">
        <v>900.14</v>
      </c>
      <c r="EB25" s="45">
        <v>904.39499999999998</v>
      </c>
      <c r="EC25" s="49">
        <v>907.34500000000003</v>
      </c>
      <c r="ED25" s="45">
        <v>910.32799999999997</v>
      </c>
      <c r="EE25" s="45">
        <v>913.80100000000004</v>
      </c>
      <c r="EF25" s="45">
        <v>918.60400000000004</v>
      </c>
      <c r="EG25" s="45">
        <v>922.40700000000004</v>
      </c>
      <c r="EH25" s="45">
        <v>926.23699999999997</v>
      </c>
      <c r="EI25" s="45">
        <v>929.68200000000002</v>
      </c>
      <c r="EJ25" s="45">
        <v>934.43600000000004</v>
      </c>
      <c r="EK25" s="45">
        <v>939.66</v>
      </c>
      <c r="EL25" s="45">
        <v>945.01400000000001</v>
      </c>
      <c r="EM25" s="45">
        <v>950.07600000000002</v>
      </c>
      <c r="EN25" s="45">
        <v>956.61800000000005</v>
      </c>
      <c r="EO25" s="82">
        <v>960.04499999999996</v>
      </c>
      <c r="EP25" s="45">
        <v>964.80200000000002</v>
      </c>
      <c r="EQ25" s="45">
        <v>970.06600000000003</v>
      </c>
      <c r="ER25" s="45">
        <v>978.10900000000004</v>
      </c>
      <c r="ES25" s="45">
        <v>984.06500000000005</v>
      </c>
      <c r="ET25" s="45">
        <v>992.33900000000006</v>
      </c>
      <c r="EU25" s="45">
        <v>999.48099999999999</v>
      </c>
      <c r="EV25" s="45">
        <v>1007.025</v>
      </c>
      <c r="EW25" s="45">
        <v>1015.423</v>
      </c>
      <c r="EX25" s="45">
        <v>1023.921</v>
      </c>
      <c r="EY25" s="45">
        <v>1033.085</v>
      </c>
      <c r="EZ25" s="45">
        <v>1043.9860000000001</v>
      </c>
      <c r="FA25" s="82">
        <v>1052.182</v>
      </c>
      <c r="FB25" s="45">
        <v>1062.8889999999999</v>
      </c>
      <c r="FC25" s="45">
        <v>1076.3579999999999</v>
      </c>
      <c r="FD25" s="45">
        <v>1092.4870000000001</v>
      </c>
      <c r="FE25" s="45">
        <v>1106.6179999999999</v>
      </c>
      <c r="FF25" s="45">
        <v>1124.4670000000001</v>
      </c>
      <c r="FG25" s="45">
        <v>1144.954</v>
      </c>
      <c r="FH25" s="45">
        <v>1162.1110000000001</v>
      </c>
      <c r="FI25" s="45">
        <v>1179.2729999999999</v>
      </c>
      <c r="FJ25" s="45">
        <v>1198.5350000000001</v>
      </c>
      <c r="FK25" s="45">
        <v>1215.365</v>
      </c>
      <c r="FL25" s="45">
        <v>1232.49</v>
      </c>
      <c r="FM25" s="155">
        <v>1243.1400000000001</v>
      </c>
      <c r="FN25" s="69">
        <v>1258.069</v>
      </c>
      <c r="FO25" s="178">
        <v>1271.652</v>
      </c>
      <c r="FP25" s="178">
        <v>1287.508</v>
      </c>
      <c r="FQ25" s="178">
        <v>1303.5999999999999</v>
      </c>
      <c r="FR25" s="178">
        <v>1322.0350000000001</v>
      </c>
      <c r="FS25" s="178">
        <v>1339.32</v>
      </c>
      <c r="FT25" s="178">
        <v>1358.229</v>
      </c>
      <c r="FU25" s="178">
        <v>1376.0920000000001</v>
      </c>
      <c r="FV25" s="178">
        <v>1393.3720000000001</v>
      </c>
      <c r="FW25" s="178">
        <v>1411.0930000000001</v>
      </c>
      <c r="FX25" s="178">
        <v>1429.453</v>
      </c>
      <c r="FY25" s="180">
        <v>1441.95</v>
      </c>
      <c r="FZ25" s="178">
        <v>1459.155</v>
      </c>
      <c r="GA25" s="178">
        <v>1479.6120000000001</v>
      </c>
      <c r="GB25" s="178">
        <v>1501.73</v>
      </c>
      <c r="GC25" s="178">
        <v>1522.837</v>
      </c>
      <c r="GD25" s="178">
        <v>1546.194</v>
      </c>
      <c r="GE25" s="178">
        <v>1568.3</v>
      </c>
      <c r="GF25" s="178">
        <v>1592.1310000000001</v>
      </c>
      <c r="GG25" s="178">
        <v>1613.5820000000001</v>
      </c>
      <c r="GH25" s="178">
        <v>1638.1980000000001</v>
      </c>
      <c r="GI25" s="178">
        <v>1662.32</v>
      </c>
      <c r="GJ25" s="178">
        <v>1683.2539999999999</v>
      </c>
      <c r="GK25" s="180">
        <v>1701.2739999999999</v>
      </c>
      <c r="GL25" s="178">
        <v>1721.7850000000001</v>
      </c>
      <c r="GM25" s="178">
        <v>1740.1790000000001</v>
      </c>
      <c r="GN25" s="178">
        <v>1769.268</v>
      </c>
    </row>
    <row r="26" spans="1:196" s="1" customFormat="1" ht="20.149999999999999" customHeight="1" x14ac:dyDescent="0.35">
      <c r="A26" s="31" t="s">
        <v>1627</v>
      </c>
      <c r="B26" s="45">
        <v>1.133</v>
      </c>
      <c r="C26" s="45">
        <v>1.133</v>
      </c>
      <c r="D26" s="45">
        <v>1.133</v>
      </c>
      <c r="E26" s="45">
        <v>1.133</v>
      </c>
      <c r="F26" s="45">
        <v>1.3009999999999999</v>
      </c>
      <c r="G26" s="45">
        <v>2.101</v>
      </c>
      <c r="H26" s="45">
        <v>2.2509999999999999</v>
      </c>
      <c r="I26" s="45">
        <v>2.2509999999999999</v>
      </c>
      <c r="J26" s="45">
        <v>2.2509999999999999</v>
      </c>
      <c r="K26" s="45">
        <v>2.6989999999999998</v>
      </c>
      <c r="L26" s="45">
        <v>2.75</v>
      </c>
      <c r="M26" s="49">
        <v>2.8969999999999998</v>
      </c>
      <c r="N26" s="50">
        <v>2.8969999999999998</v>
      </c>
      <c r="O26" s="45">
        <v>3.4209999999999998</v>
      </c>
      <c r="P26" s="45">
        <v>4.2380000000000004</v>
      </c>
      <c r="Q26" s="45">
        <v>10.138999999999999</v>
      </c>
      <c r="R26" s="45">
        <v>11.798</v>
      </c>
      <c r="S26" s="45">
        <v>17.247</v>
      </c>
      <c r="T26" s="45">
        <v>139.82599999999999</v>
      </c>
      <c r="U26" s="45">
        <v>140.78100000000001</v>
      </c>
      <c r="V26" s="45">
        <v>156.404</v>
      </c>
      <c r="W26" s="45">
        <v>212.83099999999999</v>
      </c>
      <c r="X26" s="45">
        <v>214.464</v>
      </c>
      <c r="Y26" s="49">
        <v>222.828</v>
      </c>
      <c r="Z26" s="50">
        <v>222.98699999999999</v>
      </c>
      <c r="AA26" s="45">
        <v>226.87100000000001</v>
      </c>
      <c r="AB26" s="45">
        <v>237.54900000000001</v>
      </c>
      <c r="AC26" s="45">
        <v>238.36199999999999</v>
      </c>
      <c r="AD26" s="45">
        <v>239.48400000000001</v>
      </c>
      <c r="AE26" s="45">
        <v>255.54900000000001</v>
      </c>
      <c r="AF26" s="45">
        <v>332.488</v>
      </c>
      <c r="AG26" s="45">
        <v>335.31599999999997</v>
      </c>
      <c r="AH26" s="45">
        <v>336.98399999999998</v>
      </c>
      <c r="AI26" s="45">
        <v>340.91500000000002</v>
      </c>
      <c r="AJ26" s="45">
        <v>350.21899999999999</v>
      </c>
      <c r="AK26" s="49">
        <v>352.34800000000001</v>
      </c>
      <c r="AL26" s="50">
        <v>358.19799999999998</v>
      </c>
      <c r="AM26" s="45">
        <v>362.66199999999998</v>
      </c>
      <c r="AN26" s="45">
        <v>465.64400000000001</v>
      </c>
      <c r="AO26" s="45">
        <v>492.17200000000003</v>
      </c>
      <c r="AP26" s="45">
        <v>503.91</v>
      </c>
      <c r="AQ26" s="45">
        <v>518.42899999999997</v>
      </c>
      <c r="AR26" s="45">
        <v>533.10599999999999</v>
      </c>
      <c r="AS26" s="45">
        <v>550.12099999999998</v>
      </c>
      <c r="AT26" s="45">
        <v>560.89599999999996</v>
      </c>
      <c r="AU26" s="45">
        <v>573.43600000000004</v>
      </c>
      <c r="AV26" s="45">
        <v>581.77800000000002</v>
      </c>
      <c r="AW26" s="49">
        <v>597.53800000000001</v>
      </c>
      <c r="AX26" s="45">
        <v>611.97</v>
      </c>
      <c r="AY26" s="45">
        <v>631.83399999999995</v>
      </c>
      <c r="AZ26" s="45">
        <v>723.92499999999995</v>
      </c>
      <c r="BA26" s="45">
        <v>739.09699999999998</v>
      </c>
      <c r="BB26" s="45">
        <v>757.50099999999998</v>
      </c>
      <c r="BC26" s="45">
        <v>798.96</v>
      </c>
      <c r="BD26" s="45">
        <v>818.67499999999995</v>
      </c>
      <c r="BE26" s="45">
        <v>834.55799999999999</v>
      </c>
      <c r="BF26" s="45">
        <v>851.37699999999995</v>
      </c>
      <c r="BG26" s="45">
        <v>868.09500000000003</v>
      </c>
      <c r="BH26" s="45">
        <v>886.57600000000002</v>
      </c>
      <c r="BI26" s="49">
        <v>928.45</v>
      </c>
      <c r="BJ26" s="45">
        <v>939.26199999999994</v>
      </c>
      <c r="BK26" s="45">
        <v>958.29899999999998</v>
      </c>
      <c r="BL26" s="45">
        <v>1079.3620000000001</v>
      </c>
      <c r="BM26" s="45">
        <v>1089.9069999999999</v>
      </c>
      <c r="BN26" s="45">
        <v>1116.3689999999999</v>
      </c>
      <c r="BO26" s="45">
        <v>1181.6859999999999</v>
      </c>
      <c r="BP26" s="45">
        <v>1211.729</v>
      </c>
      <c r="BQ26" s="45">
        <v>1249.5809999999999</v>
      </c>
      <c r="BR26" s="45">
        <v>1295.8810000000001</v>
      </c>
      <c r="BS26" s="45">
        <v>1373.204</v>
      </c>
      <c r="BT26" s="45">
        <v>1457.037</v>
      </c>
      <c r="BU26" s="49">
        <v>1957.7750000000001</v>
      </c>
      <c r="BV26" s="45">
        <v>2027.3309999999999</v>
      </c>
      <c r="BW26" s="45">
        <v>2088.5410000000002</v>
      </c>
      <c r="BX26" s="45">
        <v>2605.5169999999998</v>
      </c>
      <c r="BY26" s="45">
        <v>2650.556</v>
      </c>
      <c r="BZ26" s="45">
        <v>2687.2809999999999</v>
      </c>
      <c r="CA26" s="45">
        <v>2839.9119999999998</v>
      </c>
      <c r="CB26" s="45">
        <v>2854.386</v>
      </c>
      <c r="CC26" s="45">
        <v>2882.8910000000001</v>
      </c>
      <c r="CD26" s="45">
        <v>2910.1089999999999</v>
      </c>
      <c r="CE26" s="45">
        <v>2936.0920000000001</v>
      </c>
      <c r="CF26" s="45">
        <v>2967.127</v>
      </c>
      <c r="CG26" s="49">
        <v>3007.6480000000001</v>
      </c>
      <c r="CH26" s="45">
        <v>3016.8589999999999</v>
      </c>
      <c r="CI26" s="45">
        <v>3069.4960000000001</v>
      </c>
      <c r="CJ26" s="45">
        <v>3435.471</v>
      </c>
      <c r="CK26" s="45">
        <v>3445.3969999999999</v>
      </c>
      <c r="CL26" s="45">
        <v>3452.1320000000001</v>
      </c>
      <c r="CM26" s="45">
        <v>3457.3589999999999</v>
      </c>
      <c r="CN26" s="45">
        <v>3466.6410000000001</v>
      </c>
      <c r="CO26" s="45">
        <v>3472.0990000000002</v>
      </c>
      <c r="CP26" s="45">
        <v>3475.674</v>
      </c>
      <c r="CQ26" s="45">
        <v>3478.1149999999998</v>
      </c>
      <c r="CR26" s="45">
        <v>3480.0340000000001</v>
      </c>
      <c r="CS26" s="49">
        <v>3481.17</v>
      </c>
      <c r="CT26" s="45">
        <v>3482.8130000000001</v>
      </c>
      <c r="CU26" s="45">
        <v>3483.569</v>
      </c>
      <c r="CV26" s="45">
        <v>3496.8580000000002</v>
      </c>
      <c r="CW26" s="45">
        <v>3499.6419999999998</v>
      </c>
      <c r="CX26" s="45">
        <v>3503.8670000000002</v>
      </c>
      <c r="CY26" s="45">
        <v>3510.3739999999998</v>
      </c>
      <c r="CZ26" s="45">
        <v>3513.0970000000002</v>
      </c>
      <c r="DA26" s="45">
        <v>3515.5990000000002</v>
      </c>
      <c r="DB26" s="45">
        <v>3518.0129999999999</v>
      </c>
      <c r="DC26" s="45">
        <v>3520.1109999999999</v>
      </c>
      <c r="DD26" s="45">
        <v>3529.0929999999998</v>
      </c>
      <c r="DE26" s="49">
        <v>3537.3969999999999</v>
      </c>
      <c r="DF26" s="45">
        <v>3540.366</v>
      </c>
      <c r="DG26" s="45">
        <v>3543.9540000000002</v>
      </c>
      <c r="DH26" s="45">
        <v>3548.0459999999998</v>
      </c>
      <c r="DI26" s="45">
        <v>3560.701</v>
      </c>
      <c r="DJ26" s="45">
        <v>3561.4090000000001</v>
      </c>
      <c r="DK26" s="45">
        <v>3563.6529999999998</v>
      </c>
      <c r="DL26" s="45">
        <v>3566.2449999999999</v>
      </c>
      <c r="DM26" s="45">
        <v>3573.0059999999999</v>
      </c>
      <c r="DN26" s="45">
        <v>3587.884</v>
      </c>
      <c r="DO26" s="45">
        <v>3589.018</v>
      </c>
      <c r="DP26" s="45">
        <v>3589.7779999999998</v>
      </c>
      <c r="DQ26" s="49">
        <v>3591.404</v>
      </c>
      <c r="DR26" s="45">
        <v>3600.154</v>
      </c>
      <c r="DS26" s="45">
        <v>3600.7539999999999</v>
      </c>
      <c r="DT26" s="45">
        <v>3603.1419999999998</v>
      </c>
      <c r="DU26" s="45">
        <v>3604.5929999999998</v>
      </c>
      <c r="DV26" s="45">
        <v>3604.8470000000002</v>
      </c>
      <c r="DW26" s="45">
        <v>3604.9969999999998</v>
      </c>
      <c r="DX26" s="45">
        <v>3611.8470000000002</v>
      </c>
      <c r="DY26" s="45">
        <v>3612.6970000000001</v>
      </c>
      <c r="DZ26" s="45">
        <v>3613.1970000000001</v>
      </c>
      <c r="EA26" s="45">
        <v>3617.1469999999999</v>
      </c>
      <c r="EB26" s="45">
        <v>3619.0970000000002</v>
      </c>
      <c r="EC26" s="49">
        <v>3622.4470000000001</v>
      </c>
      <c r="ED26" s="45">
        <v>3623.0219999999999</v>
      </c>
      <c r="EE26" s="45">
        <v>3624.8220000000001</v>
      </c>
      <c r="EF26" s="45">
        <v>3625.3719999999998</v>
      </c>
      <c r="EG26" s="45">
        <v>3625.7220000000002</v>
      </c>
      <c r="EH26" s="45">
        <v>3626.8719999999998</v>
      </c>
      <c r="EI26" s="45">
        <v>3628.2719999999999</v>
      </c>
      <c r="EJ26" s="45">
        <v>3634.3919999999998</v>
      </c>
      <c r="EK26" s="45">
        <v>3635.971</v>
      </c>
      <c r="EL26" s="45">
        <v>3643.1660000000002</v>
      </c>
      <c r="EM26" s="45">
        <v>3647.0309999999999</v>
      </c>
      <c r="EN26" s="45">
        <v>3649.5309999999999</v>
      </c>
      <c r="EO26" s="82">
        <v>3653.7150000000001</v>
      </c>
      <c r="EP26" s="45">
        <v>3673.6680000000001</v>
      </c>
      <c r="EQ26" s="45">
        <v>3677.143</v>
      </c>
      <c r="ER26" s="45">
        <v>3683.5149999999999</v>
      </c>
      <c r="ES26" s="45">
        <v>3695.0770000000002</v>
      </c>
      <c r="ET26" s="45">
        <v>3702.4560000000001</v>
      </c>
      <c r="EU26" s="45">
        <v>3706.0810000000001</v>
      </c>
      <c r="EV26" s="45">
        <v>3712.9180000000001</v>
      </c>
      <c r="EW26" s="45">
        <v>3714.28</v>
      </c>
      <c r="EX26" s="45">
        <v>3717.703</v>
      </c>
      <c r="EY26" s="45">
        <v>3723.8850000000002</v>
      </c>
      <c r="EZ26" s="45">
        <v>3729.0129999999999</v>
      </c>
      <c r="FA26" s="82">
        <v>3736.75</v>
      </c>
      <c r="FB26" s="45">
        <v>3739.4250000000002</v>
      </c>
      <c r="FC26" s="45">
        <v>3744.8789999999999</v>
      </c>
      <c r="FD26" s="45">
        <v>3753.4459999999999</v>
      </c>
      <c r="FE26" s="45">
        <v>3758.7339999999999</v>
      </c>
      <c r="FF26" s="45">
        <v>3763.7570000000001</v>
      </c>
      <c r="FG26" s="45">
        <v>3771.2489999999998</v>
      </c>
      <c r="FH26" s="45">
        <v>3780.636</v>
      </c>
      <c r="FI26" s="45">
        <v>3786.0189999999998</v>
      </c>
      <c r="FJ26" s="45">
        <v>3795.34</v>
      </c>
      <c r="FK26" s="45">
        <v>3806.9859999999999</v>
      </c>
      <c r="FL26" s="45">
        <v>3813.0120000000002</v>
      </c>
      <c r="FM26" s="155">
        <v>3816.5940000000001</v>
      </c>
      <c r="FN26" s="69">
        <v>3833.3649999999998</v>
      </c>
      <c r="FO26" s="178">
        <v>3838.5839999999998</v>
      </c>
      <c r="FP26" s="178">
        <v>3849.6080000000002</v>
      </c>
      <c r="FQ26" s="178">
        <v>3852.5889999999999</v>
      </c>
      <c r="FR26" s="178">
        <v>3860.6860000000001</v>
      </c>
      <c r="FS26" s="178">
        <v>3867.8870000000002</v>
      </c>
      <c r="FT26" s="178">
        <v>3876.8789999999999</v>
      </c>
      <c r="FU26" s="178">
        <v>3880.6489999999999</v>
      </c>
      <c r="FV26" s="178">
        <v>3884.3409999999999</v>
      </c>
      <c r="FW26" s="178">
        <v>3889.6080000000002</v>
      </c>
      <c r="FX26" s="178">
        <v>3894.748</v>
      </c>
      <c r="FY26" s="180">
        <v>3895.9650000000001</v>
      </c>
      <c r="FZ26" s="178">
        <v>3897.3910000000001</v>
      </c>
      <c r="GA26" s="178">
        <v>3900.2289999999998</v>
      </c>
      <c r="GB26" s="178">
        <v>3902.4250000000002</v>
      </c>
      <c r="GC26" s="178">
        <v>3903.8249999999998</v>
      </c>
      <c r="GD26" s="178">
        <v>3907.0129999999999</v>
      </c>
      <c r="GE26" s="178">
        <v>3909.4639999999999</v>
      </c>
      <c r="GF26" s="178">
        <v>3914.7139999999999</v>
      </c>
      <c r="GG26" s="178">
        <v>3916.5140000000001</v>
      </c>
      <c r="GH26" s="178">
        <v>3918.6640000000002</v>
      </c>
      <c r="GI26" s="178">
        <v>3921.4639999999999</v>
      </c>
      <c r="GJ26" s="178">
        <v>3922.9639999999999</v>
      </c>
      <c r="GK26" s="180">
        <v>3925.864</v>
      </c>
      <c r="GL26" s="178">
        <v>3926.7139999999999</v>
      </c>
      <c r="GM26" s="178">
        <v>3927.864</v>
      </c>
      <c r="GN26" s="178">
        <v>3929.4639999999999</v>
      </c>
    </row>
    <row r="27" spans="1:196" s="1" customFormat="1" ht="20.149999999999999" customHeight="1" x14ac:dyDescent="0.35">
      <c r="A27" s="31" t="s">
        <v>1624</v>
      </c>
      <c r="B27" s="45">
        <v>0</v>
      </c>
      <c r="C27" s="45">
        <v>0</v>
      </c>
      <c r="D27" s="45">
        <v>0</v>
      </c>
      <c r="E27" s="45">
        <v>0</v>
      </c>
      <c r="F27" s="45">
        <v>0</v>
      </c>
      <c r="G27" s="45">
        <v>0</v>
      </c>
      <c r="H27" s="45">
        <v>0</v>
      </c>
      <c r="I27" s="45">
        <v>0</v>
      </c>
      <c r="J27" s="45">
        <v>0</v>
      </c>
      <c r="K27" s="45">
        <v>0</v>
      </c>
      <c r="L27" s="45">
        <v>0</v>
      </c>
      <c r="M27" s="49">
        <v>0</v>
      </c>
      <c r="N27" s="50">
        <v>0</v>
      </c>
      <c r="O27" s="45">
        <v>0</v>
      </c>
      <c r="P27" s="45">
        <v>0</v>
      </c>
      <c r="Q27" s="45">
        <v>0</v>
      </c>
      <c r="R27" s="45">
        <v>0</v>
      </c>
      <c r="S27" s="45">
        <v>0</v>
      </c>
      <c r="T27" s="45">
        <v>0</v>
      </c>
      <c r="U27" s="45">
        <v>0</v>
      </c>
      <c r="V27" s="45">
        <v>0</v>
      </c>
      <c r="W27" s="45">
        <v>0</v>
      </c>
      <c r="X27" s="45">
        <v>0</v>
      </c>
      <c r="Y27" s="49">
        <v>0</v>
      </c>
      <c r="Z27" s="50">
        <v>6</v>
      </c>
      <c r="AA27" s="45">
        <v>6</v>
      </c>
      <c r="AB27" s="45">
        <v>6</v>
      </c>
      <c r="AC27" s="45">
        <v>6</v>
      </c>
      <c r="AD27" s="45">
        <v>6</v>
      </c>
      <c r="AE27" s="45">
        <v>6</v>
      </c>
      <c r="AF27" s="45">
        <v>6</v>
      </c>
      <c r="AG27" s="45">
        <v>6</v>
      </c>
      <c r="AH27" s="45">
        <v>6</v>
      </c>
      <c r="AI27" s="45">
        <v>6</v>
      </c>
      <c r="AJ27" s="45">
        <v>6</v>
      </c>
      <c r="AK27" s="49">
        <v>6</v>
      </c>
      <c r="AL27" s="50">
        <v>6</v>
      </c>
      <c r="AM27" s="45">
        <v>45.012</v>
      </c>
      <c r="AN27" s="45">
        <v>272.49900000000002</v>
      </c>
      <c r="AO27" s="45">
        <v>272.49900000000002</v>
      </c>
      <c r="AP27" s="45">
        <v>296.28300000000002</v>
      </c>
      <c r="AQ27" s="45">
        <v>349.51299999999998</v>
      </c>
      <c r="AR27" s="45">
        <v>349.51299999999998</v>
      </c>
      <c r="AS27" s="45">
        <v>368.68799999999999</v>
      </c>
      <c r="AT27" s="45">
        <v>368.68799999999999</v>
      </c>
      <c r="AU27" s="45">
        <v>368.68799999999999</v>
      </c>
      <c r="AV27" s="45">
        <v>423.68799999999999</v>
      </c>
      <c r="AW27" s="49">
        <v>445.23200000000003</v>
      </c>
      <c r="AX27" s="45">
        <v>522.36</v>
      </c>
      <c r="AY27" s="45">
        <v>554.51599999999996</v>
      </c>
      <c r="AZ27" s="45">
        <v>1400.913</v>
      </c>
      <c r="BA27" s="45">
        <v>1409.904</v>
      </c>
      <c r="BB27" s="45">
        <v>1460.3620000000001</v>
      </c>
      <c r="BC27" s="45">
        <v>1515.2339999999999</v>
      </c>
      <c r="BD27" s="45">
        <v>1588.1410000000001</v>
      </c>
      <c r="BE27" s="45">
        <v>1594.2139999999999</v>
      </c>
      <c r="BF27" s="45">
        <v>1661.1849999999999</v>
      </c>
      <c r="BG27" s="45">
        <v>1701.164</v>
      </c>
      <c r="BH27" s="45">
        <v>1774.3140000000001</v>
      </c>
      <c r="BI27" s="49">
        <v>1893.9839999999999</v>
      </c>
      <c r="BJ27" s="45">
        <v>1953.204</v>
      </c>
      <c r="BK27" s="45">
        <v>2058.9949999999999</v>
      </c>
      <c r="BL27" s="45">
        <v>3562.9409999999998</v>
      </c>
      <c r="BM27" s="45">
        <v>3562.9409999999998</v>
      </c>
      <c r="BN27" s="45">
        <v>3562.9409999999998</v>
      </c>
      <c r="BO27" s="45">
        <v>3568.5610000000001</v>
      </c>
      <c r="BP27" s="45">
        <v>3579.6120000000001</v>
      </c>
      <c r="BQ27" s="45">
        <v>3613.9259999999999</v>
      </c>
      <c r="BR27" s="45">
        <v>3613.9259999999999</v>
      </c>
      <c r="BS27" s="45">
        <v>3644.4180000000001</v>
      </c>
      <c r="BT27" s="45">
        <v>3686.7640000000001</v>
      </c>
      <c r="BU27" s="49">
        <v>3741.6669999999999</v>
      </c>
      <c r="BV27" s="45">
        <v>3768.7379999999998</v>
      </c>
      <c r="BW27" s="45">
        <v>3801.6080000000002</v>
      </c>
      <c r="BX27" s="45">
        <v>4031.6930000000002</v>
      </c>
      <c r="BY27" s="45">
        <v>4047.4380000000001</v>
      </c>
      <c r="BZ27" s="45">
        <v>4047.4380000000001</v>
      </c>
      <c r="CA27" s="45">
        <v>4099.2790000000005</v>
      </c>
      <c r="CB27" s="45">
        <v>4113.8789999999999</v>
      </c>
      <c r="CC27" s="45">
        <v>4133.2790000000005</v>
      </c>
      <c r="CD27" s="45">
        <v>4133.2790000000005</v>
      </c>
      <c r="CE27" s="45">
        <v>4138.2790000000005</v>
      </c>
      <c r="CF27" s="45">
        <v>4138.2790000000005</v>
      </c>
      <c r="CG27" s="49">
        <v>4163.2790000000005</v>
      </c>
      <c r="CH27" s="45">
        <v>4185.2790000000005</v>
      </c>
      <c r="CI27" s="45">
        <v>4216.76</v>
      </c>
      <c r="CJ27" s="45">
        <v>4350.6000000000004</v>
      </c>
      <c r="CK27" s="45">
        <v>4350.6000000000004</v>
      </c>
      <c r="CL27" s="45">
        <v>4350.6000000000004</v>
      </c>
      <c r="CM27" s="45">
        <v>4350.6000000000004</v>
      </c>
      <c r="CN27" s="45">
        <v>4359.1400000000003</v>
      </c>
      <c r="CO27" s="45">
        <v>4359.1400000000003</v>
      </c>
      <c r="CP27" s="45">
        <v>4359.1400000000003</v>
      </c>
      <c r="CQ27" s="45">
        <v>4369.84</v>
      </c>
      <c r="CR27" s="45">
        <v>4369.84</v>
      </c>
      <c r="CS27" s="49">
        <v>4381.8</v>
      </c>
      <c r="CT27" s="45">
        <v>4381.8</v>
      </c>
      <c r="CU27" s="45">
        <v>4388.3</v>
      </c>
      <c r="CV27" s="45">
        <v>4402.5020000000004</v>
      </c>
      <c r="CW27" s="45">
        <v>4415.5020000000004</v>
      </c>
      <c r="CX27" s="45">
        <v>4422.0020000000004</v>
      </c>
      <c r="CY27" s="45">
        <v>4422.0020000000004</v>
      </c>
      <c r="CZ27" s="45">
        <v>4422.0020000000004</v>
      </c>
      <c r="DA27" s="45">
        <v>4422.0020000000004</v>
      </c>
      <c r="DB27" s="45">
        <v>4422.0020000000004</v>
      </c>
      <c r="DC27" s="45">
        <v>4429.5020000000004</v>
      </c>
      <c r="DD27" s="45">
        <v>4429.5020000000004</v>
      </c>
      <c r="DE27" s="49">
        <v>4434.5020000000004</v>
      </c>
      <c r="DF27" s="45">
        <v>4449.152</v>
      </c>
      <c r="DG27" s="45">
        <v>4449.152</v>
      </c>
      <c r="DH27" s="45">
        <v>4449.152</v>
      </c>
      <c r="DI27" s="45">
        <v>4449.152</v>
      </c>
      <c r="DJ27" s="45">
        <v>4449.152</v>
      </c>
      <c r="DK27" s="45">
        <v>4449.152</v>
      </c>
      <c r="DL27" s="45">
        <v>4456.3519999999999</v>
      </c>
      <c r="DM27" s="45">
        <v>4456.3519999999999</v>
      </c>
      <c r="DN27" s="45">
        <v>4465.5519999999997</v>
      </c>
      <c r="DO27" s="45">
        <v>4465.5519999999997</v>
      </c>
      <c r="DP27" s="45">
        <v>4465.5519999999997</v>
      </c>
      <c r="DQ27" s="49">
        <v>4465.5519999999997</v>
      </c>
      <c r="DR27" s="45">
        <v>4484.8599999999997</v>
      </c>
      <c r="DS27" s="45">
        <v>4489.8599999999997</v>
      </c>
      <c r="DT27" s="45">
        <v>4489.8599999999997</v>
      </c>
      <c r="DU27" s="45">
        <v>4489.8599999999997</v>
      </c>
      <c r="DV27" s="45">
        <v>4498.76</v>
      </c>
      <c r="DW27" s="45">
        <v>4498.76</v>
      </c>
      <c r="DX27" s="45">
        <v>4498.76</v>
      </c>
      <c r="DY27" s="45">
        <v>4503.76</v>
      </c>
      <c r="DZ27" s="45">
        <v>4503.76</v>
      </c>
      <c r="EA27" s="45">
        <v>4503.76</v>
      </c>
      <c r="EB27" s="45">
        <v>4503.76</v>
      </c>
      <c r="EC27" s="49">
        <v>4515.7849999999999</v>
      </c>
      <c r="ED27" s="45">
        <v>4523.7849999999999</v>
      </c>
      <c r="EE27" s="45">
        <v>4523.7849999999999</v>
      </c>
      <c r="EF27" s="45">
        <v>4531.7849999999999</v>
      </c>
      <c r="EG27" s="45">
        <v>4531.7849999999999</v>
      </c>
      <c r="EH27" s="45">
        <v>4538.7849999999999</v>
      </c>
      <c r="EI27" s="45">
        <v>4552.7849999999999</v>
      </c>
      <c r="EJ27" s="45">
        <v>4552.7849999999999</v>
      </c>
      <c r="EK27" s="45">
        <v>4552.7849999999999</v>
      </c>
      <c r="EL27" s="45">
        <v>4552.7849999999999</v>
      </c>
      <c r="EM27" s="45">
        <v>4552.7849999999999</v>
      </c>
      <c r="EN27" s="45">
        <v>4552.7849999999999</v>
      </c>
      <c r="EO27" s="82">
        <v>4552.7849999999999</v>
      </c>
      <c r="EP27" s="45">
        <v>4595.4120000000003</v>
      </c>
      <c r="EQ27" s="45">
        <v>4595.4120000000003</v>
      </c>
      <c r="ER27" s="45">
        <v>4600.4120000000003</v>
      </c>
      <c r="ES27" s="45">
        <v>4600.4120000000003</v>
      </c>
      <c r="ET27" s="45">
        <v>4600.4120000000003</v>
      </c>
      <c r="EU27" s="45">
        <v>4600.4120000000003</v>
      </c>
      <c r="EV27" s="45">
        <v>4615.5820000000003</v>
      </c>
      <c r="EW27" s="45">
        <v>4615.5820000000003</v>
      </c>
      <c r="EX27" s="45">
        <v>4638.5820000000003</v>
      </c>
      <c r="EY27" s="45">
        <v>4638.5820000000003</v>
      </c>
      <c r="EZ27" s="45">
        <v>4638.5820000000003</v>
      </c>
      <c r="FA27" s="82">
        <v>4647.6120000000001</v>
      </c>
      <c r="FB27" s="45">
        <v>4684.6120000000001</v>
      </c>
      <c r="FC27" s="45">
        <v>4694.5119999999997</v>
      </c>
      <c r="FD27" s="45">
        <v>4715.0619999999999</v>
      </c>
      <c r="FE27" s="45">
        <v>4720.0619999999999</v>
      </c>
      <c r="FF27" s="45">
        <v>4720.0619999999999</v>
      </c>
      <c r="FG27" s="45">
        <v>4720.0619999999999</v>
      </c>
      <c r="FH27" s="45">
        <v>4720.0619999999999</v>
      </c>
      <c r="FI27" s="45">
        <v>4720.0619999999999</v>
      </c>
      <c r="FJ27" s="45">
        <v>4729.7520000000004</v>
      </c>
      <c r="FK27" s="45">
        <v>4786.902</v>
      </c>
      <c r="FL27" s="45">
        <v>4806.902</v>
      </c>
      <c r="FM27" s="155">
        <v>4806.902</v>
      </c>
      <c r="FN27" s="69">
        <v>4858.6769999999997</v>
      </c>
      <c r="FO27" s="178">
        <v>4858.6769999999997</v>
      </c>
      <c r="FP27" s="178">
        <v>4928.3109999999997</v>
      </c>
      <c r="FQ27" s="178">
        <v>4984.5609999999997</v>
      </c>
      <c r="FR27" s="178">
        <v>4984.5609999999997</v>
      </c>
      <c r="FS27" s="178">
        <v>5027.951</v>
      </c>
      <c r="FT27" s="178">
        <v>5027.951</v>
      </c>
      <c r="FU27" s="178">
        <v>5027.951</v>
      </c>
      <c r="FV27" s="178">
        <v>5027.951</v>
      </c>
      <c r="FW27" s="178">
        <v>5051.183</v>
      </c>
      <c r="FX27" s="178">
        <v>5051.183</v>
      </c>
      <c r="FY27" s="180">
        <v>5061.183</v>
      </c>
      <c r="FZ27" s="178">
        <v>5107.0889999999999</v>
      </c>
      <c r="GA27" s="178">
        <v>5117.0889999999999</v>
      </c>
      <c r="GB27" s="178">
        <v>5117.0889999999999</v>
      </c>
      <c r="GC27" s="178">
        <v>5117.0889999999999</v>
      </c>
      <c r="GD27" s="178">
        <v>5117.0889999999999</v>
      </c>
      <c r="GE27" s="178">
        <v>5159.0889999999999</v>
      </c>
      <c r="GF27" s="178">
        <v>5159.0889999999999</v>
      </c>
      <c r="GG27" s="178">
        <v>5177.0889999999999</v>
      </c>
      <c r="GH27" s="178">
        <v>5177.0889999999999</v>
      </c>
      <c r="GI27" s="178">
        <v>5184.0389999999998</v>
      </c>
      <c r="GJ27" s="178">
        <v>5184.0389999999998</v>
      </c>
      <c r="GK27" s="180">
        <v>5184.0389999999998</v>
      </c>
      <c r="GL27" s="178">
        <v>5184.0389999999998</v>
      </c>
      <c r="GM27" s="178">
        <v>5184.0389999999998</v>
      </c>
      <c r="GN27" s="178">
        <v>5184.0389999999998</v>
      </c>
    </row>
    <row r="28" spans="1:196" s="1" customFormat="1" ht="20.149999999999999" customHeight="1" x14ac:dyDescent="0.4">
      <c r="A28" s="31" t="s">
        <v>1628</v>
      </c>
      <c r="B28" s="87">
        <v>0</v>
      </c>
      <c r="C28" s="87">
        <v>0</v>
      </c>
      <c r="D28" s="87">
        <v>0</v>
      </c>
      <c r="E28" s="87">
        <v>0</v>
      </c>
      <c r="F28" s="87">
        <v>0</v>
      </c>
      <c r="G28" s="87">
        <v>0</v>
      </c>
      <c r="H28" s="87">
        <v>0</v>
      </c>
      <c r="I28" s="87">
        <v>0</v>
      </c>
      <c r="J28" s="87">
        <v>0</v>
      </c>
      <c r="K28" s="87">
        <v>0</v>
      </c>
      <c r="L28" s="87">
        <v>0</v>
      </c>
      <c r="M28" s="88">
        <v>0</v>
      </c>
      <c r="N28" s="86">
        <v>0</v>
      </c>
      <c r="O28" s="87">
        <v>0</v>
      </c>
      <c r="P28" s="87">
        <v>0</v>
      </c>
      <c r="Q28" s="87">
        <v>0</v>
      </c>
      <c r="R28" s="87">
        <v>0</v>
      </c>
      <c r="S28" s="87">
        <v>0</v>
      </c>
      <c r="T28" s="87">
        <v>0</v>
      </c>
      <c r="U28" s="87">
        <v>0</v>
      </c>
      <c r="V28" s="87">
        <v>0</v>
      </c>
      <c r="W28" s="87">
        <v>0</v>
      </c>
      <c r="X28" s="87">
        <v>0</v>
      </c>
      <c r="Y28" s="88">
        <v>0</v>
      </c>
      <c r="Z28" s="87">
        <v>0</v>
      </c>
      <c r="AA28" s="87">
        <v>0</v>
      </c>
      <c r="AB28" s="87">
        <v>0</v>
      </c>
      <c r="AC28" s="87">
        <v>0</v>
      </c>
      <c r="AD28" s="87">
        <v>0</v>
      </c>
      <c r="AE28" s="87">
        <v>0</v>
      </c>
      <c r="AF28" s="87">
        <v>0</v>
      </c>
      <c r="AG28" s="87">
        <v>0</v>
      </c>
      <c r="AH28" s="87">
        <v>0</v>
      </c>
      <c r="AI28" s="87">
        <v>0</v>
      </c>
      <c r="AJ28" s="87">
        <v>0</v>
      </c>
      <c r="AK28" s="87">
        <v>0</v>
      </c>
      <c r="AL28" s="47">
        <v>0</v>
      </c>
      <c r="AM28" s="87">
        <v>0</v>
      </c>
      <c r="AN28" s="161">
        <v>34.47</v>
      </c>
      <c r="AO28" s="161">
        <v>34.47</v>
      </c>
      <c r="AP28" s="161">
        <v>34.47</v>
      </c>
      <c r="AQ28" s="161">
        <v>34.47</v>
      </c>
      <c r="AR28" s="161">
        <v>34.47</v>
      </c>
      <c r="AS28" s="161">
        <v>34.47</v>
      </c>
      <c r="AT28" s="161">
        <v>34.47</v>
      </c>
      <c r="AU28" s="161">
        <v>34.47</v>
      </c>
      <c r="AV28" s="161">
        <v>34.47</v>
      </c>
      <c r="AW28" s="48">
        <v>34.47</v>
      </c>
      <c r="AX28" s="46">
        <v>34.47</v>
      </c>
      <c r="AY28" s="161">
        <v>66.171000000000006</v>
      </c>
      <c r="AZ28" s="161">
        <v>97.760999999999996</v>
      </c>
      <c r="BA28" s="161">
        <v>129.77099999999999</v>
      </c>
      <c r="BB28" s="161">
        <v>129.77099999999999</v>
      </c>
      <c r="BC28" s="161">
        <v>129.77099999999999</v>
      </c>
      <c r="BD28" s="161">
        <v>162.221</v>
      </c>
      <c r="BE28" s="161">
        <v>162.221</v>
      </c>
      <c r="BF28" s="161">
        <v>236.06399999999999</v>
      </c>
      <c r="BG28" s="161">
        <v>296.745</v>
      </c>
      <c r="BH28" s="161">
        <v>296.745</v>
      </c>
      <c r="BI28" s="48">
        <v>383.32100000000003</v>
      </c>
      <c r="BJ28" s="161">
        <v>383.32100000000003</v>
      </c>
      <c r="BK28" s="161">
        <v>383.32100000000003</v>
      </c>
      <c r="BL28" s="161">
        <v>1064.317</v>
      </c>
      <c r="BM28" s="161">
        <v>1064.317</v>
      </c>
      <c r="BN28" s="161">
        <v>1064.317</v>
      </c>
      <c r="BO28" s="161">
        <v>1064.317</v>
      </c>
      <c r="BP28" s="161">
        <v>1064.317</v>
      </c>
      <c r="BQ28" s="161">
        <v>1064.317</v>
      </c>
      <c r="BR28" s="161">
        <v>1064.317</v>
      </c>
      <c r="BS28" s="161">
        <v>1064.317</v>
      </c>
      <c r="BT28" s="161">
        <v>1064.317</v>
      </c>
      <c r="BU28" s="48">
        <v>1064.317</v>
      </c>
      <c r="BV28" s="161">
        <v>1102.317</v>
      </c>
      <c r="BW28" s="161">
        <v>1102.317</v>
      </c>
      <c r="BX28" s="161">
        <v>1507.117</v>
      </c>
      <c r="BY28" s="161">
        <v>1507.117</v>
      </c>
      <c r="BZ28" s="161">
        <v>1507.117</v>
      </c>
      <c r="CA28" s="161">
        <v>1507.117</v>
      </c>
      <c r="CB28" s="161">
        <v>1507.117</v>
      </c>
      <c r="CC28" s="161">
        <v>1507.117</v>
      </c>
      <c r="CD28" s="161">
        <v>1507.117</v>
      </c>
      <c r="CE28" s="161">
        <v>1507.117</v>
      </c>
      <c r="CF28" s="161">
        <v>1507.117</v>
      </c>
      <c r="CG28" s="48">
        <v>1507.117</v>
      </c>
      <c r="CH28" s="161">
        <v>1507.117</v>
      </c>
      <c r="CI28" s="161">
        <v>1507.117</v>
      </c>
      <c r="CJ28" s="161">
        <v>1552.87</v>
      </c>
      <c r="CK28" s="161">
        <v>1552.87</v>
      </c>
      <c r="CL28" s="161">
        <v>1552.87</v>
      </c>
      <c r="CM28" s="161">
        <v>1552.87</v>
      </c>
      <c r="CN28" s="161">
        <v>1552.87</v>
      </c>
      <c r="CO28" s="161">
        <v>1552.87</v>
      </c>
      <c r="CP28" s="161">
        <v>1552.87</v>
      </c>
      <c r="CQ28" s="161">
        <v>1552.87</v>
      </c>
      <c r="CR28" s="161">
        <v>1552.87</v>
      </c>
      <c r="CS28" s="49">
        <v>1552.87</v>
      </c>
      <c r="CT28" s="161">
        <v>1579.97</v>
      </c>
      <c r="CU28" s="161">
        <v>1579.97</v>
      </c>
      <c r="CV28" s="161">
        <v>1579.97</v>
      </c>
      <c r="CW28" s="161">
        <v>1579.97</v>
      </c>
      <c r="CX28" s="161">
        <v>1579.97</v>
      </c>
      <c r="CY28" s="161">
        <v>1579.97</v>
      </c>
      <c r="CZ28" s="161">
        <v>1579.97</v>
      </c>
      <c r="DA28" s="161">
        <v>1579.97</v>
      </c>
      <c r="DB28" s="161">
        <v>1579.97</v>
      </c>
      <c r="DC28" s="161">
        <v>1579.97</v>
      </c>
      <c r="DD28" s="161">
        <v>1579.97</v>
      </c>
      <c r="DE28" s="48">
        <v>1579.97</v>
      </c>
      <c r="DF28" s="161">
        <v>1629.9570000000001</v>
      </c>
      <c r="DG28" s="161">
        <v>1629.9570000000001</v>
      </c>
      <c r="DH28" s="161">
        <v>1629.9570000000001</v>
      </c>
      <c r="DI28" s="161">
        <v>1629.9570000000001</v>
      </c>
      <c r="DJ28" s="161">
        <v>1629.9570000000001</v>
      </c>
      <c r="DK28" s="161">
        <v>1629.9570000000001</v>
      </c>
      <c r="DL28" s="161">
        <v>1629.9570000000001</v>
      </c>
      <c r="DM28" s="161">
        <v>1629.9570000000001</v>
      </c>
      <c r="DN28" s="161">
        <v>1629.9570000000001</v>
      </c>
      <c r="DO28" s="161">
        <v>1629.9570000000001</v>
      </c>
      <c r="DP28" s="161">
        <v>1629.9570000000001</v>
      </c>
      <c r="DQ28" s="48">
        <v>1664.6569999999999</v>
      </c>
      <c r="DR28" s="161">
        <v>1664.6569999999999</v>
      </c>
      <c r="DS28" s="161">
        <v>1664.6569999999999</v>
      </c>
      <c r="DT28" s="161">
        <v>1664.6569999999999</v>
      </c>
      <c r="DU28" s="161">
        <v>1664.6569999999999</v>
      </c>
      <c r="DV28" s="161">
        <v>1664.6569999999999</v>
      </c>
      <c r="DW28" s="161">
        <v>1664.6569999999999</v>
      </c>
      <c r="DX28" s="161">
        <v>1664.6569999999999</v>
      </c>
      <c r="DY28" s="161">
        <v>1707.877</v>
      </c>
      <c r="DZ28" s="161">
        <v>1707.877</v>
      </c>
      <c r="EA28" s="161">
        <v>1707.877</v>
      </c>
      <c r="EB28" s="161">
        <v>1707.877</v>
      </c>
      <c r="EC28" s="49">
        <v>1707.877</v>
      </c>
      <c r="ED28" s="161">
        <v>1757.877</v>
      </c>
      <c r="EE28" s="161">
        <v>1757.877</v>
      </c>
      <c r="EF28" s="161">
        <v>1882.777</v>
      </c>
      <c r="EG28" s="161">
        <v>1932.6769999999999</v>
      </c>
      <c r="EH28" s="161">
        <v>1932.6769999999999</v>
      </c>
      <c r="EI28" s="161">
        <v>1932.6769999999999</v>
      </c>
      <c r="EJ28" s="161">
        <v>1932.6769999999999</v>
      </c>
      <c r="EK28" s="161">
        <v>1932.6769999999999</v>
      </c>
      <c r="EL28" s="161">
        <v>1932.6769999999999</v>
      </c>
      <c r="EM28" s="161">
        <v>1957.6769999999999</v>
      </c>
      <c r="EN28" s="161">
        <v>1957.6769999999999</v>
      </c>
      <c r="EO28" s="82">
        <v>1957.6769999999999</v>
      </c>
      <c r="EP28" s="161">
        <v>1957.6769999999999</v>
      </c>
      <c r="EQ28" s="161">
        <v>1957.6769999999999</v>
      </c>
      <c r="ER28" s="161">
        <v>1957.6769999999999</v>
      </c>
      <c r="ES28" s="161">
        <v>1989.6769999999999</v>
      </c>
      <c r="ET28" s="161">
        <v>1989.6769999999999</v>
      </c>
      <c r="EU28" s="161">
        <v>1989.6769999999999</v>
      </c>
      <c r="EV28" s="161">
        <v>1989.6769999999999</v>
      </c>
      <c r="EW28" s="161">
        <v>1989.6769999999999</v>
      </c>
      <c r="EX28" s="161">
        <v>1989.6769999999999</v>
      </c>
      <c r="EY28" s="161">
        <v>1989.6769999999999</v>
      </c>
      <c r="EZ28" s="161">
        <v>1989.6769999999999</v>
      </c>
      <c r="FA28" s="82">
        <v>2029.6769999999999</v>
      </c>
      <c r="FB28" s="161">
        <v>2054.6770000000001</v>
      </c>
      <c r="FC28" s="161">
        <v>2080.6770000000001</v>
      </c>
      <c r="FD28" s="161">
        <v>2180.5770000000002</v>
      </c>
      <c r="FE28" s="161">
        <v>2180.5770000000002</v>
      </c>
      <c r="FF28" s="161">
        <v>2180.5770000000002</v>
      </c>
      <c r="FG28" s="161">
        <v>2180.5770000000002</v>
      </c>
      <c r="FH28" s="161">
        <v>2180.5770000000002</v>
      </c>
      <c r="FI28" s="161">
        <v>2180.5770000000002</v>
      </c>
      <c r="FJ28" s="161">
        <v>2230.4769999999999</v>
      </c>
      <c r="FK28" s="161">
        <v>2230.4769999999999</v>
      </c>
      <c r="FL28" s="161">
        <v>2230.4769999999999</v>
      </c>
      <c r="FM28" s="161">
        <v>2230.4769999999999</v>
      </c>
      <c r="FN28" s="69">
        <v>2518.1770000000001</v>
      </c>
      <c r="FO28" s="161">
        <v>2594.0770000000002</v>
      </c>
      <c r="FP28" s="161">
        <v>2664.877</v>
      </c>
      <c r="FQ28" s="161">
        <v>2760.817</v>
      </c>
      <c r="FR28" s="161">
        <v>2860.6170000000002</v>
      </c>
      <c r="FS28" s="161">
        <v>2955.6170000000002</v>
      </c>
      <c r="FT28" s="161">
        <v>3012.067</v>
      </c>
      <c r="FU28" s="161">
        <v>3012.067</v>
      </c>
      <c r="FV28" s="161">
        <v>3012.067</v>
      </c>
      <c r="FW28" s="161">
        <v>3263.9670000000001</v>
      </c>
      <c r="FX28" s="161">
        <v>3313.8670000000002</v>
      </c>
      <c r="FY28" s="194">
        <v>3348.8670000000002</v>
      </c>
      <c r="FZ28" s="161">
        <v>3562.527</v>
      </c>
      <c r="GA28" s="161">
        <v>3625.527</v>
      </c>
      <c r="GB28" s="161">
        <v>3775.2269999999999</v>
      </c>
      <c r="GC28" s="161">
        <v>3875.127</v>
      </c>
      <c r="GD28" s="161">
        <v>3975.0169999999998</v>
      </c>
      <c r="GE28" s="161">
        <v>4064.9169999999999</v>
      </c>
      <c r="GF28" s="161">
        <v>4522.817</v>
      </c>
      <c r="GG28" s="161">
        <v>4600.7169999999996</v>
      </c>
      <c r="GH28" s="161">
        <v>4668.4170000000004</v>
      </c>
      <c r="GI28" s="161">
        <v>4763.4170000000004</v>
      </c>
      <c r="GJ28" s="161">
        <v>4763.4170000000004</v>
      </c>
      <c r="GK28" s="194">
        <v>4763.4170000000004</v>
      </c>
      <c r="GL28" s="161">
        <v>4808.4170000000004</v>
      </c>
      <c r="GM28" s="161">
        <v>4808.4170000000004</v>
      </c>
      <c r="GN28" s="161">
        <v>4808.4170000000004</v>
      </c>
    </row>
    <row r="29" spans="1:196" s="1" customFormat="1" ht="20.149999999999999" customHeight="1" x14ac:dyDescent="0.35">
      <c r="A29" s="207" t="s">
        <v>270</v>
      </c>
      <c r="B29" s="47">
        <v>14.6</v>
      </c>
      <c r="C29" s="46">
        <v>14.6</v>
      </c>
      <c r="D29" s="46">
        <v>14.6</v>
      </c>
      <c r="E29" s="46">
        <v>14.6</v>
      </c>
      <c r="F29" s="46">
        <v>14.6</v>
      </c>
      <c r="G29" s="46">
        <v>14.6</v>
      </c>
      <c r="H29" s="46">
        <v>14.6</v>
      </c>
      <c r="I29" s="46">
        <v>14.6</v>
      </c>
      <c r="J29" s="46">
        <v>14.6</v>
      </c>
      <c r="K29" s="46">
        <v>14.6</v>
      </c>
      <c r="L29" s="46">
        <v>14.6</v>
      </c>
      <c r="M29" s="46">
        <v>14.6</v>
      </c>
      <c r="N29" s="47">
        <v>14.6</v>
      </c>
      <c r="O29" s="46">
        <v>14.6</v>
      </c>
      <c r="P29" s="46">
        <v>14.6</v>
      </c>
      <c r="Q29" s="46">
        <v>14.6</v>
      </c>
      <c r="R29" s="46">
        <v>14.6</v>
      </c>
      <c r="S29" s="46">
        <v>14.6</v>
      </c>
      <c r="T29" s="46">
        <v>14.6</v>
      </c>
      <c r="U29" s="46">
        <v>14.6</v>
      </c>
      <c r="V29" s="46">
        <v>14.6</v>
      </c>
      <c r="W29" s="46">
        <v>14.6</v>
      </c>
      <c r="X29" s="46">
        <v>14.6</v>
      </c>
      <c r="Y29" s="48">
        <v>14.6</v>
      </c>
      <c r="Z29" s="46">
        <v>14.6</v>
      </c>
      <c r="AA29" s="46">
        <v>14.6</v>
      </c>
      <c r="AB29" s="46">
        <v>14.6</v>
      </c>
      <c r="AC29" s="46">
        <v>14.6</v>
      </c>
      <c r="AD29" s="46">
        <v>14.6</v>
      </c>
      <c r="AE29" s="46">
        <v>14.6</v>
      </c>
      <c r="AF29" s="46">
        <v>14.6</v>
      </c>
      <c r="AG29" s="46">
        <v>14.6</v>
      </c>
      <c r="AH29" s="46">
        <v>14.6</v>
      </c>
      <c r="AI29" s="46">
        <v>14.6</v>
      </c>
      <c r="AJ29" s="46">
        <v>14.6</v>
      </c>
      <c r="AK29" s="186">
        <v>14.6</v>
      </c>
      <c r="AL29" s="46">
        <v>14.6</v>
      </c>
      <c r="AM29" s="46">
        <v>14.6</v>
      </c>
      <c r="AN29" s="46">
        <v>14.6</v>
      </c>
      <c r="AO29" s="46">
        <v>14.6</v>
      </c>
      <c r="AP29" s="46">
        <v>14.6</v>
      </c>
      <c r="AQ29" s="46">
        <v>14.6</v>
      </c>
      <c r="AR29" s="46">
        <v>14.6</v>
      </c>
      <c r="AS29" s="46">
        <v>14.6</v>
      </c>
      <c r="AT29" s="46">
        <v>14.6</v>
      </c>
      <c r="AU29" s="46">
        <v>14.6</v>
      </c>
      <c r="AV29" s="46">
        <v>14.6</v>
      </c>
      <c r="AW29" s="188">
        <v>14.6</v>
      </c>
      <c r="AX29" s="46">
        <v>14.6</v>
      </c>
      <c r="AY29" s="46">
        <v>14.6</v>
      </c>
      <c r="AZ29" s="46">
        <v>14.6</v>
      </c>
      <c r="BA29" s="46">
        <v>14.6</v>
      </c>
      <c r="BB29" s="46">
        <v>14.6</v>
      </c>
      <c r="BC29" s="46">
        <v>14.6</v>
      </c>
      <c r="BD29" s="46">
        <v>14.6</v>
      </c>
      <c r="BE29" s="46">
        <v>14.6</v>
      </c>
      <c r="BF29" s="46">
        <v>14.6</v>
      </c>
      <c r="BG29" s="46">
        <v>14.6</v>
      </c>
      <c r="BH29" s="46">
        <v>14.6</v>
      </c>
      <c r="BI29" s="188">
        <v>14.6</v>
      </c>
      <c r="BJ29" s="46">
        <v>14.6</v>
      </c>
      <c r="BK29" s="46">
        <v>14.6</v>
      </c>
      <c r="BL29" s="46">
        <v>14.6</v>
      </c>
      <c r="BM29" s="46">
        <v>14.6</v>
      </c>
      <c r="BN29" s="46">
        <v>14.6</v>
      </c>
      <c r="BO29" s="46">
        <v>14.6</v>
      </c>
      <c r="BP29" s="46">
        <v>14.6</v>
      </c>
      <c r="BQ29" s="46">
        <v>14.6</v>
      </c>
      <c r="BR29" s="46">
        <v>14.6</v>
      </c>
      <c r="BS29" s="46">
        <v>14.6</v>
      </c>
      <c r="BT29" s="46">
        <v>14.6</v>
      </c>
      <c r="BU29" s="188">
        <v>14.6</v>
      </c>
      <c r="BV29" s="46">
        <v>14.6</v>
      </c>
      <c r="BW29" s="46">
        <v>14.6</v>
      </c>
      <c r="BX29" s="46">
        <v>14.6</v>
      </c>
      <c r="BY29" s="46">
        <v>14.6</v>
      </c>
      <c r="BZ29" s="46">
        <v>14.6</v>
      </c>
      <c r="CA29" s="46">
        <v>14.6</v>
      </c>
      <c r="CB29" s="46">
        <v>14.6</v>
      </c>
      <c r="CC29" s="46">
        <v>14.6</v>
      </c>
      <c r="CD29" s="46">
        <v>14.6</v>
      </c>
      <c r="CE29" s="46">
        <v>14.6</v>
      </c>
      <c r="CF29" s="46">
        <v>14.6</v>
      </c>
      <c r="CG29" s="188">
        <v>14.6</v>
      </c>
      <c r="CH29" s="46">
        <v>14.6</v>
      </c>
      <c r="CI29" s="46">
        <v>14.6</v>
      </c>
      <c r="CJ29" s="46">
        <v>14.6</v>
      </c>
      <c r="CK29" s="46">
        <v>14.6</v>
      </c>
      <c r="CL29" s="46">
        <v>14.6</v>
      </c>
      <c r="CM29" s="46">
        <v>14.6</v>
      </c>
      <c r="CN29" s="46">
        <v>14.6</v>
      </c>
      <c r="CO29" s="46">
        <v>14.6</v>
      </c>
      <c r="CP29" s="46">
        <v>14.6</v>
      </c>
      <c r="CQ29" s="46">
        <v>14.6</v>
      </c>
      <c r="CR29" s="46">
        <v>14.6</v>
      </c>
      <c r="CS29" s="186">
        <v>14.6</v>
      </c>
      <c r="CT29" s="46">
        <v>14.6</v>
      </c>
      <c r="CU29" s="46">
        <v>14.6</v>
      </c>
      <c r="CV29" s="46">
        <v>14.6</v>
      </c>
      <c r="CW29" s="46">
        <v>14.6</v>
      </c>
      <c r="CX29" s="46">
        <v>14.6</v>
      </c>
      <c r="CY29" s="46">
        <v>14.6</v>
      </c>
      <c r="CZ29" s="46">
        <v>14.6</v>
      </c>
      <c r="DA29" s="46">
        <v>14.6</v>
      </c>
      <c r="DB29" s="46">
        <v>14.6</v>
      </c>
      <c r="DC29" s="46">
        <v>14.6</v>
      </c>
      <c r="DD29" s="46">
        <v>14.6</v>
      </c>
      <c r="DE29" s="188">
        <v>14.6</v>
      </c>
      <c r="DF29" s="46">
        <v>14.6</v>
      </c>
      <c r="DG29" s="46">
        <v>14.6</v>
      </c>
      <c r="DH29" s="46">
        <v>14.6</v>
      </c>
      <c r="DI29" s="46">
        <v>14.6</v>
      </c>
      <c r="DJ29" s="46">
        <v>14.6</v>
      </c>
      <c r="DK29" s="46">
        <v>14.6</v>
      </c>
      <c r="DL29" s="46">
        <v>14.6</v>
      </c>
      <c r="DM29" s="46">
        <v>14.6</v>
      </c>
      <c r="DN29" s="46">
        <v>14.6</v>
      </c>
      <c r="DO29" s="46">
        <v>14.6</v>
      </c>
      <c r="DP29" s="46">
        <v>14.6</v>
      </c>
      <c r="DQ29" s="188">
        <v>14.6</v>
      </c>
      <c r="DR29" s="46">
        <v>14.6</v>
      </c>
      <c r="DS29" s="46">
        <v>14.6</v>
      </c>
      <c r="DT29" s="46">
        <v>14.6</v>
      </c>
      <c r="DU29" s="46">
        <v>14.6</v>
      </c>
      <c r="DV29" s="46">
        <v>14.6</v>
      </c>
      <c r="DW29" s="46">
        <v>14.6</v>
      </c>
      <c r="DX29" s="46">
        <v>14.6</v>
      </c>
      <c r="DY29" s="46">
        <v>14.6</v>
      </c>
      <c r="DZ29" s="46">
        <v>14.6</v>
      </c>
      <c r="EA29" s="46">
        <v>14.6</v>
      </c>
      <c r="EB29" s="46">
        <v>14.6</v>
      </c>
      <c r="EC29" s="186">
        <v>14.6</v>
      </c>
      <c r="ED29" s="46">
        <v>14.6</v>
      </c>
      <c r="EE29" s="46">
        <v>14.6</v>
      </c>
      <c r="EF29" s="46">
        <v>14.6</v>
      </c>
      <c r="EG29" s="46">
        <v>14.6</v>
      </c>
      <c r="EH29" s="46">
        <v>14.6</v>
      </c>
      <c r="EI29" s="46">
        <v>14.6</v>
      </c>
      <c r="EJ29" s="46">
        <v>14.6</v>
      </c>
      <c r="EK29" s="46">
        <v>14.6</v>
      </c>
      <c r="EL29" s="46">
        <v>14.6</v>
      </c>
      <c r="EM29" s="46">
        <v>14.6</v>
      </c>
      <c r="EN29" s="46">
        <v>14.6</v>
      </c>
      <c r="EO29" s="186">
        <v>14.6</v>
      </c>
      <c r="EP29" s="185">
        <v>14.6</v>
      </c>
      <c r="EQ29" s="46">
        <v>14.6</v>
      </c>
      <c r="ER29" s="46">
        <v>14.6</v>
      </c>
      <c r="ES29" s="46">
        <v>14.6</v>
      </c>
      <c r="ET29" s="46">
        <v>14.6</v>
      </c>
      <c r="EU29" s="46">
        <v>14.6</v>
      </c>
      <c r="EV29" s="46">
        <v>14.6</v>
      </c>
      <c r="EW29" s="46">
        <v>14.6</v>
      </c>
      <c r="EX29" s="46">
        <v>14.6</v>
      </c>
      <c r="EY29" s="46">
        <v>14.6</v>
      </c>
      <c r="EZ29" s="46">
        <v>14.6</v>
      </c>
      <c r="FA29" s="184">
        <v>14.6</v>
      </c>
      <c r="FB29" s="185">
        <v>14.6</v>
      </c>
      <c r="FC29" s="46">
        <v>14.6</v>
      </c>
      <c r="FD29" s="46">
        <v>14.6</v>
      </c>
      <c r="FE29" s="46">
        <v>14.6</v>
      </c>
      <c r="FF29" s="46">
        <v>14.6</v>
      </c>
      <c r="FG29" s="46">
        <v>14.6</v>
      </c>
      <c r="FH29" s="46">
        <v>14.6</v>
      </c>
      <c r="FI29" s="46">
        <v>14.6</v>
      </c>
      <c r="FJ29" s="46">
        <v>14.6</v>
      </c>
      <c r="FK29" s="46">
        <v>14.6</v>
      </c>
      <c r="FL29" s="46">
        <v>14.6</v>
      </c>
      <c r="FM29" s="46">
        <v>14.6</v>
      </c>
      <c r="FN29" s="183">
        <v>14.6</v>
      </c>
      <c r="FO29" s="178">
        <v>14.6</v>
      </c>
      <c r="FP29" s="178">
        <v>14.6</v>
      </c>
      <c r="FQ29" s="178">
        <v>14.6</v>
      </c>
      <c r="FR29" s="178">
        <v>14.6</v>
      </c>
      <c r="FS29" s="178">
        <v>14.6</v>
      </c>
      <c r="FT29" s="178">
        <v>14.6</v>
      </c>
      <c r="FU29" s="178">
        <v>14.6</v>
      </c>
      <c r="FV29" s="178">
        <v>14.6</v>
      </c>
      <c r="FW29" s="178">
        <v>14.6</v>
      </c>
      <c r="FX29" s="178">
        <v>14.6</v>
      </c>
      <c r="FY29" s="180">
        <v>14.6</v>
      </c>
      <c r="FZ29" s="178">
        <v>14.6</v>
      </c>
      <c r="GA29" s="178">
        <v>14.6</v>
      </c>
      <c r="GB29" s="178">
        <v>14.6</v>
      </c>
      <c r="GC29" s="178">
        <v>14.6</v>
      </c>
      <c r="GD29" s="178">
        <v>14.6</v>
      </c>
      <c r="GE29" s="178">
        <v>14.6</v>
      </c>
      <c r="GF29" s="178">
        <v>14.6</v>
      </c>
      <c r="GG29" s="178">
        <v>14.6</v>
      </c>
      <c r="GH29" s="178">
        <v>14.6</v>
      </c>
      <c r="GI29" s="178">
        <v>14.6</v>
      </c>
      <c r="GJ29" s="178">
        <v>14.6</v>
      </c>
      <c r="GK29" s="180">
        <v>14.6</v>
      </c>
      <c r="GL29" s="178">
        <v>14.6</v>
      </c>
      <c r="GM29" s="178">
        <v>14.6</v>
      </c>
      <c r="GN29" s="178">
        <v>14.6</v>
      </c>
    </row>
    <row r="30" spans="1:196" s="25" customFormat="1" ht="20.149999999999999" customHeight="1" thickBot="1" x14ac:dyDescent="0.4">
      <c r="A30" s="32" t="s">
        <v>267</v>
      </c>
      <c r="B30" s="51">
        <f>SUM(B23:B29)</f>
        <v>29.872</v>
      </c>
      <c r="C30" s="52">
        <f t="shared" ref="C30:BN30" si="8">SUM(C23:C29)</f>
        <v>31.286999999999999</v>
      </c>
      <c r="D30" s="52">
        <f t="shared" si="8"/>
        <v>33.820999999999998</v>
      </c>
      <c r="E30" s="52">
        <f t="shared" si="8"/>
        <v>36.481000000000002</v>
      </c>
      <c r="F30" s="52">
        <f t="shared" si="8"/>
        <v>40.784999999999997</v>
      </c>
      <c r="G30" s="52">
        <f t="shared" si="8"/>
        <v>46.424999999999997</v>
      </c>
      <c r="H30" s="52">
        <f t="shared" si="8"/>
        <v>52.319000000000003</v>
      </c>
      <c r="I30" s="52">
        <f t="shared" si="8"/>
        <v>58.143999999999998</v>
      </c>
      <c r="J30" s="52">
        <f t="shared" si="8"/>
        <v>65.666999999999987</v>
      </c>
      <c r="K30" s="52">
        <f t="shared" si="8"/>
        <v>75.114999999999995</v>
      </c>
      <c r="L30" s="52">
        <f t="shared" si="8"/>
        <v>85.576999999999998</v>
      </c>
      <c r="M30" s="52">
        <f t="shared" si="8"/>
        <v>93.577999999999989</v>
      </c>
      <c r="N30" s="51">
        <f t="shared" si="8"/>
        <v>104.786</v>
      </c>
      <c r="O30" s="52">
        <f t="shared" si="8"/>
        <v>118.26700000000001</v>
      </c>
      <c r="P30" s="52">
        <f t="shared" si="8"/>
        <v>138.18700000000001</v>
      </c>
      <c r="Q30" s="52">
        <f t="shared" si="8"/>
        <v>162.62199999999999</v>
      </c>
      <c r="R30" s="52">
        <f t="shared" si="8"/>
        <v>186.316</v>
      </c>
      <c r="S30" s="52">
        <f t="shared" si="8"/>
        <v>220.309</v>
      </c>
      <c r="T30" s="52">
        <f t="shared" si="8"/>
        <v>378.154</v>
      </c>
      <c r="U30" s="52">
        <f t="shared" si="8"/>
        <v>424.12000000000006</v>
      </c>
      <c r="V30" s="52">
        <f t="shared" si="8"/>
        <v>496.08100000000002</v>
      </c>
      <c r="W30" s="52">
        <f t="shared" si="8"/>
        <v>617.72799999999995</v>
      </c>
      <c r="X30" s="52">
        <f t="shared" si="8"/>
        <v>816.34299999999996</v>
      </c>
      <c r="Y30" s="52">
        <f t="shared" si="8"/>
        <v>1010.0699999999999</v>
      </c>
      <c r="Z30" s="51">
        <f t="shared" si="8"/>
        <v>1040.6629999999998</v>
      </c>
      <c r="AA30" s="52">
        <f t="shared" si="8"/>
        <v>1215.289</v>
      </c>
      <c r="AB30" s="52">
        <f t="shared" si="8"/>
        <v>1327.5219999999999</v>
      </c>
      <c r="AC30" s="52">
        <f t="shared" si="8"/>
        <v>1344.915</v>
      </c>
      <c r="AD30" s="52">
        <f t="shared" si="8"/>
        <v>1381.1889999999999</v>
      </c>
      <c r="AE30" s="52">
        <f t="shared" si="8"/>
        <v>1446.4589999999998</v>
      </c>
      <c r="AF30" s="52">
        <f t="shared" si="8"/>
        <v>1642.3099999999997</v>
      </c>
      <c r="AG30" s="52">
        <f t="shared" si="8"/>
        <v>1657.7939999999999</v>
      </c>
      <c r="AH30" s="52">
        <f t="shared" si="8"/>
        <v>1677.1689999999999</v>
      </c>
      <c r="AI30" s="52">
        <f t="shared" si="8"/>
        <v>1722.36</v>
      </c>
      <c r="AJ30" s="52">
        <f t="shared" si="8"/>
        <v>1751.7710000000002</v>
      </c>
      <c r="AK30" s="53">
        <f t="shared" si="8"/>
        <v>1774.9309999999998</v>
      </c>
      <c r="AL30" s="52">
        <f t="shared" si="8"/>
        <v>1804.3809999999999</v>
      </c>
      <c r="AM30" s="52">
        <f t="shared" si="8"/>
        <v>1875.3409999999999</v>
      </c>
      <c r="AN30" s="52">
        <f t="shared" si="8"/>
        <v>2273.3919999999998</v>
      </c>
      <c r="AO30" s="52">
        <f t="shared" si="8"/>
        <v>2335.4160000000002</v>
      </c>
      <c r="AP30" s="52">
        <f t="shared" si="8"/>
        <v>2406.4329999999995</v>
      </c>
      <c r="AQ30" s="52">
        <f t="shared" si="8"/>
        <v>2535.5539999999996</v>
      </c>
      <c r="AR30" s="52">
        <f t="shared" si="8"/>
        <v>2576.5939999999996</v>
      </c>
      <c r="AS30" s="52">
        <f t="shared" si="8"/>
        <v>2646.0309999999999</v>
      </c>
      <c r="AT30" s="52">
        <f t="shared" si="8"/>
        <v>2692.1039999999998</v>
      </c>
      <c r="AU30" s="52">
        <f t="shared" si="8"/>
        <v>2741.0169999999998</v>
      </c>
      <c r="AV30" s="52">
        <f t="shared" si="8"/>
        <v>2846.0119999999997</v>
      </c>
      <c r="AW30" s="54">
        <f t="shared" si="8"/>
        <v>2919.1819999999998</v>
      </c>
      <c r="AX30" s="52">
        <f t="shared" si="8"/>
        <v>3045.377</v>
      </c>
      <c r="AY30" s="52">
        <f t="shared" si="8"/>
        <v>3173.2419999999997</v>
      </c>
      <c r="AZ30" s="52">
        <f t="shared" si="8"/>
        <v>4215.4900000000007</v>
      </c>
      <c r="BA30" s="52">
        <f t="shared" si="8"/>
        <v>4302.3650000000007</v>
      </c>
      <c r="BB30" s="52">
        <f t="shared" si="8"/>
        <v>4406.848</v>
      </c>
      <c r="BC30" s="52">
        <f t="shared" si="8"/>
        <v>4543.3550000000005</v>
      </c>
      <c r="BD30" s="52">
        <f t="shared" si="8"/>
        <v>4711.8899999999994</v>
      </c>
      <c r="BE30" s="52">
        <f t="shared" si="8"/>
        <v>4775.8970000000008</v>
      </c>
      <c r="BF30" s="52">
        <f t="shared" si="8"/>
        <v>4983.3020000000006</v>
      </c>
      <c r="BG30" s="52">
        <f t="shared" si="8"/>
        <v>5151.5439999999999</v>
      </c>
      <c r="BH30" s="52">
        <f t="shared" si="8"/>
        <v>5292.5780000000004</v>
      </c>
      <c r="BI30" s="54">
        <f t="shared" si="8"/>
        <v>5600.4889999999996</v>
      </c>
      <c r="BJ30" s="52">
        <f t="shared" si="8"/>
        <v>5700.5599999999995</v>
      </c>
      <c r="BK30" s="52">
        <f t="shared" si="8"/>
        <v>5865.4560000000001</v>
      </c>
      <c r="BL30" s="52">
        <f t="shared" si="8"/>
        <v>8236.5110000000004</v>
      </c>
      <c r="BM30" s="52">
        <f t="shared" si="8"/>
        <v>8288.5720000000001</v>
      </c>
      <c r="BN30" s="52">
        <f t="shared" si="8"/>
        <v>8359.4750000000004</v>
      </c>
      <c r="BO30" s="52">
        <f t="shared" ref="BO30:DZ30" si="9">SUM(BO23:BO29)</f>
        <v>8495.4620000000014</v>
      </c>
      <c r="BP30" s="52">
        <f t="shared" si="9"/>
        <v>8582.8950000000004</v>
      </c>
      <c r="BQ30" s="52">
        <f t="shared" si="9"/>
        <v>8704.8160000000007</v>
      </c>
      <c r="BR30" s="52">
        <f t="shared" si="9"/>
        <v>8843.8130000000001</v>
      </c>
      <c r="BS30" s="52">
        <f t="shared" si="9"/>
        <v>9014.7480000000014</v>
      </c>
      <c r="BT30" s="52">
        <f t="shared" si="9"/>
        <v>9226.1829999999991</v>
      </c>
      <c r="BU30" s="54">
        <f t="shared" si="9"/>
        <v>9909.3279999999995</v>
      </c>
      <c r="BV30" s="52">
        <f t="shared" si="9"/>
        <v>10112.852000000001</v>
      </c>
      <c r="BW30" s="52">
        <f t="shared" si="9"/>
        <v>10218.482000000002</v>
      </c>
      <c r="BX30" s="52">
        <f t="shared" si="9"/>
        <v>11387.07</v>
      </c>
      <c r="BY30" s="52">
        <f t="shared" si="9"/>
        <v>11459.914000000001</v>
      </c>
      <c r="BZ30" s="52">
        <f t="shared" si="9"/>
        <v>11509.258000000002</v>
      </c>
      <c r="CA30" s="52">
        <f t="shared" si="9"/>
        <v>11729.398000000001</v>
      </c>
      <c r="CB30" s="52">
        <f t="shared" si="9"/>
        <v>11771.995999999999</v>
      </c>
      <c r="CC30" s="52">
        <f t="shared" si="9"/>
        <v>11835.037</v>
      </c>
      <c r="CD30" s="52">
        <f t="shared" si="9"/>
        <v>11885.910000000002</v>
      </c>
      <c r="CE30" s="52">
        <f t="shared" si="9"/>
        <v>11926.518000000002</v>
      </c>
      <c r="CF30" s="52">
        <f t="shared" si="9"/>
        <v>11968.665000000001</v>
      </c>
      <c r="CG30" s="54">
        <f t="shared" si="9"/>
        <v>12045.241000000002</v>
      </c>
      <c r="CH30" s="52">
        <f t="shared" si="9"/>
        <v>12084.054</v>
      </c>
      <c r="CI30" s="52">
        <f t="shared" si="9"/>
        <v>12177.618</v>
      </c>
      <c r="CJ30" s="52">
        <f t="shared" si="9"/>
        <v>12738.315000000001</v>
      </c>
      <c r="CK30" s="52">
        <f t="shared" si="9"/>
        <v>12757.339000000002</v>
      </c>
      <c r="CL30" s="52">
        <f t="shared" si="9"/>
        <v>12775.173000000001</v>
      </c>
      <c r="CM30" s="52">
        <f t="shared" si="9"/>
        <v>12792.317000000001</v>
      </c>
      <c r="CN30" s="52">
        <f t="shared" si="9"/>
        <v>12821.049000000001</v>
      </c>
      <c r="CO30" s="52">
        <f t="shared" si="9"/>
        <v>12838.495000000001</v>
      </c>
      <c r="CP30" s="52">
        <f t="shared" si="9"/>
        <v>12855.289999999999</v>
      </c>
      <c r="CQ30" s="52">
        <f t="shared" si="9"/>
        <v>12879.978000000001</v>
      </c>
      <c r="CR30" s="52">
        <f t="shared" si="9"/>
        <v>12895.9</v>
      </c>
      <c r="CS30" s="54">
        <f t="shared" si="9"/>
        <v>12919.387000000001</v>
      </c>
      <c r="CT30" s="52">
        <f t="shared" si="9"/>
        <v>12958.796999999999</v>
      </c>
      <c r="CU30" s="52">
        <f t="shared" si="9"/>
        <v>12976.267</v>
      </c>
      <c r="CV30" s="52">
        <f t="shared" si="9"/>
        <v>13017.226000000001</v>
      </c>
      <c r="CW30" s="52">
        <f t="shared" si="9"/>
        <v>13044.134</v>
      </c>
      <c r="CX30" s="52">
        <f t="shared" si="9"/>
        <v>13066.960000000001</v>
      </c>
      <c r="CY30" s="52">
        <f t="shared" si="9"/>
        <v>13087.449000000001</v>
      </c>
      <c r="CZ30" s="52">
        <f t="shared" si="9"/>
        <v>13102.937</v>
      </c>
      <c r="DA30" s="52">
        <f t="shared" si="9"/>
        <v>13120.106</v>
      </c>
      <c r="DB30" s="52">
        <f t="shared" si="9"/>
        <v>13137.396000000001</v>
      </c>
      <c r="DC30" s="52">
        <f t="shared" si="9"/>
        <v>13163.493</v>
      </c>
      <c r="DD30" s="52">
        <f t="shared" si="9"/>
        <v>13190.624</v>
      </c>
      <c r="DE30" s="54">
        <f t="shared" si="9"/>
        <v>13221.052</v>
      </c>
      <c r="DF30" s="52">
        <f t="shared" si="9"/>
        <v>13309.631000000001</v>
      </c>
      <c r="DG30" s="52">
        <f t="shared" si="9"/>
        <v>13341.948</v>
      </c>
      <c r="DH30" s="52">
        <f t="shared" si="9"/>
        <v>13429.458000000001</v>
      </c>
      <c r="DI30" s="52">
        <f t="shared" si="9"/>
        <v>13447.741000000002</v>
      </c>
      <c r="DJ30" s="52">
        <f t="shared" si="9"/>
        <v>13455.416000000001</v>
      </c>
      <c r="DK30" s="52">
        <f t="shared" si="9"/>
        <v>13465.736000000001</v>
      </c>
      <c r="DL30" s="52">
        <f t="shared" si="9"/>
        <v>13484.437000000002</v>
      </c>
      <c r="DM30" s="52">
        <f t="shared" si="9"/>
        <v>13501.316000000001</v>
      </c>
      <c r="DN30" s="52">
        <f t="shared" si="9"/>
        <v>13536.902</v>
      </c>
      <c r="DO30" s="52">
        <f t="shared" si="9"/>
        <v>13550.113000000001</v>
      </c>
      <c r="DP30" s="52">
        <f t="shared" si="9"/>
        <v>13562.98</v>
      </c>
      <c r="DQ30" s="54">
        <f t="shared" si="9"/>
        <v>13607.699999999999</v>
      </c>
      <c r="DR30" s="52">
        <f t="shared" si="9"/>
        <v>13647.040999999999</v>
      </c>
      <c r="DS30" s="52">
        <f t="shared" si="9"/>
        <v>13664.074999999999</v>
      </c>
      <c r="DT30" s="52">
        <f t="shared" si="9"/>
        <v>13680.226000000001</v>
      </c>
      <c r="DU30" s="52">
        <f t="shared" si="9"/>
        <v>13685.253999999999</v>
      </c>
      <c r="DV30" s="52">
        <f t="shared" si="9"/>
        <v>13699.253000000001</v>
      </c>
      <c r="DW30" s="52">
        <f t="shared" si="9"/>
        <v>13709.656999999999</v>
      </c>
      <c r="DX30" s="52">
        <f t="shared" si="9"/>
        <v>13728.797</v>
      </c>
      <c r="DY30" s="52">
        <f t="shared" si="9"/>
        <v>13789.346000000001</v>
      </c>
      <c r="DZ30" s="52">
        <f t="shared" si="9"/>
        <v>13805.268000000002</v>
      </c>
      <c r="EA30" s="52">
        <f t="shared" ref="EA30:FM30" si="10">SUM(EA23:EA29)</f>
        <v>13824.216</v>
      </c>
      <c r="EB30" s="52">
        <f t="shared" si="10"/>
        <v>13842.299000000001</v>
      </c>
      <c r="EC30" s="54">
        <f t="shared" si="10"/>
        <v>13869.466</v>
      </c>
      <c r="ED30" s="52">
        <f t="shared" si="10"/>
        <v>13941.328</v>
      </c>
      <c r="EE30" s="52">
        <f t="shared" si="10"/>
        <v>13956.772000000001</v>
      </c>
      <c r="EF30" s="52">
        <f t="shared" si="10"/>
        <v>14109.523999999999</v>
      </c>
      <c r="EG30" s="52">
        <f t="shared" si="10"/>
        <v>14178.062</v>
      </c>
      <c r="EH30" s="52">
        <f t="shared" si="10"/>
        <v>14204.923000000001</v>
      </c>
      <c r="EI30" s="52">
        <f t="shared" si="10"/>
        <v>14239.712</v>
      </c>
      <c r="EJ30" s="52">
        <f t="shared" si="10"/>
        <v>14265.599</v>
      </c>
      <c r="EK30" s="52">
        <f t="shared" si="10"/>
        <v>14287.344999999999</v>
      </c>
      <c r="EL30" s="52">
        <f t="shared" si="10"/>
        <v>14318.37</v>
      </c>
      <c r="EM30" s="52">
        <f t="shared" si="10"/>
        <v>14369.751</v>
      </c>
      <c r="EN30" s="52">
        <f t="shared" si="10"/>
        <v>14401.045</v>
      </c>
      <c r="EO30" s="53">
        <f t="shared" si="10"/>
        <v>14425.032999999999</v>
      </c>
      <c r="EP30" s="52">
        <f t="shared" si="10"/>
        <v>14512.864</v>
      </c>
      <c r="EQ30" s="52">
        <f t="shared" si="10"/>
        <v>14546.222</v>
      </c>
      <c r="ER30" s="52">
        <f t="shared" si="10"/>
        <v>14599.388000000001</v>
      </c>
      <c r="ES30" s="52">
        <f t="shared" si="10"/>
        <v>14683.352000000001</v>
      </c>
      <c r="ET30" s="52">
        <f t="shared" si="10"/>
        <v>14739.09</v>
      </c>
      <c r="EU30" s="52">
        <f t="shared" si="10"/>
        <v>14790.806</v>
      </c>
      <c r="EV30" s="52">
        <f t="shared" si="10"/>
        <v>14862.593000000001</v>
      </c>
      <c r="EW30" s="52">
        <f t="shared" si="10"/>
        <v>14919.007</v>
      </c>
      <c r="EX30" s="52">
        <f t="shared" si="10"/>
        <v>15009.566000000001</v>
      </c>
      <c r="EY30" s="52">
        <f t="shared" si="10"/>
        <v>15081.434000000001</v>
      </c>
      <c r="EZ30" s="52">
        <f t="shared" si="10"/>
        <v>15162.142</v>
      </c>
      <c r="FA30" s="53">
        <f t="shared" si="10"/>
        <v>15276.625000000002</v>
      </c>
      <c r="FB30" s="52">
        <f t="shared" si="10"/>
        <v>15420.485000000002</v>
      </c>
      <c r="FC30" s="52">
        <f t="shared" si="10"/>
        <v>15547.628999999999</v>
      </c>
      <c r="FD30" s="52">
        <f t="shared" si="10"/>
        <v>15774.31</v>
      </c>
      <c r="FE30" s="52">
        <f t="shared" si="10"/>
        <v>15864.503999999999</v>
      </c>
      <c r="FF30" s="52">
        <f t="shared" si="10"/>
        <v>15961.034000000001</v>
      </c>
      <c r="FG30" s="52">
        <f t="shared" si="10"/>
        <v>16062.945000000002</v>
      </c>
      <c r="FH30" s="52">
        <f t="shared" si="10"/>
        <v>16152.770999999999</v>
      </c>
      <c r="FI30" s="52">
        <f t="shared" si="10"/>
        <v>16239.715999999999</v>
      </c>
      <c r="FJ30" s="52">
        <f t="shared" si="10"/>
        <v>16390.145999999997</v>
      </c>
      <c r="FK30" s="52">
        <f t="shared" si="10"/>
        <v>16537.545999999998</v>
      </c>
      <c r="FL30" s="157">
        <f t="shared" si="10"/>
        <v>16642.665999999997</v>
      </c>
      <c r="FM30" s="157">
        <f t="shared" si="10"/>
        <v>16697.470999999998</v>
      </c>
      <c r="FN30" s="125">
        <f>(SUM(FN23:FN29))</f>
        <v>17119.758999999998</v>
      </c>
      <c r="FO30" s="157">
        <f>(SUM(FO23:FO29))</f>
        <v>17268.478999999999</v>
      </c>
      <c r="FP30" s="157">
        <f t="shared" ref="FP30:GN30" si="11">(SUM(FP23:FP29))</f>
        <v>17492.434999999998</v>
      </c>
      <c r="FQ30" s="157">
        <f t="shared" si="11"/>
        <v>17723.026999999998</v>
      </c>
      <c r="FR30" s="157">
        <f t="shared" si="11"/>
        <v>17909.788999999997</v>
      </c>
      <c r="FS30" s="157">
        <f t="shared" si="11"/>
        <v>18128.936000000002</v>
      </c>
      <c r="FT30" s="157">
        <f t="shared" si="11"/>
        <v>18273.263999999999</v>
      </c>
      <c r="FU30" s="157">
        <f t="shared" si="11"/>
        <v>18350.140999999996</v>
      </c>
      <c r="FV30" s="157">
        <f t="shared" si="11"/>
        <v>18430.914999999997</v>
      </c>
      <c r="FW30" s="157">
        <f t="shared" si="11"/>
        <v>18797.646000000001</v>
      </c>
      <c r="FX30" s="157">
        <f t="shared" si="11"/>
        <v>18939.163999999997</v>
      </c>
      <c r="FY30" s="191">
        <f t="shared" si="11"/>
        <v>19045.561999999998</v>
      </c>
      <c r="FZ30" s="157">
        <f t="shared" si="11"/>
        <v>19385.007999999998</v>
      </c>
      <c r="GA30" s="157">
        <f t="shared" si="11"/>
        <v>19551.110999999997</v>
      </c>
      <c r="GB30" s="157">
        <f t="shared" si="11"/>
        <v>19809.491999999998</v>
      </c>
      <c r="GC30" s="157">
        <f t="shared" si="11"/>
        <v>20004.073</v>
      </c>
      <c r="GD30" s="157">
        <f t="shared" si="11"/>
        <v>20210.578999999998</v>
      </c>
      <c r="GE30" s="157">
        <f t="shared" si="11"/>
        <v>20448.008999999998</v>
      </c>
      <c r="GF30" s="157">
        <f t="shared" si="11"/>
        <v>21017.418999999998</v>
      </c>
      <c r="GG30" s="157">
        <f t="shared" si="11"/>
        <v>21209.895</v>
      </c>
      <c r="GH30" s="157">
        <f t="shared" si="11"/>
        <v>21388.370999999999</v>
      </c>
      <c r="GI30" s="157">
        <f t="shared" si="11"/>
        <v>21607.485000000001</v>
      </c>
      <c r="GJ30" s="157">
        <f t="shared" si="11"/>
        <v>21710.438000000002</v>
      </c>
      <c r="GK30" s="191">
        <f t="shared" si="11"/>
        <v>21791.806999999997</v>
      </c>
      <c r="GL30" s="157">
        <f t="shared" si="11"/>
        <v>21925.552</v>
      </c>
      <c r="GM30" s="157">
        <f t="shared" si="11"/>
        <v>22015.425999999999</v>
      </c>
      <c r="GN30" s="157">
        <f t="shared" si="11"/>
        <v>22136.379000000001</v>
      </c>
    </row>
    <row r="31" spans="1:196" s="25" customFormat="1" ht="20.149999999999999" customHeight="1" thickTop="1" x14ac:dyDescent="0.35">
      <c r="A31" s="189" t="s">
        <v>271</v>
      </c>
      <c r="B31" s="87">
        <v>10.222</v>
      </c>
      <c r="C31" s="87">
        <v>11.53</v>
      </c>
      <c r="D31" s="87">
        <v>13.821999999999999</v>
      </c>
      <c r="E31" s="87">
        <v>16.359000000000002</v>
      </c>
      <c r="F31" s="87">
        <v>20.379000000000001</v>
      </c>
      <c r="G31" s="87">
        <v>24.93</v>
      </c>
      <c r="H31" s="87">
        <v>30.547000000000001</v>
      </c>
      <c r="I31" s="87">
        <v>36.151000000000003</v>
      </c>
      <c r="J31" s="87">
        <v>43.375999999999998</v>
      </c>
      <c r="K31" s="87">
        <v>52.075000000000003</v>
      </c>
      <c r="L31" s="87">
        <v>62.179000000000002</v>
      </c>
      <c r="M31" s="187">
        <v>69.760000000000005</v>
      </c>
      <c r="N31" s="87">
        <v>80.492000000000004</v>
      </c>
      <c r="O31" s="87">
        <v>92.831999999999994</v>
      </c>
      <c r="P31" s="87">
        <v>111.121</v>
      </c>
      <c r="Q31" s="87">
        <v>128.696</v>
      </c>
      <c r="R31" s="87">
        <v>150.148</v>
      </c>
      <c r="S31" s="87">
        <v>177.53399999999999</v>
      </c>
      <c r="T31" s="87">
        <v>211.24</v>
      </c>
      <c r="U31" s="87">
        <v>253.804</v>
      </c>
      <c r="V31" s="87">
        <v>309.44499999999999</v>
      </c>
      <c r="W31" s="87">
        <v>371.786</v>
      </c>
      <c r="X31" s="87">
        <v>550.07600000000002</v>
      </c>
      <c r="Y31" s="187">
        <v>705.15200000000004</v>
      </c>
      <c r="Z31" s="87">
        <v>728.88900000000001</v>
      </c>
      <c r="AA31" s="87">
        <v>874.57500000000005</v>
      </c>
      <c r="AB31" s="87">
        <v>960.77300000000002</v>
      </c>
      <c r="AC31" s="87">
        <v>976.25300000000004</v>
      </c>
      <c r="AD31" s="87">
        <v>1008.802</v>
      </c>
      <c r="AE31" s="87">
        <v>1053.221</v>
      </c>
      <c r="AF31" s="87">
        <v>1153.807</v>
      </c>
      <c r="AG31" s="87">
        <v>1165.8689999999999</v>
      </c>
      <c r="AH31" s="87">
        <v>1182.4359999999999</v>
      </c>
      <c r="AI31" s="87">
        <v>1219.4069999999999</v>
      </c>
      <c r="AJ31" s="87">
        <v>1238.549</v>
      </c>
      <c r="AK31" s="187">
        <v>1258.309</v>
      </c>
      <c r="AL31" s="87">
        <v>1279.711</v>
      </c>
      <c r="AM31" s="87">
        <v>1304.3140000000001</v>
      </c>
      <c r="AN31" s="87">
        <v>1333.742</v>
      </c>
      <c r="AO31" s="87">
        <v>1365.3810000000001</v>
      </c>
      <c r="AP31" s="87">
        <v>1396.527</v>
      </c>
      <c r="AQ31" s="87">
        <v>1447.146</v>
      </c>
      <c r="AR31" s="87">
        <v>1470.981</v>
      </c>
      <c r="AS31" s="87">
        <v>1501.3330000000001</v>
      </c>
      <c r="AT31" s="87">
        <v>1532.94</v>
      </c>
      <c r="AU31" s="87">
        <v>1565.9169999999999</v>
      </c>
      <c r="AV31" s="87">
        <v>1604.952</v>
      </c>
      <c r="AW31" s="187">
        <v>1641.8520000000001</v>
      </c>
      <c r="AX31" s="87">
        <v>1674.0509999999999</v>
      </c>
      <c r="AY31" s="87">
        <v>1715.922</v>
      </c>
      <c r="AZ31" s="87">
        <v>1778.4059999999999</v>
      </c>
      <c r="BA31" s="87">
        <v>1807.3630000000001</v>
      </c>
      <c r="BB31" s="87">
        <v>1841.2940000000001</v>
      </c>
      <c r="BC31" s="87">
        <v>1878.463</v>
      </c>
      <c r="BD31" s="87">
        <v>1918.9749999999999</v>
      </c>
      <c r="BE31" s="87">
        <v>1957.866</v>
      </c>
      <c r="BF31" s="87">
        <v>2004.835</v>
      </c>
      <c r="BG31" s="87">
        <v>2052.1280000000002</v>
      </c>
      <c r="BH31" s="87">
        <v>2098.1880000000001</v>
      </c>
      <c r="BI31" s="187">
        <v>2151.9369999999999</v>
      </c>
      <c r="BJ31" s="87">
        <v>2180.6770000000001</v>
      </c>
      <c r="BK31" s="87">
        <v>2218.6849999999999</v>
      </c>
      <c r="BL31" s="87">
        <v>2279.5659999999998</v>
      </c>
      <c r="BM31" s="87">
        <v>2318.366</v>
      </c>
      <c r="BN31" s="87">
        <v>2360.4899999999998</v>
      </c>
      <c r="BO31" s="87">
        <v>2421.4079999999999</v>
      </c>
      <c r="BP31" s="87">
        <v>2463.7579999999998</v>
      </c>
      <c r="BQ31" s="87">
        <v>2509.7159999999999</v>
      </c>
      <c r="BR31" s="87">
        <v>2589.4090000000001</v>
      </c>
      <c r="BS31" s="87">
        <v>2646.8989999999999</v>
      </c>
      <c r="BT31" s="87">
        <v>2719.3850000000002</v>
      </c>
      <c r="BU31" s="187">
        <v>2820.2779999999998</v>
      </c>
      <c r="BV31" s="87">
        <v>2872.3470000000002</v>
      </c>
      <c r="BW31" s="87">
        <v>2880.9180000000001</v>
      </c>
      <c r="BX31" s="87">
        <v>2892.973</v>
      </c>
      <c r="BY31" s="87">
        <v>2901.8629999999998</v>
      </c>
      <c r="BZ31" s="87">
        <v>2911.42</v>
      </c>
      <c r="CA31" s="87">
        <v>2922.2269999999999</v>
      </c>
      <c r="CB31" s="87">
        <v>2931.2289999999998</v>
      </c>
      <c r="CC31" s="87">
        <v>2940.982</v>
      </c>
      <c r="CD31" s="87">
        <v>2954.3389999999999</v>
      </c>
      <c r="CE31" s="87">
        <v>2960.846</v>
      </c>
      <c r="CF31" s="87">
        <v>2968.7069999999999</v>
      </c>
      <c r="CG31" s="187">
        <v>2976.0929999999998</v>
      </c>
      <c r="CH31" s="87">
        <v>2981.5720000000001</v>
      </c>
      <c r="CI31" s="87">
        <v>2988.3249999999998</v>
      </c>
      <c r="CJ31" s="87">
        <v>2998.0970000000002</v>
      </c>
      <c r="CK31" s="87">
        <v>3004.2089999999998</v>
      </c>
      <c r="CL31" s="87">
        <v>3011.1179999999999</v>
      </c>
      <c r="CM31" s="87">
        <v>3018.712</v>
      </c>
      <c r="CN31" s="87">
        <v>3025.5059999999999</v>
      </c>
      <c r="CO31" s="87">
        <v>3033.027</v>
      </c>
      <c r="CP31" s="87">
        <v>3041.1</v>
      </c>
      <c r="CQ31" s="87">
        <v>3048.212</v>
      </c>
      <c r="CR31" s="87">
        <v>3056.462</v>
      </c>
      <c r="CS31" s="187">
        <v>3062.9059999999999</v>
      </c>
      <c r="CT31" s="87">
        <v>3069.4279999999999</v>
      </c>
      <c r="CU31" s="87">
        <v>3075.5320000000002</v>
      </c>
      <c r="CV31" s="87">
        <v>3083.5859999999998</v>
      </c>
      <c r="CW31" s="87">
        <v>3090.5920000000001</v>
      </c>
      <c r="CX31" s="87">
        <v>3098.748</v>
      </c>
      <c r="CY31" s="87">
        <v>3107.5349999999999</v>
      </c>
      <c r="CZ31" s="87">
        <v>3115.75</v>
      </c>
      <c r="DA31" s="87">
        <v>3124.8069999999998</v>
      </c>
      <c r="DB31" s="87">
        <v>3134.88</v>
      </c>
      <c r="DC31" s="87">
        <v>3145.732</v>
      </c>
      <c r="DD31" s="87">
        <v>3158.1669999999999</v>
      </c>
      <c r="DE31" s="187">
        <v>3169.9589999999998</v>
      </c>
      <c r="DF31" s="87">
        <v>3184.5659999999998</v>
      </c>
      <c r="DG31" s="87">
        <v>3203.65</v>
      </c>
      <c r="DH31" s="87">
        <v>3254.6410000000001</v>
      </c>
      <c r="DI31" s="87">
        <v>3256.549</v>
      </c>
      <c r="DJ31" s="87">
        <v>3259.259</v>
      </c>
      <c r="DK31" s="87">
        <v>3262.4470000000001</v>
      </c>
      <c r="DL31" s="87">
        <v>3266.8040000000001</v>
      </c>
      <c r="DM31" s="87">
        <v>3271.154</v>
      </c>
      <c r="DN31" s="87">
        <v>3276.7840000000001</v>
      </c>
      <c r="DO31" s="87">
        <v>3283.0120000000002</v>
      </c>
      <c r="DP31" s="87">
        <v>3288.739</v>
      </c>
      <c r="DQ31" s="187">
        <v>3292.9580000000001</v>
      </c>
      <c r="DR31" s="87">
        <v>3298.7269999999999</v>
      </c>
      <c r="DS31" s="87">
        <v>3304.6640000000002</v>
      </c>
      <c r="DT31" s="87">
        <v>3310.732</v>
      </c>
      <c r="DU31" s="87">
        <v>3312.857</v>
      </c>
      <c r="DV31" s="87">
        <v>3316.2559999999999</v>
      </c>
      <c r="DW31" s="87">
        <v>3322.55</v>
      </c>
      <c r="DX31" s="87">
        <v>3329.71</v>
      </c>
      <c r="DY31" s="87">
        <v>3336.2130000000002</v>
      </c>
      <c r="DZ31" s="87">
        <v>3344.8870000000002</v>
      </c>
      <c r="EA31" s="87">
        <v>3353.605</v>
      </c>
      <c r="EB31" s="87">
        <v>3363.2730000000001</v>
      </c>
      <c r="EC31" s="187">
        <v>3371.6819999999998</v>
      </c>
      <c r="ED31" s="87">
        <v>3381.712</v>
      </c>
      <c r="EE31" s="87">
        <v>3391.163</v>
      </c>
      <c r="EF31" s="87">
        <v>3405.4090000000001</v>
      </c>
      <c r="EG31" s="87">
        <v>3419.3629999999998</v>
      </c>
      <c r="EH31" s="87">
        <v>3433.8820000000001</v>
      </c>
      <c r="EI31" s="87">
        <v>3448.0839999999998</v>
      </c>
      <c r="EJ31" s="87">
        <v>3461.6469999999999</v>
      </c>
      <c r="EK31" s="87">
        <v>3475.05</v>
      </c>
      <c r="EL31" s="87">
        <v>3491.5349999999999</v>
      </c>
      <c r="EM31" s="87">
        <v>3507.1370000000002</v>
      </c>
      <c r="EN31" s="87">
        <v>3526.8380000000002</v>
      </c>
      <c r="EO31" s="89">
        <v>3541.3139999999999</v>
      </c>
      <c r="EP31" s="87">
        <v>3559.85</v>
      </c>
      <c r="EQ31" s="87">
        <v>3581.7280000000001</v>
      </c>
      <c r="ER31" s="87">
        <v>3613.1280000000002</v>
      </c>
      <c r="ES31" s="87">
        <v>3645.145</v>
      </c>
      <c r="ET31" s="87">
        <v>3683.2429999999999</v>
      </c>
      <c r="EU31" s="87">
        <v>3721.9450000000002</v>
      </c>
      <c r="EV31" s="87">
        <v>3761.9520000000002</v>
      </c>
      <c r="EW31" s="87">
        <v>3806.741</v>
      </c>
      <c r="EX31" s="87">
        <v>3861.0050000000001</v>
      </c>
      <c r="EY31" s="87">
        <v>3916.3330000000001</v>
      </c>
      <c r="EZ31" s="87">
        <v>3979.4659999999999</v>
      </c>
      <c r="FA31" s="89">
        <v>4027.9859999999999</v>
      </c>
      <c r="FB31" s="87">
        <v>4096.1149999999998</v>
      </c>
      <c r="FC31" s="87">
        <v>4168.1850000000004</v>
      </c>
      <c r="FD31" s="87">
        <v>4249.74</v>
      </c>
      <c r="FE31" s="87">
        <v>4315.9769999999999</v>
      </c>
      <c r="FF31" s="87">
        <v>4389.1090000000004</v>
      </c>
      <c r="FG31" s="87">
        <v>4463.4080000000004</v>
      </c>
      <c r="FH31" s="87">
        <v>4527.2520000000004</v>
      </c>
      <c r="FI31" s="87">
        <v>4591.0680000000002</v>
      </c>
      <c r="FJ31" s="87">
        <v>4653.9089999999997</v>
      </c>
      <c r="FK31" s="87">
        <v>4715.0119999999997</v>
      </c>
      <c r="FL31" s="161">
        <v>4776.2809999999999</v>
      </c>
      <c r="FM31" s="161">
        <v>4816.72</v>
      </c>
      <c r="FN31" s="170">
        <v>4868.3490000000002</v>
      </c>
      <c r="FO31" s="161">
        <v>4921.817</v>
      </c>
      <c r="FP31" s="161">
        <v>4977.8689999999997</v>
      </c>
      <c r="FQ31" s="161">
        <v>5037.259</v>
      </c>
      <c r="FR31" s="161">
        <v>5098.4369999999999</v>
      </c>
      <c r="FS31" s="161">
        <v>5154.3789999999999</v>
      </c>
      <c r="FT31" s="161">
        <v>5213.6859999999997</v>
      </c>
      <c r="FU31" s="161">
        <v>5268.393</v>
      </c>
      <c r="FV31" s="161">
        <v>5326.4390000000003</v>
      </c>
      <c r="FW31" s="161">
        <v>5392.3969999999999</v>
      </c>
      <c r="FX31" s="161">
        <v>5456.3310000000001</v>
      </c>
      <c r="FY31" s="194">
        <v>5502.1210000000001</v>
      </c>
      <c r="FZ31" s="161">
        <v>5562.4390000000003</v>
      </c>
      <c r="GA31" s="161">
        <v>5628.835</v>
      </c>
      <c r="GB31" s="161">
        <v>5706.732</v>
      </c>
      <c r="GC31" s="161">
        <v>5775.5649999999996</v>
      </c>
      <c r="GD31" s="161">
        <v>5852.643</v>
      </c>
      <c r="GE31" s="161">
        <v>5928.6109999999999</v>
      </c>
      <c r="GF31" s="161">
        <v>6010.0940000000001</v>
      </c>
      <c r="GG31" s="161">
        <v>6082.183</v>
      </c>
      <c r="GH31" s="161">
        <v>6163.7730000000001</v>
      </c>
      <c r="GI31" s="161">
        <v>6249.1679999999997</v>
      </c>
      <c r="GJ31" s="161">
        <v>6324.3620000000001</v>
      </c>
      <c r="GK31" s="194">
        <v>6381.9690000000001</v>
      </c>
      <c r="GL31" s="161">
        <v>6447.1890000000003</v>
      </c>
      <c r="GM31" s="161">
        <v>6511.31</v>
      </c>
      <c r="GN31" s="161">
        <v>6596.4260000000004</v>
      </c>
    </row>
    <row r="32" spans="1:196" customFormat="1" ht="20.149999999999999" customHeight="1" x14ac:dyDescent="0.35">
      <c r="EO32" s="209"/>
      <c r="EP32" s="178"/>
      <c r="ES32" s="178"/>
      <c r="ET32" s="178"/>
      <c r="EU32" s="178"/>
      <c r="EV32" s="178"/>
      <c r="EW32" s="178"/>
      <c r="EX32" s="178"/>
      <c r="EY32" s="178"/>
      <c r="EZ32" s="178"/>
      <c r="FA32" s="210"/>
      <c r="FB32" s="178"/>
      <c r="FC32" s="178"/>
      <c r="FD32" s="178"/>
      <c r="FE32" s="178"/>
      <c r="FF32" s="178"/>
      <c r="FG32" s="178"/>
      <c r="FH32" s="178"/>
      <c r="FI32" s="178"/>
      <c r="FJ32" s="178"/>
      <c r="FK32" s="178"/>
      <c r="FL32" s="178"/>
      <c r="FM32" s="209"/>
      <c r="FN32" s="124"/>
      <c r="FO32" s="178"/>
      <c r="FP32" s="178"/>
      <c r="FQ32" s="178"/>
      <c r="FR32" s="178"/>
      <c r="FS32" s="178"/>
      <c r="FT32" s="178"/>
      <c r="FU32" s="178"/>
      <c r="FV32" s="178"/>
      <c r="FW32" s="178"/>
      <c r="FX32" s="178"/>
      <c r="FY32" s="209"/>
      <c r="FZ32" s="178"/>
      <c r="GA32" s="178"/>
      <c r="GB32" s="178"/>
      <c r="GC32" s="178"/>
      <c r="GD32" s="178"/>
      <c r="GE32" s="178"/>
      <c r="GF32" s="178"/>
      <c r="GG32" s="178"/>
      <c r="GH32" s="178"/>
      <c r="GI32" s="178"/>
      <c r="GJ32" s="178"/>
      <c r="GK32" s="209"/>
      <c r="GL32" s="178"/>
      <c r="GM32" s="178"/>
      <c r="GN32" s="178"/>
    </row>
    <row r="33" spans="1:196" customFormat="1" ht="30.65" customHeight="1" x14ac:dyDescent="0.35">
      <c r="A33" s="21" t="s">
        <v>272</v>
      </c>
      <c r="B33" s="22" t="s">
        <v>76</v>
      </c>
      <c r="C33" s="23" t="s">
        <v>77</v>
      </c>
      <c r="D33" s="23" t="s">
        <v>78</v>
      </c>
      <c r="E33" s="23" t="s">
        <v>79</v>
      </c>
      <c r="F33" s="23" t="s">
        <v>80</v>
      </c>
      <c r="G33" s="23" t="s">
        <v>81</v>
      </c>
      <c r="H33" s="23" t="s">
        <v>82</v>
      </c>
      <c r="I33" s="23" t="s">
        <v>83</v>
      </c>
      <c r="J33" s="23" t="s">
        <v>84</v>
      </c>
      <c r="K33" s="23" t="s">
        <v>85</v>
      </c>
      <c r="L33" s="23" t="s">
        <v>86</v>
      </c>
      <c r="M33" s="23" t="s">
        <v>87</v>
      </c>
      <c r="N33" s="22" t="s">
        <v>88</v>
      </c>
      <c r="O33" s="23" t="s">
        <v>89</v>
      </c>
      <c r="P33" s="23" t="s">
        <v>90</v>
      </c>
      <c r="Q33" s="23" t="s">
        <v>91</v>
      </c>
      <c r="R33" s="23" t="s">
        <v>92</v>
      </c>
      <c r="S33" s="23" t="s">
        <v>93</v>
      </c>
      <c r="T33" s="23" t="s">
        <v>94</v>
      </c>
      <c r="U33" s="23" t="s">
        <v>95</v>
      </c>
      <c r="V33" s="23" t="s">
        <v>96</v>
      </c>
      <c r="W33" s="23" t="s">
        <v>97</v>
      </c>
      <c r="X33" s="23" t="s">
        <v>98</v>
      </c>
      <c r="Y33" s="23" t="s">
        <v>99</v>
      </c>
      <c r="Z33" s="22" t="s">
        <v>100</v>
      </c>
      <c r="AA33" s="23" t="s">
        <v>101</v>
      </c>
      <c r="AB33" s="23" t="s">
        <v>102</v>
      </c>
      <c r="AC33" s="23" t="s">
        <v>103</v>
      </c>
      <c r="AD33" s="23" t="s">
        <v>104</v>
      </c>
      <c r="AE33" s="23" t="s">
        <v>105</v>
      </c>
      <c r="AF33" s="23" t="s">
        <v>106</v>
      </c>
      <c r="AG33" s="23" t="s">
        <v>107</v>
      </c>
      <c r="AH33" s="23" t="s">
        <v>108</v>
      </c>
      <c r="AI33" s="23" t="s">
        <v>109</v>
      </c>
      <c r="AJ33" s="23" t="s">
        <v>110</v>
      </c>
      <c r="AK33" s="23" t="s">
        <v>111</v>
      </c>
      <c r="AL33" s="22" t="s">
        <v>112</v>
      </c>
      <c r="AM33" s="23" t="s">
        <v>113</v>
      </c>
      <c r="AN33" s="23" t="s">
        <v>114</v>
      </c>
      <c r="AO33" s="23" t="s">
        <v>115</v>
      </c>
      <c r="AP33" s="23" t="s">
        <v>116</v>
      </c>
      <c r="AQ33" s="23" t="s">
        <v>117</v>
      </c>
      <c r="AR33" s="23" t="s">
        <v>118</v>
      </c>
      <c r="AS33" s="23" t="s">
        <v>119</v>
      </c>
      <c r="AT33" s="23" t="s">
        <v>120</v>
      </c>
      <c r="AU33" s="23" t="s">
        <v>121</v>
      </c>
      <c r="AV33" s="23" t="s">
        <v>122</v>
      </c>
      <c r="AW33" s="24" t="s">
        <v>123</v>
      </c>
      <c r="AX33" s="23" t="s">
        <v>124</v>
      </c>
      <c r="AY33" s="23" t="s">
        <v>125</v>
      </c>
      <c r="AZ33" s="23" t="s">
        <v>126</v>
      </c>
      <c r="BA33" s="23" t="s">
        <v>127</v>
      </c>
      <c r="BB33" s="23" t="s">
        <v>128</v>
      </c>
      <c r="BC33" s="23" t="s">
        <v>129</v>
      </c>
      <c r="BD33" s="23" t="s">
        <v>130</v>
      </c>
      <c r="BE33" s="23" t="s">
        <v>131</v>
      </c>
      <c r="BF33" s="23" t="s">
        <v>132</v>
      </c>
      <c r="BG33" s="23" t="s">
        <v>133</v>
      </c>
      <c r="BH33" s="23" t="s">
        <v>134</v>
      </c>
      <c r="BI33" s="24" t="s">
        <v>135</v>
      </c>
      <c r="BJ33" s="23" t="s">
        <v>136</v>
      </c>
      <c r="BK33" s="23" t="s">
        <v>137</v>
      </c>
      <c r="BL33" s="23" t="s">
        <v>138</v>
      </c>
      <c r="BM33" s="23" t="s">
        <v>139</v>
      </c>
      <c r="BN33" s="23" t="s">
        <v>140</v>
      </c>
      <c r="BO33" s="23" t="s">
        <v>141</v>
      </c>
      <c r="BP33" s="23" t="s">
        <v>142</v>
      </c>
      <c r="BQ33" s="23" t="s">
        <v>143</v>
      </c>
      <c r="BR33" s="23" t="s">
        <v>144</v>
      </c>
      <c r="BS33" s="23" t="s">
        <v>145</v>
      </c>
      <c r="BT33" s="23" t="s">
        <v>146</v>
      </c>
      <c r="BU33" s="24" t="s">
        <v>147</v>
      </c>
      <c r="BV33" s="23" t="s">
        <v>148</v>
      </c>
      <c r="BW33" s="23" t="s">
        <v>149</v>
      </c>
      <c r="BX33" s="23" t="s">
        <v>150</v>
      </c>
      <c r="BY33" s="23" t="s">
        <v>151</v>
      </c>
      <c r="BZ33" s="23" t="s">
        <v>152</v>
      </c>
      <c r="CA33" s="23" t="s">
        <v>153</v>
      </c>
      <c r="CB33" s="23" t="s">
        <v>154</v>
      </c>
      <c r="CC33" s="23" t="s">
        <v>155</v>
      </c>
      <c r="CD33" s="23" t="s">
        <v>156</v>
      </c>
      <c r="CE33" s="23" t="s">
        <v>157</v>
      </c>
      <c r="CF33" s="23" t="s">
        <v>158</v>
      </c>
      <c r="CG33" s="24" t="s">
        <v>159</v>
      </c>
      <c r="CH33" s="23" t="s">
        <v>160</v>
      </c>
      <c r="CI33" s="23" t="s">
        <v>161</v>
      </c>
      <c r="CJ33" s="23" t="s">
        <v>162</v>
      </c>
      <c r="CK33" s="23" t="s">
        <v>163</v>
      </c>
      <c r="CL33" s="23" t="s">
        <v>164</v>
      </c>
      <c r="CM33" s="23" t="s">
        <v>165</v>
      </c>
      <c r="CN33" s="23" t="s">
        <v>166</v>
      </c>
      <c r="CO33" s="23" t="s">
        <v>167</v>
      </c>
      <c r="CP33" s="23" t="s">
        <v>168</v>
      </c>
      <c r="CQ33" s="23" t="s">
        <v>169</v>
      </c>
      <c r="CR33" s="23" t="s">
        <v>170</v>
      </c>
      <c r="CS33" s="24" t="s">
        <v>171</v>
      </c>
      <c r="CT33" s="23" t="s">
        <v>172</v>
      </c>
      <c r="CU33" s="23" t="s">
        <v>173</v>
      </c>
      <c r="CV33" s="23" t="s">
        <v>174</v>
      </c>
      <c r="CW33" s="23" t="s">
        <v>175</v>
      </c>
      <c r="CX33" s="23" t="s">
        <v>176</v>
      </c>
      <c r="CY33" s="23" t="s">
        <v>177</v>
      </c>
      <c r="CZ33" s="23" t="s">
        <v>178</v>
      </c>
      <c r="DA33" s="23" t="s">
        <v>179</v>
      </c>
      <c r="DB33" s="23" t="s">
        <v>180</v>
      </c>
      <c r="DC33" s="23" t="s">
        <v>181</v>
      </c>
      <c r="DD33" s="23" t="s">
        <v>182</v>
      </c>
      <c r="DE33" s="24" t="s">
        <v>183</v>
      </c>
      <c r="DF33" s="23" t="s">
        <v>184</v>
      </c>
      <c r="DG33" s="23" t="s">
        <v>185</v>
      </c>
      <c r="DH33" s="23" t="s">
        <v>186</v>
      </c>
      <c r="DI33" s="23" t="s">
        <v>187</v>
      </c>
      <c r="DJ33" s="23" t="s">
        <v>188</v>
      </c>
      <c r="DK33" s="23" t="s">
        <v>189</v>
      </c>
      <c r="DL33" s="23" t="s">
        <v>190</v>
      </c>
      <c r="DM33" s="23" t="s">
        <v>191</v>
      </c>
      <c r="DN33" s="23" t="s">
        <v>192</v>
      </c>
      <c r="DO33" s="23" t="s">
        <v>193</v>
      </c>
      <c r="DP33" s="23" t="s">
        <v>194</v>
      </c>
      <c r="DQ33" s="24" t="s">
        <v>195</v>
      </c>
      <c r="DR33" s="23" t="s">
        <v>196</v>
      </c>
      <c r="DS33" s="23" t="s">
        <v>197</v>
      </c>
      <c r="DT33" s="23" t="s">
        <v>198</v>
      </c>
      <c r="DU33" s="23" t="s">
        <v>199</v>
      </c>
      <c r="DV33" s="23" t="s">
        <v>200</v>
      </c>
      <c r="DW33" s="23" t="s">
        <v>201</v>
      </c>
      <c r="DX33" s="23" t="s">
        <v>202</v>
      </c>
      <c r="DY33" s="23" t="s">
        <v>203</v>
      </c>
      <c r="DZ33" s="23" t="s">
        <v>204</v>
      </c>
      <c r="EA33" s="23" t="s">
        <v>205</v>
      </c>
      <c r="EB33" s="23" t="s">
        <v>206</v>
      </c>
      <c r="EC33" s="24" t="s">
        <v>207</v>
      </c>
      <c r="ED33" s="23" t="s">
        <v>208</v>
      </c>
      <c r="EE33" s="23" t="s">
        <v>209</v>
      </c>
      <c r="EF33" s="23" t="s">
        <v>210</v>
      </c>
      <c r="EG33" s="23" t="s">
        <v>211</v>
      </c>
      <c r="EH33" s="23" t="s">
        <v>212</v>
      </c>
      <c r="EI33" s="23" t="s">
        <v>213</v>
      </c>
      <c r="EJ33" s="23" t="s">
        <v>214</v>
      </c>
      <c r="EK33" s="23" t="s">
        <v>215</v>
      </c>
      <c r="EL33" s="23" t="s">
        <v>273</v>
      </c>
      <c r="EM33" s="23" t="s">
        <v>217</v>
      </c>
      <c r="EN33" s="43" t="s">
        <v>218</v>
      </c>
      <c r="EO33" s="24" t="s">
        <v>219</v>
      </c>
      <c r="EP33" s="23" t="s">
        <v>220</v>
      </c>
      <c r="EQ33" s="43" t="s">
        <v>221</v>
      </c>
      <c r="ER33" s="43" t="s">
        <v>222</v>
      </c>
      <c r="ES33" s="43" t="s">
        <v>223</v>
      </c>
      <c r="ET33" s="43" t="s">
        <v>224</v>
      </c>
      <c r="EU33" s="43" t="s">
        <v>225</v>
      </c>
      <c r="EV33" s="43" t="s">
        <v>226</v>
      </c>
      <c r="EW33" s="43" t="s">
        <v>227</v>
      </c>
      <c r="EX33" s="43" t="s">
        <v>228</v>
      </c>
      <c r="EY33" s="43" t="s">
        <v>229</v>
      </c>
      <c r="EZ33" s="43" t="s">
        <v>230</v>
      </c>
      <c r="FA33" s="24" t="s">
        <v>231</v>
      </c>
      <c r="FB33" s="43" t="s">
        <v>232</v>
      </c>
      <c r="FC33" s="43" t="s">
        <v>233</v>
      </c>
      <c r="FD33" s="43" t="s">
        <v>234</v>
      </c>
      <c r="FE33" s="43" t="s">
        <v>235</v>
      </c>
      <c r="FF33" s="43" t="s">
        <v>236</v>
      </c>
      <c r="FG33" s="43" t="s">
        <v>237</v>
      </c>
      <c r="FH33" s="43" t="s">
        <v>238</v>
      </c>
      <c r="FI33" s="43" t="s">
        <v>239</v>
      </c>
      <c r="FJ33" s="43" t="s">
        <v>240</v>
      </c>
      <c r="FK33" s="43" t="s">
        <v>241</v>
      </c>
      <c r="FL33" s="43" t="s">
        <v>242</v>
      </c>
      <c r="FM33" s="43" t="s">
        <v>243</v>
      </c>
      <c r="FN33" s="147" t="s">
        <v>244</v>
      </c>
      <c r="FO33" s="43" t="s">
        <v>245</v>
      </c>
      <c r="FP33" s="43" t="s">
        <v>246</v>
      </c>
      <c r="FQ33" s="43" t="s">
        <v>247</v>
      </c>
      <c r="FR33" s="43" t="s">
        <v>248</v>
      </c>
      <c r="FS33" s="43" t="s">
        <v>249</v>
      </c>
      <c r="FT33" s="43" t="s">
        <v>250</v>
      </c>
      <c r="FU33" s="43" t="s">
        <v>251</v>
      </c>
      <c r="FV33" s="43" t="s">
        <v>252</v>
      </c>
      <c r="FW33" s="43" t="s">
        <v>253</v>
      </c>
      <c r="FX33" s="43" t="s">
        <v>254</v>
      </c>
      <c r="FY33" s="141" t="s">
        <v>255</v>
      </c>
      <c r="FZ33" s="43" t="s">
        <v>256</v>
      </c>
      <c r="GA33" s="43" t="s">
        <v>257</v>
      </c>
      <c r="GB33" s="43" t="s">
        <v>258</v>
      </c>
      <c r="GC33" s="43" t="s">
        <v>259</v>
      </c>
      <c r="GD33" s="43" t="s">
        <v>260</v>
      </c>
      <c r="GE33" s="43" t="s">
        <v>261</v>
      </c>
      <c r="GF33" s="43" t="s">
        <v>262</v>
      </c>
      <c r="GG33" s="43" t="s">
        <v>263</v>
      </c>
      <c r="GH33" s="43" t="s">
        <v>264</v>
      </c>
      <c r="GI33" s="43" t="s">
        <v>265</v>
      </c>
      <c r="GJ33" s="43" t="s">
        <v>1622</v>
      </c>
      <c r="GK33" s="141" t="s">
        <v>1629</v>
      </c>
      <c r="GL33" s="43" t="s">
        <v>1630</v>
      </c>
      <c r="GM33" s="43" t="s">
        <v>1635</v>
      </c>
      <c r="GN33" s="43" t="s">
        <v>1638</v>
      </c>
    </row>
    <row r="34" spans="1:196" s="37" customFormat="1" ht="36" customHeight="1" x14ac:dyDescent="0.35">
      <c r="A34" s="26" t="s">
        <v>266</v>
      </c>
      <c r="B34" s="27"/>
      <c r="C34" s="27"/>
      <c r="D34" s="27"/>
      <c r="E34" s="27"/>
      <c r="F34" s="27"/>
      <c r="G34" s="27"/>
      <c r="H34" s="27"/>
      <c r="I34" s="27"/>
      <c r="J34" s="27"/>
      <c r="K34" s="27"/>
      <c r="L34" s="27"/>
      <c r="M34" s="28"/>
      <c r="N34" s="29"/>
      <c r="O34" s="27"/>
      <c r="P34" s="27"/>
      <c r="Q34" s="27"/>
      <c r="R34" s="27"/>
      <c r="S34" s="27"/>
      <c r="T34" s="27"/>
      <c r="U34" s="27"/>
      <c r="V34" s="27"/>
      <c r="W34" s="27"/>
      <c r="X34" s="27"/>
      <c r="Y34" s="28"/>
      <c r="Z34" s="29"/>
      <c r="AA34" s="27"/>
      <c r="AB34" s="27"/>
      <c r="AC34" s="27"/>
      <c r="AD34" s="27"/>
      <c r="AE34" s="27"/>
      <c r="AF34" s="27"/>
      <c r="AG34" s="27"/>
      <c r="AH34" s="27"/>
      <c r="AI34" s="27"/>
      <c r="AJ34" s="27"/>
      <c r="AK34" s="28"/>
      <c r="AL34" s="29"/>
      <c r="AM34" s="27"/>
      <c r="AN34" s="27"/>
      <c r="AO34" s="27"/>
      <c r="AP34" s="27"/>
      <c r="AQ34" s="27"/>
      <c r="AR34" s="27"/>
      <c r="AS34" s="27"/>
      <c r="AT34" s="27"/>
      <c r="AU34" s="27"/>
      <c r="AV34" s="27"/>
      <c r="AW34" s="28"/>
      <c r="AX34" s="27"/>
      <c r="AY34" s="27"/>
      <c r="AZ34" s="27"/>
      <c r="BA34" s="27"/>
      <c r="BB34" s="27"/>
      <c r="BC34" s="27"/>
      <c r="BD34" s="27"/>
      <c r="BE34" s="27"/>
      <c r="BF34" s="27"/>
      <c r="BG34" s="27"/>
      <c r="BH34" s="27"/>
      <c r="BI34" s="28"/>
      <c r="BJ34" s="27"/>
      <c r="BK34" s="27"/>
      <c r="BL34" s="27"/>
      <c r="BM34" s="27"/>
      <c r="BN34" s="27"/>
      <c r="BO34" s="27"/>
      <c r="BP34" s="27"/>
      <c r="BQ34" s="27"/>
      <c r="BR34" s="27"/>
      <c r="BS34" s="27"/>
      <c r="BT34" s="27"/>
      <c r="BU34" s="28"/>
      <c r="BV34" s="27"/>
      <c r="BW34" s="27"/>
      <c r="BX34" s="27"/>
      <c r="BY34" s="27"/>
      <c r="BZ34" s="27"/>
      <c r="CA34" s="27"/>
      <c r="CB34" s="27"/>
      <c r="CC34" s="27"/>
      <c r="CD34" s="27"/>
      <c r="CE34" s="27"/>
      <c r="CF34" s="27"/>
      <c r="CG34" s="28"/>
      <c r="CH34" s="27"/>
      <c r="CI34" s="27"/>
      <c r="CJ34" s="27"/>
      <c r="CK34" s="27"/>
      <c r="CL34" s="27"/>
      <c r="CM34" s="27"/>
      <c r="CN34" s="27"/>
      <c r="CO34" s="27"/>
      <c r="CP34" s="27"/>
      <c r="CQ34" s="27"/>
      <c r="CR34" s="27"/>
      <c r="CS34" s="28"/>
      <c r="CT34" s="27"/>
      <c r="CU34" s="27"/>
      <c r="CV34" s="27"/>
      <c r="CW34" s="27"/>
      <c r="CX34" s="27"/>
      <c r="CY34" s="27"/>
      <c r="CZ34" s="27"/>
      <c r="DA34" s="27"/>
      <c r="DB34" s="27"/>
      <c r="DC34" s="27"/>
      <c r="DD34" s="27"/>
      <c r="DE34" s="28"/>
      <c r="DF34" s="27"/>
      <c r="DG34" s="27"/>
      <c r="DH34" s="27"/>
      <c r="DI34" s="27"/>
      <c r="DJ34" s="27"/>
      <c r="DK34" s="27"/>
      <c r="DL34" s="27"/>
      <c r="DM34" s="27"/>
      <c r="DN34" s="27"/>
      <c r="DO34" s="27"/>
      <c r="DP34" s="27"/>
      <c r="DQ34" s="28"/>
      <c r="DR34" s="27"/>
      <c r="DS34" s="27"/>
      <c r="DT34" s="27"/>
      <c r="DU34" s="27"/>
      <c r="DV34" s="27"/>
      <c r="DW34" s="27"/>
      <c r="DX34" s="27"/>
      <c r="DY34" s="27"/>
      <c r="DZ34" s="27"/>
      <c r="EA34" s="27"/>
      <c r="EB34" s="27"/>
      <c r="EC34" s="28"/>
      <c r="ED34" s="27"/>
      <c r="EE34" s="27"/>
      <c r="EF34" s="27"/>
      <c r="EG34" s="27"/>
      <c r="EH34" s="27"/>
      <c r="EI34" s="27"/>
      <c r="EJ34" s="27"/>
      <c r="EK34" s="27"/>
      <c r="EL34" s="38"/>
      <c r="EM34" s="30"/>
      <c r="EN34" s="30"/>
      <c r="EO34" s="28"/>
      <c r="EP34" s="27"/>
      <c r="EQ34" s="38"/>
      <c r="ER34" s="38"/>
      <c r="ES34" s="38"/>
      <c r="ET34" s="38"/>
      <c r="EU34" s="38"/>
      <c r="EV34" s="38"/>
      <c r="EW34" s="39"/>
      <c r="EX34" s="39"/>
      <c r="EY34" s="38"/>
      <c r="EZ34" s="38"/>
      <c r="FA34" s="28"/>
      <c r="FB34" s="38"/>
      <c r="FC34" s="38"/>
      <c r="FD34" s="38"/>
      <c r="FE34" s="38"/>
      <c r="FF34" s="38"/>
      <c r="FG34" s="38"/>
      <c r="FH34" s="38"/>
      <c r="FI34" s="38"/>
      <c r="FJ34" s="38"/>
      <c r="FK34" s="38"/>
      <c r="FL34" s="38"/>
      <c r="FM34" s="38"/>
      <c r="FN34" s="166"/>
      <c r="FO34" s="38"/>
      <c r="FP34" s="38"/>
      <c r="FQ34" s="38"/>
      <c r="FR34" s="38"/>
      <c r="FS34" s="38"/>
      <c r="FT34" s="38"/>
      <c r="FU34" s="179"/>
      <c r="FV34" s="179"/>
      <c r="FW34" s="179"/>
      <c r="FX34" s="179"/>
      <c r="FY34" s="195"/>
      <c r="FZ34" s="179"/>
      <c r="GA34" s="179"/>
      <c r="GB34" s="179"/>
      <c r="GC34" s="179"/>
      <c r="GD34" s="179"/>
      <c r="GE34" s="179"/>
      <c r="GF34" s="179"/>
      <c r="GG34" s="179"/>
      <c r="GH34" s="179"/>
      <c r="GI34" s="179"/>
      <c r="GJ34" s="179"/>
      <c r="GK34" s="195"/>
      <c r="GL34" s="179"/>
      <c r="GM34" s="179"/>
      <c r="GN34" s="179"/>
    </row>
    <row r="35" spans="1:196" s="30" customFormat="1" ht="20.149999999999999" customHeight="1" x14ac:dyDescent="0.35">
      <c r="A35" s="31" t="s">
        <v>1623</v>
      </c>
      <c r="B35" s="55">
        <v>4202</v>
      </c>
      <c r="C35" s="55">
        <v>4757</v>
      </c>
      <c r="D35" s="55">
        <v>5723</v>
      </c>
      <c r="E35" s="55">
        <v>6729</v>
      </c>
      <c r="F35" s="55">
        <v>8182</v>
      </c>
      <c r="G35" s="55">
        <v>10024</v>
      </c>
      <c r="H35" s="55">
        <v>12267</v>
      </c>
      <c r="I35" s="55">
        <v>14477</v>
      </c>
      <c r="J35" s="55">
        <v>17237</v>
      </c>
      <c r="K35" s="55">
        <v>20581</v>
      </c>
      <c r="L35" s="55">
        <v>24424</v>
      </c>
      <c r="M35" s="56">
        <v>27391</v>
      </c>
      <c r="N35" s="57">
        <v>31392</v>
      </c>
      <c r="O35" s="55">
        <v>35895</v>
      </c>
      <c r="P35" s="55">
        <v>42731</v>
      </c>
      <c r="Q35" s="55">
        <v>48787</v>
      </c>
      <c r="R35" s="55">
        <v>55725</v>
      </c>
      <c r="S35" s="55">
        <v>64759</v>
      </c>
      <c r="T35" s="55">
        <v>75126</v>
      </c>
      <c r="U35" s="55">
        <v>88147</v>
      </c>
      <c r="V35" s="55">
        <v>103885</v>
      </c>
      <c r="W35" s="55">
        <v>122089</v>
      </c>
      <c r="X35" s="55">
        <v>172218</v>
      </c>
      <c r="Y35" s="56">
        <v>212254</v>
      </c>
      <c r="Z35" s="57">
        <v>220176</v>
      </c>
      <c r="AA35" s="55">
        <v>257164</v>
      </c>
      <c r="AB35" s="55">
        <v>281336</v>
      </c>
      <c r="AC35" s="55">
        <v>286303</v>
      </c>
      <c r="AD35" s="55">
        <v>295067</v>
      </c>
      <c r="AE35" s="55">
        <v>305640</v>
      </c>
      <c r="AF35" s="55">
        <v>325003</v>
      </c>
      <c r="AG35" s="55">
        <v>328456</v>
      </c>
      <c r="AH35" s="55">
        <v>332749</v>
      </c>
      <c r="AI35" s="55">
        <v>340622</v>
      </c>
      <c r="AJ35" s="55">
        <v>345369</v>
      </c>
      <c r="AK35" s="56">
        <v>350178</v>
      </c>
      <c r="AL35" s="57">
        <v>355249</v>
      </c>
      <c r="AM35" s="55">
        <v>360506</v>
      </c>
      <c r="AN35" s="55">
        <v>366335</v>
      </c>
      <c r="AO35" s="55">
        <v>372119</v>
      </c>
      <c r="AP35" s="55">
        <v>377846</v>
      </c>
      <c r="AQ35" s="55">
        <v>385645</v>
      </c>
      <c r="AR35" s="55">
        <v>390465</v>
      </c>
      <c r="AS35" s="55">
        <v>395885</v>
      </c>
      <c r="AT35" s="55">
        <v>401498</v>
      </c>
      <c r="AU35" s="55">
        <v>407532</v>
      </c>
      <c r="AV35" s="55">
        <v>414249</v>
      </c>
      <c r="AW35" s="56">
        <v>419776</v>
      </c>
      <c r="AX35" s="55">
        <v>425255</v>
      </c>
      <c r="AY35" s="55">
        <v>431250</v>
      </c>
      <c r="AZ35" s="55">
        <v>440410</v>
      </c>
      <c r="BA35" s="55">
        <v>445918</v>
      </c>
      <c r="BB35" s="55">
        <v>451747</v>
      </c>
      <c r="BC35" s="55">
        <v>458099</v>
      </c>
      <c r="BD35" s="55">
        <v>465456</v>
      </c>
      <c r="BE35" s="55">
        <v>472546</v>
      </c>
      <c r="BF35" s="55">
        <v>481170</v>
      </c>
      <c r="BG35" s="55">
        <v>490103</v>
      </c>
      <c r="BH35" s="55">
        <v>498289</v>
      </c>
      <c r="BI35" s="56">
        <v>506389</v>
      </c>
      <c r="BJ35" s="55">
        <v>512683</v>
      </c>
      <c r="BK35" s="55">
        <v>520145</v>
      </c>
      <c r="BL35" s="55">
        <v>531293</v>
      </c>
      <c r="BM35" s="55">
        <v>539019</v>
      </c>
      <c r="BN35" s="55">
        <v>546989</v>
      </c>
      <c r="BO35" s="55">
        <v>558205</v>
      </c>
      <c r="BP35" s="55">
        <v>566503</v>
      </c>
      <c r="BQ35" s="55">
        <v>574639</v>
      </c>
      <c r="BR35" s="55">
        <v>587712</v>
      </c>
      <c r="BS35" s="55">
        <v>599993</v>
      </c>
      <c r="BT35" s="55">
        <v>616015</v>
      </c>
      <c r="BU35" s="56">
        <v>633400</v>
      </c>
      <c r="BV35" s="55">
        <v>644414</v>
      </c>
      <c r="BW35" s="55">
        <v>647153</v>
      </c>
      <c r="BX35" s="55">
        <v>650404</v>
      </c>
      <c r="BY35" s="55">
        <v>653048</v>
      </c>
      <c r="BZ35" s="55">
        <v>655776</v>
      </c>
      <c r="CA35" s="55">
        <v>658938</v>
      </c>
      <c r="CB35" s="55">
        <v>661446</v>
      </c>
      <c r="CC35" s="55">
        <v>663725</v>
      </c>
      <c r="CD35" s="55">
        <v>666539</v>
      </c>
      <c r="CE35" s="55">
        <v>668769</v>
      </c>
      <c r="CF35" s="55">
        <v>671548</v>
      </c>
      <c r="CG35" s="56">
        <v>673457</v>
      </c>
      <c r="CH35" s="55">
        <v>675477</v>
      </c>
      <c r="CI35" s="55">
        <v>677640</v>
      </c>
      <c r="CJ35" s="55">
        <v>680396</v>
      </c>
      <c r="CK35" s="55">
        <v>682272</v>
      </c>
      <c r="CL35" s="55">
        <v>684821</v>
      </c>
      <c r="CM35" s="55">
        <v>687234</v>
      </c>
      <c r="CN35" s="55">
        <v>689371</v>
      </c>
      <c r="CO35" s="55">
        <v>691879</v>
      </c>
      <c r="CP35" s="55">
        <v>694379</v>
      </c>
      <c r="CQ35" s="55">
        <v>696794</v>
      </c>
      <c r="CR35" s="55">
        <v>699738</v>
      </c>
      <c r="CS35" s="56">
        <v>701552</v>
      </c>
      <c r="CT35" s="55">
        <v>703753</v>
      </c>
      <c r="CU35" s="55">
        <v>705837</v>
      </c>
      <c r="CV35" s="55">
        <v>708291</v>
      </c>
      <c r="CW35" s="55">
        <v>710563</v>
      </c>
      <c r="CX35" s="55">
        <v>713104</v>
      </c>
      <c r="CY35" s="55">
        <v>715610</v>
      </c>
      <c r="CZ35" s="55">
        <v>718033</v>
      </c>
      <c r="DA35" s="55">
        <v>720840</v>
      </c>
      <c r="DB35" s="55">
        <v>723620</v>
      </c>
      <c r="DC35" s="55">
        <v>726958</v>
      </c>
      <c r="DD35" s="55">
        <v>730466</v>
      </c>
      <c r="DE35" s="56">
        <v>733226</v>
      </c>
      <c r="DF35" s="55">
        <v>736944</v>
      </c>
      <c r="DG35" s="55">
        <v>741027</v>
      </c>
      <c r="DH35" s="55">
        <v>750623</v>
      </c>
      <c r="DI35" s="55">
        <v>752479</v>
      </c>
      <c r="DJ35" s="55">
        <v>754796</v>
      </c>
      <c r="DK35" s="55">
        <v>757236</v>
      </c>
      <c r="DL35" s="55">
        <v>759583</v>
      </c>
      <c r="DM35" s="55">
        <v>762061</v>
      </c>
      <c r="DN35" s="55">
        <v>764652</v>
      </c>
      <c r="DO35" s="55">
        <v>767301</v>
      </c>
      <c r="DP35" s="55">
        <v>770127</v>
      </c>
      <c r="DQ35" s="56">
        <v>771987</v>
      </c>
      <c r="DR35" s="55">
        <v>774329</v>
      </c>
      <c r="DS35" s="55">
        <v>776545</v>
      </c>
      <c r="DT35" s="55">
        <v>778813</v>
      </c>
      <c r="DU35" s="55">
        <v>779142</v>
      </c>
      <c r="DV35" s="55">
        <v>779693</v>
      </c>
      <c r="DW35" s="55">
        <v>781073</v>
      </c>
      <c r="DX35" s="55">
        <v>783265</v>
      </c>
      <c r="DY35" s="55">
        <v>785500</v>
      </c>
      <c r="DZ35" s="55">
        <v>788329</v>
      </c>
      <c r="EA35" s="55">
        <v>791017</v>
      </c>
      <c r="EB35" s="55">
        <v>793998</v>
      </c>
      <c r="EC35" s="56">
        <v>796138</v>
      </c>
      <c r="ED35" s="55">
        <v>798724</v>
      </c>
      <c r="EE35" s="55">
        <v>801137</v>
      </c>
      <c r="EF35" s="55">
        <v>804394</v>
      </c>
      <c r="EG35" s="55">
        <v>807789</v>
      </c>
      <c r="EH35" s="55">
        <v>811231</v>
      </c>
      <c r="EI35" s="55">
        <v>814684</v>
      </c>
      <c r="EJ35" s="55">
        <v>817836</v>
      </c>
      <c r="EK35" s="55">
        <v>821264</v>
      </c>
      <c r="EL35" s="55">
        <v>825048</v>
      </c>
      <c r="EM35" s="55">
        <v>828568</v>
      </c>
      <c r="EN35" s="55">
        <v>833032</v>
      </c>
      <c r="EO35" s="56">
        <v>836316</v>
      </c>
      <c r="EP35" s="55">
        <v>840026</v>
      </c>
      <c r="EQ35" s="55">
        <v>844783</v>
      </c>
      <c r="ER35" s="55">
        <v>851049</v>
      </c>
      <c r="ES35" s="55">
        <v>856910</v>
      </c>
      <c r="ET35" s="55">
        <v>863160</v>
      </c>
      <c r="EU35" s="55">
        <v>869732</v>
      </c>
      <c r="EV35" s="55">
        <v>875605</v>
      </c>
      <c r="EW35" s="55">
        <v>882058</v>
      </c>
      <c r="EX35" s="55">
        <v>889638</v>
      </c>
      <c r="EY35" s="55">
        <v>896404</v>
      </c>
      <c r="EZ35" s="55">
        <v>903926</v>
      </c>
      <c r="FA35" s="56">
        <v>909533</v>
      </c>
      <c r="FB35" s="55">
        <v>916680</v>
      </c>
      <c r="FC35" s="55">
        <v>924441</v>
      </c>
      <c r="FD35" s="55">
        <v>933291</v>
      </c>
      <c r="FE35" s="55">
        <v>940194</v>
      </c>
      <c r="FF35" s="55">
        <v>947841</v>
      </c>
      <c r="FG35" s="55">
        <v>955944</v>
      </c>
      <c r="FH35" s="55">
        <v>962947</v>
      </c>
      <c r="FI35" s="55">
        <v>969863</v>
      </c>
      <c r="FJ35" s="39">
        <v>976842</v>
      </c>
      <c r="FK35" s="39">
        <v>983751</v>
      </c>
      <c r="FL35" s="39">
        <v>991255</v>
      </c>
      <c r="FM35" s="39">
        <v>995903</v>
      </c>
      <c r="FN35" s="77">
        <v>1002222</v>
      </c>
      <c r="FO35" s="39">
        <v>1009003</v>
      </c>
      <c r="FP35" s="39">
        <v>1016742</v>
      </c>
      <c r="FQ35" s="39">
        <v>1024276</v>
      </c>
      <c r="FR35" s="39">
        <v>1032470</v>
      </c>
      <c r="FS35" s="39">
        <v>1040942</v>
      </c>
      <c r="FT35" s="39">
        <v>1049502</v>
      </c>
      <c r="FU35" s="38">
        <v>1058078</v>
      </c>
      <c r="FV35" s="38">
        <v>1067878</v>
      </c>
      <c r="FW35" s="38">
        <v>1079672</v>
      </c>
      <c r="FX35" s="38">
        <v>1092941</v>
      </c>
      <c r="FY35" s="196">
        <v>1101494</v>
      </c>
      <c r="FZ35" s="38">
        <v>1111989</v>
      </c>
      <c r="GA35" s="38">
        <v>1124306</v>
      </c>
      <c r="GB35" s="38">
        <v>1139468</v>
      </c>
      <c r="GC35" s="38">
        <v>1151093</v>
      </c>
      <c r="GD35" s="38">
        <v>1164634</v>
      </c>
      <c r="GE35" s="38">
        <v>1178695</v>
      </c>
      <c r="GF35" s="38">
        <v>1191284</v>
      </c>
      <c r="GG35" s="38">
        <v>1202539</v>
      </c>
      <c r="GH35" s="38">
        <v>1216059</v>
      </c>
      <c r="GI35" s="38">
        <v>1231483</v>
      </c>
      <c r="GJ35" s="38">
        <v>1245927</v>
      </c>
      <c r="GK35" s="196">
        <v>1257255</v>
      </c>
      <c r="GL35" s="38">
        <v>1269079</v>
      </c>
      <c r="GM35" s="38">
        <v>1285516</v>
      </c>
      <c r="GN35" s="38">
        <v>1303067</v>
      </c>
    </row>
    <row r="36" spans="1:196" s="1" customFormat="1" ht="20.149999999999999" customHeight="1" x14ac:dyDescent="0.35">
      <c r="A36" s="31" t="s">
        <v>1626</v>
      </c>
      <c r="B36" s="55">
        <v>484</v>
      </c>
      <c r="C36" s="55">
        <v>514</v>
      </c>
      <c r="D36" s="55">
        <v>559</v>
      </c>
      <c r="E36" s="55">
        <v>589</v>
      </c>
      <c r="F36" s="55">
        <v>643</v>
      </c>
      <c r="G36" s="55">
        <v>704</v>
      </c>
      <c r="H36" s="55">
        <v>773</v>
      </c>
      <c r="I36" s="55">
        <v>840</v>
      </c>
      <c r="J36" s="55">
        <v>919</v>
      </c>
      <c r="K36" s="55">
        <v>1017</v>
      </c>
      <c r="L36" s="55">
        <v>1114</v>
      </c>
      <c r="M36" s="56">
        <v>1180</v>
      </c>
      <c r="N36" s="57">
        <v>1313</v>
      </c>
      <c r="O36" s="55">
        <v>1455</v>
      </c>
      <c r="P36" s="55">
        <v>1676</v>
      </c>
      <c r="Q36" s="55">
        <v>1979</v>
      </c>
      <c r="R36" s="55">
        <v>2339</v>
      </c>
      <c r="S36" s="55">
        <v>2779</v>
      </c>
      <c r="T36" s="55">
        <v>3408</v>
      </c>
      <c r="U36" s="55">
        <v>4515</v>
      </c>
      <c r="V36" s="55">
        <v>6119</v>
      </c>
      <c r="W36" s="55">
        <v>8216</v>
      </c>
      <c r="X36" s="55">
        <v>14505</v>
      </c>
      <c r="Y36" s="56">
        <v>19353</v>
      </c>
      <c r="Z36" s="57">
        <v>19826</v>
      </c>
      <c r="AA36" s="55">
        <v>25683</v>
      </c>
      <c r="AB36" s="55">
        <v>27665</v>
      </c>
      <c r="AC36" s="55">
        <v>28129</v>
      </c>
      <c r="AD36" s="55">
        <v>29681</v>
      </c>
      <c r="AE36" s="55">
        <v>32031</v>
      </c>
      <c r="AF36" s="55">
        <v>37899</v>
      </c>
      <c r="AG36" s="55">
        <v>38281</v>
      </c>
      <c r="AH36" s="55">
        <v>39124</v>
      </c>
      <c r="AI36" s="55">
        <v>41655</v>
      </c>
      <c r="AJ36" s="55">
        <v>42595</v>
      </c>
      <c r="AK36" s="56">
        <v>43720</v>
      </c>
      <c r="AL36" s="57">
        <v>44952</v>
      </c>
      <c r="AM36" s="55">
        <v>46451</v>
      </c>
      <c r="AN36" s="55">
        <v>48367</v>
      </c>
      <c r="AO36" s="55">
        <v>50598</v>
      </c>
      <c r="AP36" s="55">
        <v>53086</v>
      </c>
      <c r="AQ36" s="55">
        <v>57156</v>
      </c>
      <c r="AR36" s="55">
        <v>58875</v>
      </c>
      <c r="AS36" s="55">
        <v>61005</v>
      </c>
      <c r="AT36" s="55">
        <v>63446</v>
      </c>
      <c r="AU36" s="55">
        <v>66130</v>
      </c>
      <c r="AV36" s="55">
        <v>69352</v>
      </c>
      <c r="AW36" s="56">
        <v>72067</v>
      </c>
      <c r="AX36" s="55">
        <v>74575</v>
      </c>
      <c r="AY36" s="55">
        <v>77326</v>
      </c>
      <c r="AZ36" s="55">
        <v>82934</v>
      </c>
      <c r="BA36" s="55">
        <v>85465</v>
      </c>
      <c r="BB36" s="55">
        <v>88407</v>
      </c>
      <c r="BC36" s="55">
        <v>91760</v>
      </c>
      <c r="BD36" s="55">
        <v>95315</v>
      </c>
      <c r="BE36" s="55">
        <v>98670</v>
      </c>
      <c r="BF36" s="55">
        <v>102494</v>
      </c>
      <c r="BG36" s="55">
        <v>106577</v>
      </c>
      <c r="BH36" s="55">
        <v>110674</v>
      </c>
      <c r="BI36" s="56">
        <v>115166</v>
      </c>
      <c r="BJ36" s="55">
        <v>117212</v>
      </c>
      <c r="BK36" s="55">
        <v>119897</v>
      </c>
      <c r="BL36" s="55">
        <v>124742</v>
      </c>
      <c r="BM36" s="55">
        <v>127632</v>
      </c>
      <c r="BN36" s="55">
        <v>130911</v>
      </c>
      <c r="BO36" s="55">
        <v>135781</v>
      </c>
      <c r="BP36" s="55">
        <v>138707</v>
      </c>
      <c r="BQ36" s="55">
        <v>141712</v>
      </c>
      <c r="BR36" s="55">
        <v>146993</v>
      </c>
      <c r="BS36" s="55">
        <v>150878</v>
      </c>
      <c r="BT36" s="55">
        <v>155673</v>
      </c>
      <c r="BU36" s="56">
        <v>161662</v>
      </c>
      <c r="BV36" s="55">
        <v>164575</v>
      </c>
      <c r="BW36" s="55">
        <v>165008</v>
      </c>
      <c r="BX36" s="55">
        <v>165729</v>
      </c>
      <c r="BY36" s="55">
        <v>166320</v>
      </c>
      <c r="BZ36" s="55">
        <v>166912</v>
      </c>
      <c r="CA36" s="55">
        <v>167645</v>
      </c>
      <c r="CB36" s="55">
        <v>168215</v>
      </c>
      <c r="CC36" s="55">
        <v>168767</v>
      </c>
      <c r="CD36" s="55">
        <v>169426</v>
      </c>
      <c r="CE36" s="55">
        <v>169879</v>
      </c>
      <c r="CF36" s="55">
        <v>170381</v>
      </c>
      <c r="CG36" s="56">
        <v>170847</v>
      </c>
      <c r="CH36" s="55">
        <v>171214</v>
      </c>
      <c r="CI36" s="55">
        <v>171600</v>
      </c>
      <c r="CJ36" s="55">
        <v>172148</v>
      </c>
      <c r="CK36" s="55">
        <v>172542</v>
      </c>
      <c r="CL36" s="55">
        <v>173068</v>
      </c>
      <c r="CM36" s="55">
        <v>173677</v>
      </c>
      <c r="CN36" s="55">
        <v>174222</v>
      </c>
      <c r="CO36" s="55">
        <v>174727</v>
      </c>
      <c r="CP36" s="55">
        <v>175366</v>
      </c>
      <c r="CQ36" s="55">
        <v>175926</v>
      </c>
      <c r="CR36" s="55">
        <v>176521</v>
      </c>
      <c r="CS36" s="56">
        <v>177006</v>
      </c>
      <c r="CT36" s="55">
        <v>177434</v>
      </c>
      <c r="CU36" s="55">
        <v>177907</v>
      </c>
      <c r="CV36" s="55">
        <v>178550</v>
      </c>
      <c r="CW36" s="55">
        <v>179127</v>
      </c>
      <c r="CX36" s="55">
        <v>179787</v>
      </c>
      <c r="CY36" s="55">
        <v>180549</v>
      </c>
      <c r="CZ36" s="55">
        <v>181203</v>
      </c>
      <c r="DA36" s="55">
        <v>181892</v>
      </c>
      <c r="DB36" s="55">
        <v>182772</v>
      </c>
      <c r="DC36" s="55">
        <v>183589</v>
      </c>
      <c r="DD36" s="55">
        <v>184686</v>
      </c>
      <c r="DE36" s="56">
        <v>185700</v>
      </c>
      <c r="DF36" s="55">
        <v>186718</v>
      </c>
      <c r="DG36" s="55">
        <v>188255</v>
      </c>
      <c r="DH36" s="55">
        <v>192070</v>
      </c>
      <c r="DI36" s="55">
        <v>192219</v>
      </c>
      <c r="DJ36" s="55">
        <v>192470</v>
      </c>
      <c r="DK36" s="55">
        <v>192790</v>
      </c>
      <c r="DL36" s="55">
        <v>193243</v>
      </c>
      <c r="DM36" s="55">
        <v>193701</v>
      </c>
      <c r="DN36" s="55">
        <v>194341</v>
      </c>
      <c r="DO36" s="55">
        <v>195108</v>
      </c>
      <c r="DP36" s="55">
        <v>195765</v>
      </c>
      <c r="DQ36" s="56">
        <v>196285</v>
      </c>
      <c r="DR36" s="55">
        <v>196936</v>
      </c>
      <c r="DS36" s="55">
        <v>197605</v>
      </c>
      <c r="DT36" s="55">
        <v>198350</v>
      </c>
      <c r="DU36" s="55">
        <v>198632</v>
      </c>
      <c r="DV36" s="55">
        <v>199109</v>
      </c>
      <c r="DW36" s="55">
        <v>199985</v>
      </c>
      <c r="DX36" s="55">
        <v>200927</v>
      </c>
      <c r="DY36" s="55">
        <v>201788</v>
      </c>
      <c r="DZ36" s="55">
        <v>202885</v>
      </c>
      <c r="EA36" s="55">
        <v>203997</v>
      </c>
      <c r="EB36" s="55">
        <v>205157</v>
      </c>
      <c r="EC36" s="56">
        <v>206018</v>
      </c>
      <c r="ED36" s="55">
        <v>206926</v>
      </c>
      <c r="EE36" s="55">
        <v>207917</v>
      </c>
      <c r="EF36" s="55">
        <v>209381</v>
      </c>
      <c r="EG36" s="55">
        <v>210771</v>
      </c>
      <c r="EH36" s="55">
        <v>212164</v>
      </c>
      <c r="EI36" s="55">
        <v>213729</v>
      </c>
      <c r="EJ36" s="55">
        <v>215221</v>
      </c>
      <c r="EK36" s="55">
        <v>216581</v>
      </c>
      <c r="EL36" s="55">
        <v>218414</v>
      </c>
      <c r="EM36" s="55">
        <v>220191</v>
      </c>
      <c r="EN36" s="55">
        <v>222443</v>
      </c>
      <c r="EO36" s="56">
        <v>224121</v>
      </c>
      <c r="EP36" s="55">
        <v>226222</v>
      </c>
      <c r="EQ36" s="55">
        <v>228706</v>
      </c>
      <c r="ER36" s="55">
        <v>232118</v>
      </c>
      <c r="ES36" s="55">
        <v>235776</v>
      </c>
      <c r="ET36" s="55">
        <v>240233</v>
      </c>
      <c r="EU36" s="55">
        <v>244732</v>
      </c>
      <c r="EV36" s="55">
        <v>249679</v>
      </c>
      <c r="EW36" s="55">
        <v>255204</v>
      </c>
      <c r="EX36" s="55">
        <v>261698</v>
      </c>
      <c r="EY36" s="55">
        <v>268723</v>
      </c>
      <c r="EZ36" s="55">
        <v>276929</v>
      </c>
      <c r="FA36" s="56">
        <v>283242</v>
      </c>
      <c r="FB36" s="55">
        <v>292025</v>
      </c>
      <c r="FC36" s="55">
        <v>301234</v>
      </c>
      <c r="FD36" s="55">
        <v>311687</v>
      </c>
      <c r="FE36" s="55">
        <v>320131</v>
      </c>
      <c r="FF36" s="55">
        <v>329697</v>
      </c>
      <c r="FG36" s="55">
        <v>339166</v>
      </c>
      <c r="FH36" s="55">
        <v>347158</v>
      </c>
      <c r="FI36" s="55">
        <v>355438</v>
      </c>
      <c r="FJ36" s="39">
        <v>363286</v>
      </c>
      <c r="FK36" s="39">
        <v>371120</v>
      </c>
      <c r="FL36" s="39">
        <v>378834</v>
      </c>
      <c r="FM36" s="39">
        <v>383875</v>
      </c>
      <c r="FN36" s="77">
        <v>390034</v>
      </c>
      <c r="FO36" s="39">
        <v>396499</v>
      </c>
      <c r="FP36" s="39">
        <v>403058</v>
      </c>
      <c r="FQ36" s="39">
        <v>410111</v>
      </c>
      <c r="FR36" s="39">
        <v>417119</v>
      </c>
      <c r="FS36" s="39">
        <v>423446</v>
      </c>
      <c r="FT36" s="39">
        <v>430298</v>
      </c>
      <c r="FU36" s="39">
        <v>436316</v>
      </c>
      <c r="FV36" s="39">
        <v>442722</v>
      </c>
      <c r="FW36" s="39">
        <v>449926</v>
      </c>
      <c r="FX36" s="39">
        <v>456715</v>
      </c>
      <c r="FY36" s="197">
        <v>461603</v>
      </c>
      <c r="FZ36" s="39">
        <v>467749</v>
      </c>
      <c r="GA36" s="39">
        <v>474744</v>
      </c>
      <c r="GB36" s="39">
        <v>482990</v>
      </c>
      <c r="GC36" s="39">
        <v>490592</v>
      </c>
      <c r="GD36" s="39">
        <v>498862</v>
      </c>
      <c r="GE36" s="39">
        <v>507149</v>
      </c>
      <c r="GF36" s="39">
        <v>516094</v>
      </c>
      <c r="GG36" s="39">
        <v>524013</v>
      </c>
      <c r="GH36" s="39">
        <v>533021</v>
      </c>
      <c r="GI36" s="39">
        <v>542401</v>
      </c>
      <c r="GJ36" s="39">
        <v>550602</v>
      </c>
      <c r="GK36" s="197">
        <v>556582</v>
      </c>
      <c r="GL36" s="39">
        <v>563131</v>
      </c>
      <c r="GM36" s="39">
        <v>568341</v>
      </c>
      <c r="GN36" s="39">
        <v>576388</v>
      </c>
    </row>
    <row r="37" spans="1:196" s="1" customFormat="1" ht="20.149999999999999" customHeight="1" x14ac:dyDescent="0.35">
      <c r="A37" s="31" t="s">
        <v>1625</v>
      </c>
      <c r="B37" s="55">
        <v>139</v>
      </c>
      <c r="C37" s="55">
        <v>145</v>
      </c>
      <c r="D37" s="55">
        <v>161</v>
      </c>
      <c r="E37" s="55">
        <v>172</v>
      </c>
      <c r="F37" s="55">
        <v>190</v>
      </c>
      <c r="G37" s="55">
        <v>202</v>
      </c>
      <c r="H37" s="55">
        <v>211</v>
      </c>
      <c r="I37" s="55">
        <v>225</v>
      </c>
      <c r="J37" s="55">
        <v>252</v>
      </c>
      <c r="K37" s="55">
        <v>273</v>
      </c>
      <c r="L37" s="55">
        <v>298</v>
      </c>
      <c r="M37" s="56">
        <v>311</v>
      </c>
      <c r="N37" s="57">
        <v>338</v>
      </c>
      <c r="O37" s="55">
        <v>376</v>
      </c>
      <c r="P37" s="55">
        <v>415</v>
      </c>
      <c r="Q37" s="55">
        <v>463</v>
      </c>
      <c r="R37" s="55">
        <v>517</v>
      </c>
      <c r="S37" s="55">
        <v>572</v>
      </c>
      <c r="T37" s="55">
        <v>688</v>
      </c>
      <c r="U37" s="55">
        <v>799</v>
      </c>
      <c r="V37" s="55">
        <v>945</v>
      </c>
      <c r="W37" s="55">
        <v>1092</v>
      </c>
      <c r="X37" s="55">
        <v>1869</v>
      </c>
      <c r="Y37" s="56">
        <v>3345</v>
      </c>
      <c r="Z37" s="57">
        <v>3390</v>
      </c>
      <c r="AA37" s="55">
        <v>4565</v>
      </c>
      <c r="AB37" s="55">
        <v>5409</v>
      </c>
      <c r="AC37" s="55">
        <v>5478</v>
      </c>
      <c r="AD37" s="55">
        <v>5640</v>
      </c>
      <c r="AE37" s="55">
        <v>5954</v>
      </c>
      <c r="AF37" s="55">
        <v>7251</v>
      </c>
      <c r="AG37" s="55">
        <v>7312</v>
      </c>
      <c r="AH37" s="55">
        <v>7401</v>
      </c>
      <c r="AI37" s="55">
        <v>7702</v>
      </c>
      <c r="AJ37" s="55">
        <v>7806</v>
      </c>
      <c r="AK37" s="56">
        <v>7927</v>
      </c>
      <c r="AL37" s="57">
        <v>8066</v>
      </c>
      <c r="AM37" s="55">
        <v>8306</v>
      </c>
      <c r="AN37" s="55">
        <v>8637</v>
      </c>
      <c r="AO37" s="55">
        <v>8966</v>
      </c>
      <c r="AP37" s="55">
        <v>9268</v>
      </c>
      <c r="AQ37" s="55">
        <v>10004</v>
      </c>
      <c r="AR37" s="55">
        <v>10174</v>
      </c>
      <c r="AS37" s="55">
        <v>10426</v>
      </c>
      <c r="AT37" s="55">
        <v>10695</v>
      </c>
      <c r="AU37" s="55">
        <v>10935</v>
      </c>
      <c r="AV37" s="55">
        <v>11194</v>
      </c>
      <c r="AW37" s="56">
        <v>11454</v>
      </c>
      <c r="AX37" s="55">
        <v>11696</v>
      </c>
      <c r="AY37" s="55">
        <v>11933</v>
      </c>
      <c r="AZ37" s="55">
        <v>12791</v>
      </c>
      <c r="BA37" s="55">
        <v>12959</v>
      </c>
      <c r="BB37" s="55">
        <v>13190</v>
      </c>
      <c r="BC37" s="55">
        <v>13493</v>
      </c>
      <c r="BD37" s="55">
        <v>13785</v>
      </c>
      <c r="BE37" s="55">
        <v>14083</v>
      </c>
      <c r="BF37" s="55">
        <v>14422</v>
      </c>
      <c r="BG37" s="55">
        <v>14742</v>
      </c>
      <c r="BH37" s="55">
        <v>15075</v>
      </c>
      <c r="BI37" s="56">
        <v>15726</v>
      </c>
      <c r="BJ37" s="55">
        <v>15870</v>
      </c>
      <c r="BK37" s="55">
        <v>16142</v>
      </c>
      <c r="BL37" s="55">
        <v>16634</v>
      </c>
      <c r="BM37" s="55">
        <v>16906</v>
      </c>
      <c r="BN37" s="55">
        <v>17181</v>
      </c>
      <c r="BO37" s="55">
        <v>17645</v>
      </c>
      <c r="BP37" s="55">
        <v>18007</v>
      </c>
      <c r="BQ37" s="55">
        <v>18403</v>
      </c>
      <c r="BR37" s="55">
        <v>19256</v>
      </c>
      <c r="BS37" s="55">
        <v>19716</v>
      </c>
      <c r="BT37" s="55">
        <v>20442</v>
      </c>
      <c r="BU37" s="56">
        <v>22446</v>
      </c>
      <c r="BV37" s="55">
        <v>23388</v>
      </c>
      <c r="BW37" s="55">
        <v>23472</v>
      </c>
      <c r="BX37" s="55">
        <v>23660</v>
      </c>
      <c r="BY37" s="55">
        <v>23777</v>
      </c>
      <c r="BZ37" s="55">
        <v>23894</v>
      </c>
      <c r="CA37" s="55">
        <v>24059</v>
      </c>
      <c r="CB37" s="55">
        <v>24214</v>
      </c>
      <c r="CC37" s="55">
        <v>24415</v>
      </c>
      <c r="CD37" s="55">
        <v>24713</v>
      </c>
      <c r="CE37" s="55">
        <v>24841</v>
      </c>
      <c r="CF37" s="55">
        <v>24986</v>
      </c>
      <c r="CG37" s="56">
        <v>25167</v>
      </c>
      <c r="CH37" s="55">
        <v>25251</v>
      </c>
      <c r="CI37" s="55">
        <v>25351</v>
      </c>
      <c r="CJ37" s="55">
        <v>25554</v>
      </c>
      <c r="CK37" s="55">
        <v>25679</v>
      </c>
      <c r="CL37" s="55">
        <v>25830</v>
      </c>
      <c r="CM37" s="55">
        <v>26015</v>
      </c>
      <c r="CN37" s="55">
        <v>26171</v>
      </c>
      <c r="CO37" s="55">
        <v>26336</v>
      </c>
      <c r="CP37" s="55">
        <v>26535</v>
      </c>
      <c r="CQ37" s="55">
        <v>26699</v>
      </c>
      <c r="CR37" s="55">
        <v>26895</v>
      </c>
      <c r="CS37" s="56">
        <v>27051</v>
      </c>
      <c r="CT37" s="55">
        <v>27216</v>
      </c>
      <c r="CU37" s="55">
        <v>27374</v>
      </c>
      <c r="CV37" s="55">
        <v>27596</v>
      </c>
      <c r="CW37" s="55">
        <v>27736</v>
      </c>
      <c r="CX37" s="55">
        <v>27888</v>
      </c>
      <c r="CY37" s="55">
        <v>28083</v>
      </c>
      <c r="CZ37" s="55">
        <v>28266</v>
      </c>
      <c r="DA37" s="55">
        <v>28473</v>
      </c>
      <c r="DB37" s="55">
        <v>28655</v>
      </c>
      <c r="DC37" s="55">
        <v>28871</v>
      </c>
      <c r="DD37" s="55">
        <v>29084</v>
      </c>
      <c r="DE37" s="56">
        <v>29313</v>
      </c>
      <c r="DF37" s="55">
        <v>29582</v>
      </c>
      <c r="DG37" s="55">
        <v>29985</v>
      </c>
      <c r="DH37" s="55">
        <v>31580</v>
      </c>
      <c r="DI37" s="55">
        <v>31651</v>
      </c>
      <c r="DJ37" s="55">
        <v>31720</v>
      </c>
      <c r="DK37" s="55">
        <v>31816</v>
      </c>
      <c r="DL37" s="55">
        <v>31924</v>
      </c>
      <c r="DM37" s="55">
        <v>32061</v>
      </c>
      <c r="DN37" s="55">
        <v>32197</v>
      </c>
      <c r="DO37" s="55">
        <v>32336</v>
      </c>
      <c r="DP37" s="55">
        <v>32490</v>
      </c>
      <c r="DQ37" s="56">
        <v>32601</v>
      </c>
      <c r="DR37" s="55">
        <v>32759</v>
      </c>
      <c r="DS37" s="55">
        <v>32919</v>
      </c>
      <c r="DT37" s="55">
        <v>33134</v>
      </c>
      <c r="DU37" s="55">
        <v>33185</v>
      </c>
      <c r="DV37" s="55">
        <v>33236</v>
      </c>
      <c r="DW37" s="55">
        <v>33358</v>
      </c>
      <c r="DX37" s="55">
        <v>33503</v>
      </c>
      <c r="DY37" s="55">
        <v>33617</v>
      </c>
      <c r="DZ37" s="55">
        <v>33788</v>
      </c>
      <c r="EA37" s="55">
        <v>33962</v>
      </c>
      <c r="EB37" s="55">
        <v>34151</v>
      </c>
      <c r="EC37" s="56">
        <v>34290</v>
      </c>
      <c r="ED37" s="55">
        <v>34429</v>
      </c>
      <c r="EE37" s="55">
        <v>34591</v>
      </c>
      <c r="EF37" s="55">
        <v>34820</v>
      </c>
      <c r="EG37" s="55">
        <v>35001</v>
      </c>
      <c r="EH37" s="55">
        <v>35179</v>
      </c>
      <c r="EI37" s="55">
        <v>35346</v>
      </c>
      <c r="EJ37" s="55">
        <v>35570</v>
      </c>
      <c r="EK37" s="55">
        <v>35818</v>
      </c>
      <c r="EL37" s="55">
        <v>36056</v>
      </c>
      <c r="EM37" s="55">
        <v>36303</v>
      </c>
      <c r="EN37" s="55">
        <v>36606</v>
      </c>
      <c r="EO37" s="56">
        <v>36772</v>
      </c>
      <c r="EP37" s="55">
        <v>36995</v>
      </c>
      <c r="EQ37" s="55">
        <v>37237</v>
      </c>
      <c r="ER37" s="55">
        <v>37608</v>
      </c>
      <c r="ES37" s="55">
        <v>37887</v>
      </c>
      <c r="ET37" s="55">
        <v>38259</v>
      </c>
      <c r="EU37" s="55">
        <v>38608</v>
      </c>
      <c r="EV37" s="55">
        <v>38973</v>
      </c>
      <c r="EW37" s="55">
        <v>39363</v>
      </c>
      <c r="EX37" s="55">
        <v>39772</v>
      </c>
      <c r="EY37" s="55">
        <v>40210</v>
      </c>
      <c r="EZ37" s="55">
        <v>40738</v>
      </c>
      <c r="FA37" s="56">
        <v>41143</v>
      </c>
      <c r="FB37" s="55">
        <v>41678</v>
      </c>
      <c r="FC37" s="55">
        <v>42381</v>
      </c>
      <c r="FD37" s="55">
        <v>43185</v>
      </c>
      <c r="FE37" s="55">
        <v>43902</v>
      </c>
      <c r="FF37" s="55">
        <v>44804</v>
      </c>
      <c r="FG37" s="55">
        <v>45785</v>
      </c>
      <c r="FH37" s="55">
        <v>46633</v>
      </c>
      <c r="FI37" s="55">
        <v>47467</v>
      </c>
      <c r="FJ37" s="39">
        <v>48388</v>
      </c>
      <c r="FK37" s="39">
        <v>49196</v>
      </c>
      <c r="FL37" s="39">
        <v>50020</v>
      </c>
      <c r="FM37" s="39">
        <v>50539</v>
      </c>
      <c r="FN37" s="77">
        <v>51294</v>
      </c>
      <c r="FO37" s="39">
        <v>51969</v>
      </c>
      <c r="FP37" s="39">
        <v>52741</v>
      </c>
      <c r="FQ37" s="39">
        <v>53543</v>
      </c>
      <c r="FR37" s="39">
        <v>54488</v>
      </c>
      <c r="FS37" s="39">
        <v>55372</v>
      </c>
      <c r="FT37" s="39">
        <v>56336</v>
      </c>
      <c r="FU37" s="39">
        <v>57250</v>
      </c>
      <c r="FV37" s="39">
        <v>58135</v>
      </c>
      <c r="FW37" s="39">
        <v>59079</v>
      </c>
      <c r="FX37" s="39">
        <v>60046</v>
      </c>
      <c r="FY37" s="197">
        <v>60727</v>
      </c>
      <c r="FZ37" s="39">
        <v>61669</v>
      </c>
      <c r="GA37" s="39">
        <v>62756</v>
      </c>
      <c r="GB37" s="39">
        <v>63975</v>
      </c>
      <c r="GC37" s="39">
        <v>65168</v>
      </c>
      <c r="GD37" s="39">
        <v>66502</v>
      </c>
      <c r="GE37" s="39">
        <v>67789</v>
      </c>
      <c r="GF37" s="39">
        <v>69175</v>
      </c>
      <c r="GG37" s="39">
        <v>70424</v>
      </c>
      <c r="GH37" s="39">
        <v>71859</v>
      </c>
      <c r="GI37" s="39">
        <v>73253</v>
      </c>
      <c r="GJ37" s="39">
        <v>74482</v>
      </c>
      <c r="GK37" s="197">
        <v>75575</v>
      </c>
      <c r="GL37" s="39">
        <v>76786</v>
      </c>
      <c r="GM37" s="39">
        <v>77878</v>
      </c>
      <c r="GN37" s="39">
        <v>79527</v>
      </c>
    </row>
    <row r="38" spans="1:196" s="1" customFormat="1" ht="20.149999999999999" customHeight="1" x14ac:dyDescent="0.35">
      <c r="A38" s="31" t="s">
        <v>1627</v>
      </c>
      <c r="B38" s="55">
        <v>17</v>
      </c>
      <c r="C38" s="55">
        <v>17</v>
      </c>
      <c r="D38" s="55">
        <v>17</v>
      </c>
      <c r="E38" s="55">
        <v>17</v>
      </c>
      <c r="F38" s="55">
        <v>19</v>
      </c>
      <c r="G38" s="55">
        <v>21</v>
      </c>
      <c r="H38" s="55">
        <v>23</v>
      </c>
      <c r="I38" s="55">
        <v>23</v>
      </c>
      <c r="J38" s="55">
        <v>23</v>
      </c>
      <c r="K38" s="55">
        <v>27</v>
      </c>
      <c r="L38" s="55">
        <v>28</v>
      </c>
      <c r="M38" s="56">
        <v>30</v>
      </c>
      <c r="N38" s="57">
        <v>30</v>
      </c>
      <c r="O38" s="55">
        <v>33</v>
      </c>
      <c r="P38" s="55">
        <v>36</v>
      </c>
      <c r="Q38" s="55">
        <v>45</v>
      </c>
      <c r="R38" s="55">
        <v>57</v>
      </c>
      <c r="S38" s="55">
        <v>93</v>
      </c>
      <c r="T38" s="55">
        <v>304</v>
      </c>
      <c r="U38" s="55">
        <v>309</v>
      </c>
      <c r="V38" s="55">
        <v>325</v>
      </c>
      <c r="W38" s="55">
        <v>353</v>
      </c>
      <c r="X38" s="55">
        <v>371</v>
      </c>
      <c r="Y38" s="56">
        <v>430</v>
      </c>
      <c r="Z38" s="57">
        <v>432</v>
      </c>
      <c r="AA38" s="55">
        <v>496</v>
      </c>
      <c r="AB38" s="55">
        <v>544</v>
      </c>
      <c r="AC38" s="55">
        <v>550</v>
      </c>
      <c r="AD38" s="55">
        <v>564</v>
      </c>
      <c r="AE38" s="55">
        <v>600</v>
      </c>
      <c r="AF38" s="55">
        <v>811</v>
      </c>
      <c r="AG38" s="55">
        <v>832</v>
      </c>
      <c r="AH38" s="55">
        <v>849</v>
      </c>
      <c r="AI38" s="55">
        <v>895</v>
      </c>
      <c r="AJ38" s="55">
        <v>912</v>
      </c>
      <c r="AK38" s="56">
        <v>933</v>
      </c>
      <c r="AL38" s="57">
        <v>955</v>
      </c>
      <c r="AM38" s="55">
        <v>984</v>
      </c>
      <c r="AN38" s="55">
        <v>1050</v>
      </c>
      <c r="AO38" s="55">
        <v>1168</v>
      </c>
      <c r="AP38" s="55">
        <v>1226</v>
      </c>
      <c r="AQ38" s="55">
        <v>1344</v>
      </c>
      <c r="AR38" s="55">
        <v>1405</v>
      </c>
      <c r="AS38" s="55">
        <v>1480</v>
      </c>
      <c r="AT38" s="55">
        <v>1541</v>
      </c>
      <c r="AU38" s="55">
        <v>1589</v>
      </c>
      <c r="AV38" s="55">
        <v>1658</v>
      </c>
      <c r="AW38" s="56">
        <v>1765</v>
      </c>
      <c r="AX38" s="55">
        <v>1810</v>
      </c>
      <c r="AY38" s="55">
        <v>1873</v>
      </c>
      <c r="AZ38" s="55">
        <v>2067</v>
      </c>
      <c r="BA38" s="55">
        <v>2102</v>
      </c>
      <c r="BB38" s="55">
        <v>2154</v>
      </c>
      <c r="BC38" s="55">
        <v>2294</v>
      </c>
      <c r="BD38" s="55">
        <v>2372</v>
      </c>
      <c r="BE38" s="55">
        <v>2444</v>
      </c>
      <c r="BF38" s="55">
        <v>2566</v>
      </c>
      <c r="BG38" s="55">
        <v>2681</v>
      </c>
      <c r="BH38" s="55">
        <v>2788</v>
      </c>
      <c r="BI38" s="56">
        <v>2945</v>
      </c>
      <c r="BJ38" s="55">
        <v>3013</v>
      </c>
      <c r="BK38" s="55">
        <v>3075</v>
      </c>
      <c r="BL38" s="55">
        <v>3326</v>
      </c>
      <c r="BM38" s="55">
        <v>3402</v>
      </c>
      <c r="BN38" s="55">
        <v>3484</v>
      </c>
      <c r="BO38" s="55">
        <v>3707</v>
      </c>
      <c r="BP38" s="55">
        <v>3814</v>
      </c>
      <c r="BQ38" s="55">
        <v>3926</v>
      </c>
      <c r="BR38" s="55">
        <v>4126</v>
      </c>
      <c r="BS38" s="55">
        <v>4286</v>
      </c>
      <c r="BT38" s="55">
        <v>4522</v>
      </c>
      <c r="BU38" s="56">
        <v>5178</v>
      </c>
      <c r="BV38" s="55">
        <v>5382</v>
      </c>
      <c r="BW38" s="55">
        <v>5440</v>
      </c>
      <c r="BX38" s="55">
        <v>5676</v>
      </c>
      <c r="BY38" s="55">
        <v>5702</v>
      </c>
      <c r="BZ38" s="55">
        <v>5736</v>
      </c>
      <c r="CA38" s="55">
        <v>5794</v>
      </c>
      <c r="CB38" s="55">
        <v>5811</v>
      </c>
      <c r="CC38" s="55">
        <v>5837</v>
      </c>
      <c r="CD38" s="55">
        <v>5878</v>
      </c>
      <c r="CE38" s="55">
        <v>5906</v>
      </c>
      <c r="CF38" s="55">
        <v>5929</v>
      </c>
      <c r="CG38" s="56">
        <v>5968</v>
      </c>
      <c r="CH38" s="55">
        <v>5974</v>
      </c>
      <c r="CI38" s="55">
        <v>5997</v>
      </c>
      <c r="CJ38" s="55">
        <v>6102</v>
      </c>
      <c r="CK38" s="55">
        <v>6122</v>
      </c>
      <c r="CL38" s="55">
        <v>6135</v>
      </c>
      <c r="CM38" s="55">
        <v>6158</v>
      </c>
      <c r="CN38" s="55">
        <v>6176</v>
      </c>
      <c r="CO38" s="55">
        <v>6200</v>
      </c>
      <c r="CP38" s="55">
        <v>6224</v>
      </c>
      <c r="CQ38" s="55">
        <v>6239</v>
      </c>
      <c r="CR38" s="55">
        <v>6257</v>
      </c>
      <c r="CS38" s="56">
        <v>6265</v>
      </c>
      <c r="CT38" s="55">
        <v>6275</v>
      </c>
      <c r="CU38" s="55">
        <v>6283</v>
      </c>
      <c r="CV38" s="55">
        <v>6298</v>
      </c>
      <c r="CW38" s="55">
        <v>6312</v>
      </c>
      <c r="CX38" s="55">
        <v>6325</v>
      </c>
      <c r="CY38" s="55">
        <v>6336</v>
      </c>
      <c r="CZ38" s="55">
        <v>6347</v>
      </c>
      <c r="DA38" s="55">
        <v>6367</v>
      </c>
      <c r="DB38" s="55">
        <v>6384</v>
      </c>
      <c r="DC38" s="55">
        <v>6396</v>
      </c>
      <c r="DD38" s="55">
        <v>6422</v>
      </c>
      <c r="DE38" s="56">
        <v>6453</v>
      </c>
      <c r="DF38" s="55">
        <v>6464</v>
      </c>
      <c r="DG38" s="55">
        <v>6478</v>
      </c>
      <c r="DH38" s="55">
        <v>6514</v>
      </c>
      <c r="DI38" s="55">
        <v>6530</v>
      </c>
      <c r="DJ38" s="55">
        <v>6536</v>
      </c>
      <c r="DK38" s="55">
        <v>6545</v>
      </c>
      <c r="DL38" s="55">
        <v>6555</v>
      </c>
      <c r="DM38" s="55">
        <v>6570</v>
      </c>
      <c r="DN38" s="55">
        <v>6585</v>
      </c>
      <c r="DO38" s="55">
        <v>6595</v>
      </c>
      <c r="DP38" s="55">
        <v>6600</v>
      </c>
      <c r="DQ38" s="56">
        <v>6606</v>
      </c>
      <c r="DR38" s="55">
        <v>6616</v>
      </c>
      <c r="DS38" s="55">
        <v>6621</v>
      </c>
      <c r="DT38" s="55">
        <v>6638</v>
      </c>
      <c r="DU38" s="55">
        <v>6646</v>
      </c>
      <c r="DV38" s="55">
        <v>6649</v>
      </c>
      <c r="DW38" s="55">
        <v>6652</v>
      </c>
      <c r="DX38" s="55">
        <v>6659</v>
      </c>
      <c r="DY38" s="55">
        <v>6671</v>
      </c>
      <c r="DZ38" s="55">
        <v>6681</v>
      </c>
      <c r="EA38" s="55">
        <v>6685</v>
      </c>
      <c r="EB38" s="55">
        <v>6689</v>
      </c>
      <c r="EC38" s="56">
        <v>6698</v>
      </c>
      <c r="ED38" s="55">
        <v>6704</v>
      </c>
      <c r="EE38" s="55">
        <v>6709</v>
      </c>
      <c r="EF38" s="55">
        <v>6717</v>
      </c>
      <c r="EG38" s="55">
        <v>6723</v>
      </c>
      <c r="EH38" s="55">
        <v>6729</v>
      </c>
      <c r="EI38" s="55">
        <v>6738</v>
      </c>
      <c r="EJ38" s="55">
        <v>6749</v>
      </c>
      <c r="EK38" s="55">
        <v>6756</v>
      </c>
      <c r="EL38" s="55">
        <v>6773</v>
      </c>
      <c r="EM38" s="55">
        <v>6787</v>
      </c>
      <c r="EN38" s="55">
        <v>6803</v>
      </c>
      <c r="EO38" s="56">
        <v>6817</v>
      </c>
      <c r="EP38" s="55">
        <v>6834</v>
      </c>
      <c r="EQ38" s="55">
        <v>6848</v>
      </c>
      <c r="ER38" s="55">
        <v>6865</v>
      </c>
      <c r="ES38" s="55">
        <v>6883</v>
      </c>
      <c r="ET38" s="55">
        <v>6903</v>
      </c>
      <c r="EU38" s="55">
        <v>6925</v>
      </c>
      <c r="EV38" s="55">
        <v>6939</v>
      </c>
      <c r="EW38" s="55">
        <v>6952</v>
      </c>
      <c r="EX38" s="55">
        <v>6970</v>
      </c>
      <c r="EY38" s="55">
        <v>7000</v>
      </c>
      <c r="EZ38" s="55">
        <v>7025</v>
      </c>
      <c r="FA38" s="56">
        <v>7045</v>
      </c>
      <c r="FB38" s="55">
        <v>7072</v>
      </c>
      <c r="FC38" s="55">
        <v>7098</v>
      </c>
      <c r="FD38" s="55">
        <v>7153</v>
      </c>
      <c r="FE38" s="55">
        <v>7194</v>
      </c>
      <c r="FF38" s="55">
        <v>7246</v>
      </c>
      <c r="FG38" s="55">
        <v>7304</v>
      </c>
      <c r="FH38" s="55">
        <v>7350</v>
      </c>
      <c r="FI38" s="55">
        <v>7401</v>
      </c>
      <c r="FJ38" s="39">
        <v>7450</v>
      </c>
      <c r="FK38" s="39">
        <v>7493</v>
      </c>
      <c r="FL38" s="39">
        <v>7534</v>
      </c>
      <c r="FM38" s="39">
        <v>7557</v>
      </c>
      <c r="FN38" s="77">
        <v>7592</v>
      </c>
      <c r="FO38" s="39">
        <v>7629</v>
      </c>
      <c r="FP38" s="39">
        <v>7669</v>
      </c>
      <c r="FQ38" s="39">
        <v>7711</v>
      </c>
      <c r="FR38" s="39">
        <v>7755</v>
      </c>
      <c r="FS38" s="39">
        <v>7787</v>
      </c>
      <c r="FT38" s="39">
        <v>7833</v>
      </c>
      <c r="FU38" s="39">
        <v>7870</v>
      </c>
      <c r="FV38" s="39">
        <v>7893</v>
      </c>
      <c r="FW38" s="39">
        <v>7923</v>
      </c>
      <c r="FX38" s="39">
        <v>7962</v>
      </c>
      <c r="FY38" s="197">
        <v>7982</v>
      </c>
      <c r="FZ38" s="39">
        <v>8005</v>
      </c>
      <c r="GA38" s="39">
        <v>8040</v>
      </c>
      <c r="GB38" s="39">
        <v>8068</v>
      </c>
      <c r="GC38" s="39">
        <v>8093</v>
      </c>
      <c r="GD38" s="39">
        <v>8137</v>
      </c>
      <c r="GE38" s="39">
        <v>8172</v>
      </c>
      <c r="GF38" s="39">
        <v>8211</v>
      </c>
      <c r="GG38" s="39">
        <v>8246</v>
      </c>
      <c r="GH38" s="39">
        <v>8289</v>
      </c>
      <c r="GI38" s="39">
        <v>8337</v>
      </c>
      <c r="GJ38" s="39">
        <v>8367</v>
      </c>
      <c r="GK38" s="197">
        <v>8386</v>
      </c>
      <c r="GL38" s="39">
        <v>8403</v>
      </c>
      <c r="GM38" s="39">
        <v>8425</v>
      </c>
      <c r="GN38" s="39">
        <v>8457</v>
      </c>
    </row>
    <row r="39" spans="1:196" s="1" customFormat="1" ht="20.149999999999999" customHeight="1" x14ac:dyDescent="0.35">
      <c r="A39" s="31" t="s">
        <v>1624</v>
      </c>
      <c r="B39" s="55">
        <v>0</v>
      </c>
      <c r="C39" s="55">
        <v>0</v>
      </c>
      <c r="D39" s="55">
        <v>0</v>
      </c>
      <c r="E39" s="55">
        <v>0</v>
      </c>
      <c r="F39" s="55">
        <v>0</v>
      </c>
      <c r="G39" s="55">
        <v>0</v>
      </c>
      <c r="H39" s="55">
        <v>0</v>
      </c>
      <c r="I39" s="55">
        <v>0</v>
      </c>
      <c r="J39" s="55">
        <v>0</v>
      </c>
      <c r="K39" s="55">
        <v>0</v>
      </c>
      <c r="L39" s="55">
        <v>0</v>
      </c>
      <c r="M39" s="56">
        <v>0</v>
      </c>
      <c r="N39" s="57">
        <v>0</v>
      </c>
      <c r="O39" s="55">
        <v>0</v>
      </c>
      <c r="P39" s="55">
        <v>0</v>
      </c>
      <c r="Q39" s="55">
        <v>0</v>
      </c>
      <c r="R39" s="55">
        <v>0</v>
      </c>
      <c r="S39" s="55">
        <v>0</v>
      </c>
      <c r="T39" s="55">
        <v>0</v>
      </c>
      <c r="U39" s="55">
        <v>0</v>
      </c>
      <c r="V39" s="55">
        <v>0</v>
      </c>
      <c r="W39" s="55">
        <v>0</v>
      </c>
      <c r="X39" s="55">
        <v>0</v>
      </c>
      <c r="Y39" s="56">
        <v>0</v>
      </c>
      <c r="Z39" s="57">
        <v>1</v>
      </c>
      <c r="AA39" s="55">
        <v>1</v>
      </c>
      <c r="AB39" s="55">
        <v>1</v>
      </c>
      <c r="AC39" s="55">
        <v>1</v>
      </c>
      <c r="AD39" s="55">
        <v>1</v>
      </c>
      <c r="AE39" s="55">
        <v>1</v>
      </c>
      <c r="AF39" s="55">
        <v>1</v>
      </c>
      <c r="AG39" s="55">
        <v>1</v>
      </c>
      <c r="AH39" s="55">
        <v>1</v>
      </c>
      <c r="AI39" s="55">
        <v>1</v>
      </c>
      <c r="AJ39" s="55">
        <v>1</v>
      </c>
      <c r="AK39" s="56">
        <v>1</v>
      </c>
      <c r="AL39" s="57">
        <v>1</v>
      </c>
      <c r="AM39" s="55">
        <v>7</v>
      </c>
      <c r="AN39" s="55">
        <v>41</v>
      </c>
      <c r="AO39" s="55">
        <v>41</v>
      </c>
      <c r="AP39" s="55">
        <v>44</v>
      </c>
      <c r="AQ39" s="55">
        <v>51</v>
      </c>
      <c r="AR39" s="55">
        <v>51</v>
      </c>
      <c r="AS39" s="55">
        <v>54</v>
      </c>
      <c r="AT39" s="55">
        <v>54</v>
      </c>
      <c r="AU39" s="55">
        <v>54</v>
      </c>
      <c r="AV39" s="55">
        <v>58</v>
      </c>
      <c r="AW39" s="56">
        <v>60</v>
      </c>
      <c r="AX39" s="55">
        <v>68</v>
      </c>
      <c r="AY39" s="55">
        <v>72</v>
      </c>
      <c r="AZ39" s="55">
        <v>144</v>
      </c>
      <c r="BA39" s="55">
        <v>145</v>
      </c>
      <c r="BB39" s="55">
        <v>149</v>
      </c>
      <c r="BC39" s="55">
        <v>154</v>
      </c>
      <c r="BD39" s="55">
        <v>161</v>
      </c>
      <c r="BE39" s="55">
        <v>162</v>
      </c>
      <c r="BF39" s="55">
        <v>170</v>
      </c>
      <c r="BG39" s="55">
        <v>175</v>
      </c>
      <c r="BH39" s="55">
        <v>181</v>
      </c>
      <c r="BI39" s="56">
        <v>190</v>
      </c>
      <c r="BJ39" s="55">
        <v>196</v>
      </c>
      <c r="BK39" s="55">
        <v>206</v>
      </c>
      <c r="BL39" s="55">
        <v>335</v>
      </c>
      <c r="BM39" s="55">
        <v>335</v>
      </c>
      <c r="BN39" s="55">
        <v>335</v>
      </c>
      <c r="BO39" s="55">
        <v>336</v>
      </c>
      <c r="BP39" s="55">
        <v>337</v>
      </c>
      <c r="BQ39" s="55">
        <v>341</v>
      </c>
      <c r="BR39" s="55">
        <v>341</v>
      </c>
      <c r="BS39" s="55">
        <v>344</v>
      </c>
      <c r="BT39" s="55">
        <v>348</v>
      </c>
      <c r="BU39" s="56">
        <v>356</v>
      </c>
      <c r="BV39" s="55">
        <v>360</v>
      </c>
      <c r="BW39" s="55">
        <v>362</v>
      </c>
      <c r="BX39" s="55">
        <v>387</v>
      </c>
      <c r="BY39" s="55">
        <v>388</v>
      </c>
      <c r="BZ39" s="55">
        <v>388</v>
      </c>
      <c r="CA39" s="55">
        <v>396</v>
      </c>
      <c r="CB39" s="55">
        <v>397</v>
      </c>
      <c r="CC39" s="55">
        <v>399</v>
      </c>
      <c r="CD39" s="55">
        <v>399</v>
      </c>
      <c r="CE39" s="55">
        <v>400</v>
      </c>
      <c r="CF39" s="55">
        <v>400</v>
      </c>
      <c r="CG39" s="56">
        <v>405</v>
      </c>
      <c r="CH39" s="55">
        <v>408</v>
      </c>
      <c r="CI39" s="55">
        <v>409</v>
      </c>
      <c r="CJ39" s="55">
        <v>425</v>
      </c>
      <c r="CK39" s="55">
        <v>425</v>
      </c>
      <c r="CL39" s="55">
        <v>425</v>
      </c>
      <c r="CM39" s="55">
        <v>425</v>
      </c>
      <c r="CN39" s="55">
        <v>426</v>
      </c>
      <c r="CO39" s="55">
        <v>426</v>
      </c>
      <c r="CP39" s="55">
        <v>426</v>
      </c>
      <c r="CQ39" s="55">
        <v>427</v>
      </c>
      <c r="CR39" s="55">
        <v>427</v>
      </c>
      <c r="CS39" s="56">
        <v>427</v>
      </c>
      <c r="CT39" s="55">
        <v>427</v>
      </c>
      <c r="CU39" s="55">
        <v>427</v>
      </c>
      <c r="CV39" s="55">
        <v>427</v>
      </c>
      <c r="CW39" s="55">
        <v>427</v>
      </c>
      <c r="CX39" s="55">
        <v>427</v>
      </c>
      <c r="CY39" s="55">
        <v>427</v>
      </c>
      <c r="CZ39" s="55">
        <v>427</v>
      </c>
      <c r="DA39" s="55">
        <v>427</v>
      </c>
      <c r="DB39" s="55">
        <v>427</v>
      </c>
      <c r="DC39" s="55">
        <v>428</v>
      </c>
      <c r="DD39" s="55">
        <v>428</v>
      </c>
      <c r="DE39" s="56">
        <v>429</v>
      </c>
      <c r="DF39" s="55">
        <v>430</v>
      </c>
      <c r="DG39" s="55">
        <v>430</v>
      </c>
      <c r="DH39" s="55">
        <v>430</v>
      </c>
      <c r="DI39" s="55">
        <v>430</v>
      </c>
      <c r="DJ39" s="55">
        <v>430</v>
      </c>
      <c r="DK39" s="55">
        <v>430</v>
      </c>
      <c r="DL39" s="55">
        <v>431</v>
      </c>
      <c r="DM39" s="55">
        <v>431</v>
      </c>
      <c r="DN39" s="55">
        <v>432</v>
      </c>
      <c r="DO39" s="55">
        <v>432</v>
      </c>
      <c r="DP39" s="55">
        <v>432</v>
      </c>
      <c r="DQ39" s="56">
        <v>432</v>
      </c>
      <c r="DR39" s="55">
        <v>434</v>
      </c>
      <c r="DS39" s="55">
        <v>435</v>
      </c>
      <c r="DT39" s="55">
        <v>435</v>
      </c>
      <c r="DU39" s="55">
        <v>435</v>
      </c>
      <c r="DV39" s="55">
        <v>436</v>
      </c>
      <c r="DW39" s="55">
        <v>436</v>
      </c>
      <c r="DX39" s="55">
        <v>436</v>
      </c>
      <c r="DY39" s="55">
        <v>437</v>
      </c>
      <c r="DZ39" s="55">
        <v>437</v>
      </c>
      <c r="EA39" s="55">
        <v>437</v>
      </c>
      <c r="EB39" s="55">
        <v>437</v>
      </c>
      <c r="EC39" s="56">
        <v>438</v>
      </c>
      <c r="ED39" s="55">
        <v>439</v>
      </c>
      <c r="EE39" s="55">
        <v>439</v>
      </c>
      <c r="EF39" s="55">
        <v>440</v>
      </c>
      <c r="EG39" s="55">
        <v>440</v>
      </c>
      <c r="EH39" s="55">
        <v>441</v>
      </c>
      <c r="EI39" s="55">
        <v>443</v>
      </c>
      <c r="EJ39" s="55">
        <v>443</v>
      </c>
      <c r="EK39" s="55">
        <v>443</v>
      </c>
      <c r="EL39" s="55">
        <v>443</v>
      </c>
      <c r="EM39" s="55">
        <v>443</v>
      </c>
      <c r="EN39" s="55">
        <v>443</v>
      </c>
      <c r="EO39" s="56">
        <v>443</v>
      </c>
      <c r="EP39" s="55">
        <v>446</v>
      </c>
      <c r="EQ39" s="55">
        <v>446</v>
      </c>
      <c r="ER39" s="55">
        <v>447</v>
      </c>
      <c r="ES39" s="55">
        <v>447</v>
      </c>
      <c r="ET39" s="55">
        <v>447</v>
      </c>
      <c r="EU39" s="55">
        <v>447</v>
      </c>
      <c r="EV39" s="55">
        <v>448</v>
      </c>
      <c r="EW39" s="55">
        <v>448</v>
      </c>
      <c r="EX39" s="55">
        <v>449</v>
      </c>
      <c r="EY39" s="55">
        <v>449</v>
      </c>
      <c r="EZ39" s="55">
        <v>449</v>
      </c>
      <c r="FA39" s="56">
        <v>450</v>
      </c>
      <c r="FB39" s="55">
        <v>453</v>
      </c>
      <c r="FC39" s="55">
        <v>454</v>
      </c>
      <c r="FD39" s="55">
        <v>457</v>
      </c>
      <c r="FE39" s="55">
        <v>458</v>
      </c>
      <c r="FF39" s="55">
        <v>458</v>
      </c>
      <c r="FG39" s="55">
        <v>458</v>
      </c>
      <c r="FH39" s="55">
        <v>458</v>
      </c>
      <c r="FI39" s="55">
        <v>458</v>
      </c>
      <c r="FJ39" s="39">
        <v>459</v>
      </c>
      <c r="FK39" s="39">
        <v>463</v>
      </c>
      <c r="FL39" s="39">
        <v>464</v>
      </c>
      <c r="FM39" s="39">
        <v>464</v>
      </c>
      <c r="FN39" s="77">
        <v>468</v>
      </c>
      <c r="FO39" s="39">
        <v>468</v>
      </c>
      <c r="FP39" s="39">
        <v>473</v>
      </c>
      <c r="FQ39" s="39">
        <v>476</v>
      </c>
      <c r="FR39" s="39">
        <v>476</v>
      </c>
      <c r="FS39" s="39">
        <v>478</v>
      </c>
      <c r="FT39" s="39">
        <v>478</v>
      </c>
      <c r="FU39" s="39">
        <v>478</v>
      </c>
      <c r="FV39" s="39">
        <v>478</v>
      </c>
      <c r="FW39" s="39">
        <v>479</v>
      </c>
      <c r="FX39" s="39">
        <v>479</v>
      </c>
      <c r="FY39" s="197">
        <v>481</v>
      </c>
      <c r="FZ39" s="39">
        <v>484</v>
      </c>
      <c r="GA39" s="39">
        <v>485</v>
      </c>
      <c r="GB39" s="39">
        <v>485</v>
      </c>
      <c r="GC39" s="39">
        <v>485</v>
      </c>
      <c r="GD39" s="39">
        <v>485</v>
      </c>
      <c r="GE39" s="39">
        <v>487</v>
      </c>
      <c r="GF39" s="39">
        <v>487</v>
      </c>
      <c r="GG39" s="39">
        <v>488</v>
      </c>
      <c r="GH39" s="39">
        <v>488</v>
      </c>
      <c r="GI39" s="39">
        <v>489</v>
      </c>
      <c r="GJ39" s="39">
        <v>489</v>
      </c>
      <c r="GK39" s="197">
        <v>489</v>
      </c>
      <c r="GL39" s="39">
        <v>489</v>
      </c>
      <c r="GM39" s="39">
        <v>489</v>
      </c>
      <c r="GN39" s="39">
        <v>489</v>
      </c>
    </row>
    <row r="40" spans="1:196" s="1" customFormat="1" ht="20.149999999999999" customHeight="1" x14ac:dyDescent="0.4">
      <c r="A40" s="31" t="s">
        <v>1628</v>
      </c>
      <c r="B40" s="58">
        <v>0</v>
      </c>
      <c r="C40" s="58">
        <v>0</v>
      </c>
      <c r="D40" s="58">
        <v>0</v>
      </c>
      <c r="E40" s="58">
        <v>0</v>
      </c>
      <c r="F40" s="58">
        <v>0</v>
      </c>
      <c r="G40" s="58">
        <v>0</v>
      </c>
      <c r="H40" s="58">
        <v>0</v>
      </c>
      <c r="I40" s="58">
        <v>0</v>
      </c>
      <c r="J40" s="58">
        <v>0</v>
      </c>
      <c r="K40" s="58">
        <v>0</v>
      </c>
      <c r="L40" s="58">
        <v>0</v>
      </c>
      <c r="M40" s="59">
        <v>0</v>
      </c>
      <c r="N40" s="60">
        <v>0</v>
      </c>
      <c r="O40" s="58">
        <v>0</v>
      </c>
      <c r="P40" s="58">
        <v>0</v>
      </c>
      <c r="Q40" s="58">
        <v>0</v>
      </c>
      <c r="R40" s="58">
        <v>0</v>
      </c>
      <c r="S40" s="58">
        <v>0</v>
      </c>
      <c r="T40" s="58">
        <v>0</v>
      </c>
      <c r="U40" s="58">
        <v>0</v>
      </c>
      <c r="V40" s="58">
        <v>0</v>
      </c>
      <c r="W40" s="58">
        <v>0</v>
      </c>
      <c r="X40" s="58">
        <v>0</v>
      </c>
      <c r="Y40" s="59">
        <v>0</v>
      </c>
      <c r="Z40" s="60">
        <v>0</v>
      </c>
      <c r="AA40" s="58">
        <v>0</v>
      </c>
      <c r="AB40" s="58">
        <v>0</v>
      </c>
      <c r="AC40" s="58">
        <v>0</v>
      </c>
      <c r="AD40" s="58">
        <v>0</v>
      </c>
      <c r="AE40" s="58">
        <v>0</v>
      </c>
      <c r="AF40" s="58">
        <v>0</v>
      </c>
      <c r="AG40" s="58">
        <v>0</v>
      </c>
      <c r="AH40" s="58">
        <v>0</v>
      </c>
      <c r="AI40" s="58">
        <v>0</v>
      </c>
      <c r="AJ40" s="58">
        <v>0</v>
      </c>
      <c r="AK40" s="59">
        <v>0</v>
      </c>
      <c r="AL40" s="60">
        <v>0</v>
      </c>
      <c r="AM40" s="58">
        <v>0</v>
      </c>
      <c r="AN40" s="58">
        <v>1</v>
      </c>
      <c r="AO40" s="58">
        <v>1</v>
      </c>
      <c r="AP40" s="58">
        <v>1</v>
      </c>
      <c r="AQ40" s="58">
        <v>1</v>
      </c>
      <c r="AR40" s="58">
        <v>1</v>
      </c>
      <c r="AS40" s="58">
        <v>1</v>
      </c>
      <c r="AT40" s="58">
        <v>1</v>
      </c>
      <c r="AU40" s="58">
        <v>1</v>
      </c>
      <c r="AV40" s="58">
        <v>1</v>
      </c>
      <c r="AW40" s="59">
        <v>1</v>
      </c>
      <c r="AX40" s="58">
        <v>1</v>
      </c>
      <c r="AY40" s="58">
        <v>2</v>
      </c>
      <c r="AZ40" s="58">
        <v>3</v>
      </c>
      <c r="BA40" s="58">
        <v>4</v>
      </c>
      <c r="BB40" s="58">
        <v>4</v>
      </c>
      <c r="BC40" s="58">
        <v>4</v>
      </c>
      <c r="BD40" s="58">
        <v>5</v>
      </c>
      <c r="BE40" s="58">
        <v>5</v>
      </c>
      <c r="BF40" s="58">
        <v>7</v>
      </c>
      <c r="BG40" s="58">
        <v>9</v>
      </c>
      <c r="BH40" s="58">
        <v>9</v>
      </c>
      <c r="BI40" s="59">
        <v>11</v>
      </c>
      <c r="BJ40" s="58">
        <v>11</v>
      </c>
      <c r="BK40" s="58">
        <v>11</v>
      </c>
      <c r="BL40" s="58">
        <v>29</v>
      </c>
      <c r="BM40" s="58">
        <v>29</v>
      </c>
      <c r="BN40" s="58">
        <v>29</v>
      </c>
      <c r="BO40" s="58">
        <v>29</v>
      </c>
      <c r="BP40" s="58">
        <v>29</v>
      </c>
      <c r="BQ40" s="58">
        <v>29</v>
      </c>
      <c r="BR40" s="58">
        <v>29</v>
      </c>
      <c r="BS40" s="58">
        <v>29</v>
      </c>
      <c r="BT40" s="58">
        <v>29</v>
      </c>
      <c r="BU40" s="59">
        <v>29</v>
      </c>
      <c r="BV40" s="58">
        <v>30</v>
      </c>
      <c r="BW40" s="58">
        <v>30</v>
      </c>
      <c r="BX40" s="58">
        <v>39</v>
      </c>
      <c r="BY40" s="58">
        <v>39</v>
      </c>
      <c r="BZ40" s="58">
        <v>39</v>
      </c>
      <c r="CA40" s="58">
        <v>39</v>
      </c>
      <c r="CB40" s="58">
        <v>39</v>
      </c>
      <c r="CC40" s="58">
        <v>39</v>
      </c>
      <c r="CD40" s="58">
        <v>39</v>
      </c>
      <c r="CE40" s="58">
        <v>39</v>
      </c>
      <c r="CF40" s="58">
        <v>39</v>
      </c>
      <c r="CG40" s="59">
        <v>39</v>
      </c>
      <c r="CH40" s="55">
        <v>39</v>
      </c>
      <c r="CI40" s="55">
        <v>39</v>
      </c>
      <c r="CJ40" s="55">
        <v>39</v>
      </c>
      <c r="CK40" s="55">
        <v>39</v>
      </c>
      <c r="CL40" s="55">
        <v>39</v>
      </c>
      <c r="CM40" s="55">
        <v>39</v>
      </c>
      <c r="CN40" s="55">
        <v>39</v>
      </c>
      <c r="CO40" s="55">
        <v>39</v>
      </c>
      <c r="CP40" s="55">
        <v>39</v>
      </c>
      <c r="CQ40" s="55">
        <v>39</v>
      </c>
      <c r="CR40" s="55">
        <v>39</v>
      </c>
      <c r="CS40" s="56">
        <v>39</v>
      </c>
      <c r="CT40" s="55">
        <v>39</v>
      </c>
      <c r="CU40" s="55">
        <v>39</v>
      </c>
      <c r="CV40" s="55">
        <v>39</v>
      </c>
      <c r="CW40" s="55">
        <v>39</v>
      </c>
      <c r="CX40" s="55">
        <v>39</v>
      </c>
      <c r="CY40" s="55">
        <v>39</v>
      </c>
      <c r="CZ40" s="55">
        <v>39</v>
      </c>
      <c r="DA40" s="55">
        <v>39</v>
      </c>
      <c r="DB40" s="55">
        <v>39</v>
      </c>
      <c r="DC40" s="55">
        <v>39</v>
      </c>
      <c r="DD40" s="58">
        <v>39</v>
      </c>
      <c r="DE40" s="59">
        <v>39</v>
      </c>
      <c r="DF40" s="55">
        <v>40</v>
      </c>
      <c r="DG40" s="55">
        <v>40</v>
      </c>
      <c r="DH40" s="58">
        <v>40</v>
      </c>
      <c r="DI40" s="55">
        <v>40</v>
      </c>
      <c r="DJ40" s="55">
        <v>40</v>
      </c>
      <c r="DK40" s="55">
        <v>40</v>
      </c>
      <c r="DL40" s="58">
        <v>40</v>
      </c>
      <c r="DM40" s="55">
        <v>40</v>
      </c>
      <c r="DN40" s="55">
        <v>40</v>
      </c>
      <c r="DO40" s="55">
        <v>40</v>
      </c>
      <c r="DP40" s="55">
        <v>40</v>
      </c>
      <c r="DQ40" s="59">
        <v>41</v>
      </c>
      <c r="DR40" s="55">
        <v>41</v>
      </c>
      <c r="DS40" s="55">
        <v>41</v>
      </c>
      <c r="DT40" s="55">
        <v>41</v>
      </c>
      <c r="DU40" s="55">
        <v>41</v>
      </c>
      <c r="DV40" s="55">
        <v>41</v>
      </c>
      <c r="DW40" s="55">
        <v>41</v>
      </c>
      <c r="DX40" s="55">
        <v>41</v>
      </c>
      <c r="DY40" s="55">
        <v>42</v>
      </c>
      <c r="DZ40" s="55">
        <v>42</v>
      </c>
      <c r="EA40" s="55">
        <v>42</v>
      </c>
      <c r="EB40" s="55">
        <v>42</v>
      </c>
      <c r="EC40" s="56">
        <v>42</v>
      </c>
      <c r="ED40" s="55">
        <v>43</v>
      </c>
      <c r="EE40" s="55">
        <v>43</v>
      </c>
      <c r="EF40" s="55">
        <v>45</v>
      </c>
      <c r="EG40" s="55">
        <v>46</v>
      </c>
      <c r="EH40" s="55">
        <v>46</v>
      </c>
      <c r="EI40" s="55">
        <v>46</v>
      </c>
      <c r="EJ40" s="55">
        <v>46</v>
      </c>
      <c r="EK40" s="55">
        <v>46</v>
      </c>
      <c r="EL40" s="55">
        <v>46</v>
      </c>
      <c r="EM40" s="55">
        <v>47</v>
      </c>
      <c r="EN40" s="55">
        <v>47</v>
      </c>
      <c r="EO40" s="56">
        <v>47</v>
      </c>
      <c r="EP40" s="55">
        <v>47</v>
      </c>
      <c r="EQ40" s="55">
        <v>47</v>
      </c>
      <c r="ER40" s="55">
        <v>47</v>
      </c>
      <c r="ES40" s="55">
        <v>48</v>
      </c>
      <c r="ET40" s="55">
        <v>48</v>
      </c>
      <c r="EU40" s="55">
        <v>48</v>
      </c>
      <c r="EV40" s="55">
        <v>48</v>
      </c>
      <c r="EW40" s="55">
        <v>48</v>
      </c>
      <c r="EX40" s="55">
        <v>48</v>
      </c>
      <c r="EY40" s="55">
        <v>48</v>
      </c>
      <c r="EZ40" s="55">
        <v>48</v>
      </c>
      <c r="FA40" s="56">
        <v>49</v>
      </c>
      <c r="FB40" s="160">
        <v>50</v>
      </c>
      <c r="FC40" s="160">
        <v>51</v>
      </c>
      <c r="FD40" s="160">
        <v>53</v>
      </c>
      <c r="FE40" s="160">
        <v>53</v>
      </c>
      <c r="FF40" s="160">
        <v>53</v>
      </c>
      <c r="FG40" s="160">
        <v>53</v>
      </c>
      <c r="FH40" s="160">
        <v>53</v>
      </c>
      <c r="FI40" s="160">
        <v>53</v>
      </c>
      <c r="FJ40" s="160">
        <v>54</v>
      </c>
      <c r="FK40" s="160">
        <v>54</v>
      </c>
      <c r="FL40" s="160">
        <v>54</v>
      </c>
      <c r="FM40" s="39">
        <v>54</v>
      </c>
      <c r="FN40" s="77">
        <v>60</v>
      </c>
      <c r="FO40" s="39">
        <v>62</v>
      </c>
      <c r="FP40" s="39">
        <v>64</v>
      </c>
      <c r="FQ40" s="39">
        <v>66</v>
      </c>
      <c r="FR40" s="39">
        <v>68</v>
      </c>
      <c r="FS40" s="39">
        <v>70</v>
      </c>
      <c r="FT40" s="39">
        <v>72</v>
      </c>
      <c r="FU40" s="39">
        <v>72</v>
      </c>
      <c r="FV40" s="39">
        <v>72</v>
      </c>
      <c r="FW40" s="39">
        <v>78</v>
      </c>
      <c r="FX40" s="39">
        <v>79</v>
      </c>
      <c r="FY40" s="197">
        <v>80</v>
      </c>
      <c r="FZ40" s="39">
        <v>85</v>
      </c>
      <c r="GA40" s="39">
        <v>87</v>
      </c>
      <c r="GB40" s="39">
        <v>90</v>
      </c>
      <c r="GC40" s="39">
        <v>93</v>
      </c>
      <c r="GD40" s="39">
        <v>95</v>
      </c>
      <c r="GE40" s="39">
        <v>97</v>
      </c>
      <c r="GF40" s="39">
        <v>100</v>
      </c>
      <c r="GG40" s="39">
        <v>102</v>
      </c>
      <c r="GH40" s="39">
        <v>104</v>
      </c>
      <c r="GI40" s="39">
        <v>106</v>
      </c>
      <c r="GJ40" s="39">
        <v>106</v>
      </c>
      <c r="GK40" s="197">
        <v>106</v>
      </c>
      <c r="GL40" s="39">
        <v>107</v>
      </c>
      <c r="GM40" s="39">
        <v>107</v>
      </c>
      <c r="GN40" s="39">
        <v>107</v>
      </c>
    </row>
    <row r="41" spans="1:196" s="1" customFormat="1" ht="20.149999999999999" customHeight="1" thickBot="1" x14ac:dyDescent="0.4">
      <c r="A41" s="32" t="s">
        <v>267</v>
      </c>
      <c r="B41" s="61">
        <f>SUM(B35:B40)</f>
        <v>4842</v>
      </c>
      <c r="C41" s="62">
        <f t="shared" ref="C41:BN41" si="12">SUM(C35:C40)</f>
        <v>5433</v>
      </c>
      <c r="D41" s="62">
        <f t="shared" si="12"/>
        <v>6460</v>
      </c>
      <c r="E41" s="62">
        <f t="shared" si="12"/>
        <v>7507</v>
      </c>
      <c r="F41" s="62">
        <f t="shared" si="12"/>
        <v>9034</v>
      </c>
      <c r="G41" s="62">
        <f t="shared" si="12"/>
        <v>10951</v>
      </c>
      <c r="H41" s="62">
        <f t="shared" si="12"/>
        <v>13274</v>
      </c>
      <c r="I41" s="62">
        <f t="shared" si="12"/>
        <v>15565</v>
      </c>
      <c r="J41" s="62">
        <f t="shared" si="12"/>
        <v>18431</v>
      </c>
      <c r="K41" s="62">
        <f t="shared" si="12"/>
        <v>21898</v>
      </c>
      <c r="L41" s="62">
        <f t="shared" si="12"/>
        <v>25864</v>
      </c>
      <c r="M41" s="62">
        <f t="shared" si="12"/>
        <v>28912</v>
      </c>
      <c r="N41" s="61">
        <f t="shared" si="12"/>
        <v>33073</v>
      </c>
      <c r="O41" s="62">
        <f t="shared" si="12"/>
        <v>37759</v>
      </c>
      <c r="P41" s="62">
        <f t="shared" si="12"/>
        <v>44858</v>
      </c>
      <c r="Q41" s="62">
        <f t="shared" si="12"/>
        <v>51274</v>
      </c>
      <c r="R41" s="62">
        <f t="shared" si="12"/>
        <v>58638</v>
      </c>
      <c r="S41" s="62">
        <f t="shared" si="12"/>
        <v>68203</v>
      </c>
      <c r="T41" s="62">
        <f t="shared" si="12"/>
        <v>79526</v>
      </c>
      <c r="U41" s="62">
        <f t="shared" si="12"/>
        <v>93770</v>
      </c>
      <c r="V41" s="62">
        <f t="shared" si="12"/>
        <v>111274</v>
      </c>
      <c r="W41" s="62">
        <f t="shared" si="12"/>
        <v>131750</v>
      </c>
      <c r="X41" s="62">
        <f t="shared" si="12"/>
        <v>188963</v>
      </c>
      <c r="Y41" s="62">
        <f t="shared" si="12"/>
        <v>235382</v>
      </c>
      <c r="Z41" s="61">
        <f t="shared" si="12"/>
        <v>243825</v>
      </c>
      <c r="AA41" s="62">
        <f t="shared" si="12"/>
        <v>287909</v>
      </c>
      <c r="AB41" s="62">
        <f t="shared" si="12"/>
        <v>314955</v>
      </c>
      <c r="AC41" s="62">
        <f t="shared" si="12"/>
        <v>320461</v>
      </c>
      <c r="AD41" s="62">
        <f t="shared" si="12"/>
        <v>330953</v>
      </c>
      <c r="AE41" s="62">
        <f t="shared" si="12"/>
        <v>344226</v>
      </c>
      <c r="AF41" s="62">
        <f t="shared" si="12"/>
        <v>370965</v>
      </c>
      <c r="AG41" s="62">
        <f t="shared" si="12"/>
        <v>374882</v>
      </c>
      <c r="AH41" s="62">
        <f t="shared" si="12"/>
        <v>380124</v>
      </c>
      <c r="AI41" s="62">
        <f t="shared" si="12"/>
        <v>390875</v>
      </c>
      <c r="AJ41" s="62">
        <f t="shared" si="12"/>
        <v>396683</v>
      </c>
      <c r="AK41" s="127">
        <f t="shared" si="12"/>
        <v>402759</v>
      </c>
      <c r="AL41" s="62">
        <f t="shared" si="12"/>
        <v>409223</v>
      </c>
      <c r="AM41" s="62">
        <f t="shared" si="12"/>
        <v>416254</v>
      </c>
      <c r="AN41" s="62">
        <f t="shared" si="12"/>
        <v>424431</v>
      </c>
      <c r="AO41" s="62">
        <f t="shared" si="12"/>
        <v>432893</v>
      </c>
      <c r="AP41" s="62">
        <f t="shared" si="12"/>
        <v>441471</v>
      </c>
      <c r="AQ41" s="62">
        <f t="shared" si="12"/>
        <v>454201</v>
      </c>
      <c r="AR41" s="62">
        <f t="shared" si="12"/>
        <v>460971</v>
      </c>
      <c r="AS41" s="62">
        <f t="shared" si="12"/>
        <v>468851</v>
      </c>
      <c r="AT41" s="62">
        <f t="shared" si="12"/>
        <v>477235</v>
      </c>
      <c r="AU41" s="62">
        <f t="shared" si="12"/>
        <v>486241</v>
      </c>
      <c r="AV41" s="62">
        <f t="shared" si="12"/>
        <v>496512</v>
      </c>
      <c r="AW41" s="63">
        <f t="shared" si="12"/>
        <v>505123</v>
      </c>
      <c r="AX41" s="62">
        <f t="shared" si="12"/>
        <v>513405</v>
      </c>
      <c r="AY41" s="62">
        <f t="shared" si="12"/>
        <v>522456</v>
      </c>
      <c r="AZ41" s="62">
        <f t="shared" si="12"/>
        <v>538349</v>
      </c>
      <c r="BA41" s="62">
        <f t="shared" si="12"/>
        <v>546593</v>
      </c>
      <c r="BB41" s="62">
        <f t="shared" si="12"/>
        <v>555651</v>
      </c>
      <c r="BC41" s="62">
        <f t="shared" si="12"/>
        <v>565804</v>
      </c>
      <c r="BD41" s="62">
        <f t="shared" si="12"/>
        <v>577094</v>
      </c>
      <c r="BE41" s="62">
        <f t="shared" si="12"/>
        <v>587910</v>
      </c>
      <c r="BF41" s="62">
        <f t="shared" si="12"/>
        <v>600829</v>
      </c>
      <c r="BG41" s="62">
        <f t="shared" si="12"/>
        <v>614287</v>
      </c>
      <c r="BH41" s="62">
        <f t="shared" si="12"/>
        <v>627016</v>
      </c>
      <c r="BI41" s="63">
        <f t="shared" si="12"/>
        <v>640427</v>
      </c>
      <c r="BJ41" s="62">
        <f t="shared" si="12"/>
        <v>648985</v>
      </c>
      <c r="BK41" s="62">
        <f t="shared" si="12"/>
        <v>659476</v>
      </c>
      <c r="BL41" s="62">
        <f t="shared" si="12"/>
        <v>676359</v>
      </c>
      <c r="BM41" s="62">
        <f t="shared" si="12"/>
        <v>687323</v>
      </c>
      <c r="BN41" s="62">
        <f t="shared" si="12"/>
        <v>698929</v>
      </c>
      <c r="BO41" s="62">
        <f t="shared" ref="BO41:DZ41" si="13">SUM(BO35:BO40)</f>
        <v>715703</v>
      </c>
      <c r="BP41" s="62">
        <f t="shared" si="13"/>
        <v>727397</v>
      </c>
      <c r="BQ41" s="62">
        <f t="shared" si="13"/>
        <v>739050</v>
      </c>
      <c r="BR41" s="62">
        <f t="shared" si="13"/>
        <v>758457</v>
      </c>
      <c r="BS41" s="62">
        <f t="shared" si="13"/>
        <v>775246</v>
      </c>
      <c r="BT41" s="62">
        <f t="shared" si="13"/>
        <v>797029</v>
      </c>
      <c r="BU41" s="63">
        <f t="shared" si="13"/>
        <v>823071</v>
      </c>
      <c r="BV41" s="62">
        <f t="shared" si="13"/>
        <v>838149</v>
      </c>
      <c r="BW41" s="62">
        <f t="shared" si="13"/>
        <v>841465</v>
      </c>
      <c r="BX41" s="62">
        <f t="shared" si="13"/>
        <v>845895</v>
      </c>
      <c r="BY41" s="62">
        <f t="shared" si="13"/>
        <v>849274</v>
      </c>
      <c r="BZ41" s="62">
        <f t="shared" si="13"/>
        <v>852745</v>
      </c>
      <c r="CA41" s="62">
        <f t="shared" si="13"/>
        <v>856871</v>
      </c>
      <c r="CB41" s="62">
        <f t="shared" si="13"/>
        <v>860122</v>
      </c>
      <c r="CC41" s="62">
        <f t="shared" si="13"/>
        <v>863182</v>
      </c>
      <c r="CD41" s="62">
        <f t="shared" si="13"/>
        <v>866994</v>
      </c>
      <c r="CE41" s="62">
        <f t="shared" si="13"/>
        <v>869834</v>
      </c>
      <c r="CF41" s="62">
        <f t="shared" si="13"/>
        <v>873283</v>
      </c>
      <c r="CG41" s="63">
        <f t="shared" si="13"/>
        <v>875883</v>
      </c>
      <c r="CH41" s="62">
        <f t="shared" si="13"/>
        <v>878363</v>
      </c>
      <c r="CI41" s="62">
        <f t="shared" si="13"/>
        <v>881036</v>
      </c>
      <c r="CJ41" s="62">
        <f t="shared" si="13"/>
        <v>884664</v>
      </c>
      <c r="CK41" s="62">
        <f t="shared" si="13"/>
        <v>887079</v>
      </c>
      <c r="CL41" s="62">
        <f t="shared" si="13"/>
        <v>890318</v>
      </c>
      <c r="CM41" s="62">
        <f t="shared" si="13"/>
        <v>893548</v>
      </c>
      <c r="CN41" s="62">
        <f t="shared" si="13"/>
        <v>896405</v>
      </c>
      <c r="CO41" s="62">
        <f t="shared" si="13"/>
        <v>899607</v>
      </c>
      <c r="CP41" s="62">
        <f t="shared" si="13"/>
        <v>902969</v>
      </c>
      <c r="CQ41" s="62">
        <f t="shared" si="13"/>
        <v>906124</v>
      </c>
      <c r="CR41" s="62">
        <f t="shared" si="13"/>
        <v>909877</v>
      </c>
      <c r="CS41" s="63">
        <f t="shared" si="13"/>
        <v>912340</v>
      </c>
      <c r="CT41" s="62">
        <f t="shared" si="13"/>
        <v>915144</v>
      </c>
      <c r="CU41" s="62">
        <f t="shared" si="13"/>
        <v>917867</v>
      </c>
      <c r="CV41" s="62">
        <f t="shared" si="13"/>
        <v>921201</v>
      </c>
      <c r="CW41" s="62">
        <f t="shared" si="13"/>
        <v>924204</v>
      </c>
      <c r="CX41" s="62">
        <f t="shared" si="13"/>
        <v>927570</v>
      </c>
      <c r="CY41" s="62">
        <f t="shared" si="13"/>
        <v>931044</v>
      </c>
      <c r="CZ41" s="62">
        <f t="shared" si="13"/>
        <v>934315</v>
      </c>
      <c r="DA41" s="62">
        <f t="shared" si="13"/>
        <v>938038</v>
      </c>
      <c r="DB41" s="62">
        <f t="shared" si="13"/>
        <v>941897</v>
      </c>
      <c r="DC41" s="62">
        <f t="shared" si="13"/>
        <v>946281</v>
      </c>
      <c r="DD41" s="62">
        <f t="shared" si="13"/>
        <v>951125</v>
      </c>
      <c r="DE41" s="63">
        <f t="shared" si="13"/>
        <v>955160</v>
      </c>
      <c r="DF41" s="62">
        <f t="shared" si="13"/>
        <v>960178</v>
      </c>
      <c r="DG41" s="62">
        <f t="shared" si="13"/>
        <v>966215</v>
      </c>
      <c r="DH41" s="62">
        <f t="shared" si="13"/>
        <v>981257</v>
      </c>
      <c r="DI41" s="62">
        <f t="shared" si="13"/>
        <v>983349</v>
      </c>
      <c r="DJ41" s="62">
        <f t="shared" si="13"/>
        <v>985992</v>
      </c>
      <c r="DK41" s="62">
        <f t="shared" si="13"/>
        <v>988857</v>
      </c>
      <c r="DL41" s="62">
        <f t="shared" si="13"/>
        <v>991776</v>
      </c>
      <c r="DM41" s="62">
        <f t="shared" si="13"/>
        <v>994864</v>
      </c>
      <c r="DN41" s="62">
        <f t="shared" si="13"/>
        <v>998247</v>
      </c>
      <c r="DO41" s="62">
        <f t="shared" si="13"/>
        <v>1001812</v>
      </c>
      <c r="DP41" s="62">
        <f t="shared" si="13"/>
        <v>1005454</v>
      </c>
      <c r="DQ41" s="63">
        <f t="shared" si="13"/>
        <v>1007952</v>
      </c>
      <c r="DR41" s="62">
        <f t="shared" si="13"/>
        <v>1011115</v>
      </c>
      <c r="DS41" s="62">
        <f t="shared" si="13"/>
        <v>1014166</v>
      </c>
      <c r="DT41" s="62">
        <f t="shared" si="13"/>
        <v>1017411</v>
      </c>
      <c r="DU41" s="62">
        <f t="shared" si="13"/>
        <v>1018081</v>
      </c>
      <c r="DV41" s="62">
        <f t="shared" si="13"/>
        <v>1019164</v>
      </c>
      <c r="DW41" s="62">
        <f t="shared" si="13"/>
        <v>1021545</v>
      </c>
      <c r="DX41" s="62">
        <f t="shared" si="13"/>
        <v>1024831</v>
      </c>
      <c r="DY41" s="62">
        <f t="shared" si="13"/>
        <v>1028055</v>
      </c>
      <c r="DZ41" s="62">
        <f t="shared" si="13"/>
        <v>1032162</v>
      </c>
      <c r="EA41" s="62">
        <f t="shared" ref="EA41:GL41" si="14">SUM(EA35:EA40)</f>
        <v>1036140</v>
      </c>
      <c r="EB41" s="62">
        <f t="shared" si="14"/>
        <v>1040474</v>
      </c>
      <c r="EC41" s="63">
        <f t="shared" si="14"/>
        <v>1043624</v>
      </c>
      <c r="ED41" s="62">
        <f t="shared" si="14"/>
        <v>1047265</v>
      </c>
      <c r="EE41" s="62">
        <f t="shared" si="14"/>
        <v>1050836</v>
      </c>
      <c r="EF41" s="62">
        <f t="shared" si="14"/>
        <v>1055797</v>
      </c>
      <c r="EG41" s="62">
        <f t="shared" si="14"/>
        <v>1060770</v>
      </c>
      <c r="EH41" s="62">
        <f t="shared" si="14"/>
        <v>1065790</v>
      </c>
      <c r="EI41" s="62">
        <f t="shared" si="14"/>
        <v>1070986</v>
      </c>
      <c r="EJ41" s="62">
        <f t="shared" si="14"/>
        <v>1075865</v>
      </c>
      <c r="EK41" s="62">
        <f t="shared" si="14"/>
        <v>1080908</v>
      </c>
      <c r="EL41" s="62">
        <f t="shared" si="14"/>
        <v>1086780</v>
      </c>
      <c r="EM41" s="62">
        <f t="shared" si="14"/>
        <v>1092339</v>
      </c>
      <c r="EN41" s="62">
        <f t="shared" si="14"/>
        <v>1099374</v>
      </c>
      <c r="EO41" s="63">
        <f t="shared" si="14"/>
        <v>1104516</v>
      </c>
      <c r="EP41" s="62">
        <f t="shared" si="14"/>
        <v>1110570</v>
      </c>
      <c r="EQ41" s="62">
        <f t="shared" si="14"/>
        <v>1118067</v>
      </c>
      <c r="ER41" s="62">
        <f t="shared" si="14"/>
        <v>1128134</v>
      </c>
      <c r="ES41" s="62">
        <f t="shared" si="14"/>
        <v>1137951</v>
      </c>
      <c r="ET41" s="62">
        <f t="shared" si="14"/>
        <v>1149050</v>
      </c>
      <c r="EU41" s="62">
        <f t="shared" si="14"/>
        <v>1160492</v>
      </c>
      <c r="EV41" s="62">
        <f t="shared" si="14"/>
        <v>1171692</v>
      </c>
      <c r="EW41" s="62">
        <f t="shared" si="14"/>
        <v>1184073</v>
      </c>
      <c r="EX41" s="62">
        <f t="shared" si="14"/>
        <v>1198575</v>
      </c>
      <c r="EY41" s="62">
        <f t="shared" si="14"/>
        <v>1212834</v>
      </c>
      <c r="EZ41" s="62">
        <f t="shared" si="14"/>
        <v>1229115</v>
      </c>
      <c r="FA41" s="63">
        <f t="shared" si="14"/>
        <v>1241462</v>
      </c>
      <c r="FB41" s="62">
        <f t="shared" si="14"/>
        <v>1257958</v>
      </c>
      <c r="FC41" s="62">
        <f t="shared" si="14"/>
        <v>1275659</v>
      </c>
      <c r="FD41" s="62">
        <f t="shared" si="14"/>
        <v>1295826</v>
      </c>
      <c r="FE41" s="62">
        <f t="shared" si="14"/>
        <v>1311932</v>
      </c>
      <c r="FF41" s="62">
        <f t="shared" si="14"/>
        <v>1330099</v>
      </c>
      <c r="FG41" s="62">
        <f t="shared" si="14"/>
        <v>1348710</v>
      </c>
      <c r="FH41" s="62">
        <f t="shared" si="14"/>
        <v>1364599</v>
      </c>
      <c r="FI41" s="62">
        <f t="shared" si="14"/>
        <v>1380680</v>
      </c>
      <c r="FJ41" s="62">
        <f t="shared" si="14"/>
        <v>1396479</v>
      </c>
      <c r="FK41" s="158">
        <f t="shared" si="14"/>
        <v>1412077</v>
      </c>
      <c r="FL41" s="158">
        <f t="shared" si="14"/>
        <v>1428161</v>
      </c>
      <c r="FM41" s="158">
        <f t="shared" si="14"/>
        <v>1438392</v>
      </c>
      <c r="FN41" s="122">
        <f t="shared" si="14"/>
        <v>1451670</v>
      </c>
      <c r="FO41" s="158">
        <f t="shared" si="14"/>
        <v>1465630</v>
      </c>
      <c r="FP41" s="158">
        <f t="shared" si="14"/>
        <v>1480747</v>
      </c>
      <c r="FQ41" s="158">
        <f t="shared" si="14"/>
        <v>1496183</v>
      </c>
      <c r="FR41" s="158">
        <f t="shared" si="14"/>
        <v>1512376</v>
      </c>
      <c r="FS41" s="158">
        <f t="shared" si="14"/>
        <v>1528095</v>
      </c>
      <c r="FT41" s="158">
        <f t="shared" si="14"/>
        <v>1544519</v>
      </c>
      <c r="FU41" s="158">
        <f t="shared" si="14"/>
        <v>1560064</v>
      </c>
      <c r="FV41" s="158">
        <f t="shared" si="14"/>
        <v>1577178</v>
      </c>
      <c r="FW41" s="158">
        <f t="shared" si="14"/>
        <v>1597157</v>
      </c>
      <c r="FX41" s="158">
        <f t="shared" si="14"/>
        <v>1618222</v>
      </c>
      <c r="FY41" s="198">
        <f t="shared" si="14"/>
        <v>1632367</v>
      </c>
      <c r="FZ41" s="158">
        <f t="shared" si="14"/>
        <v>1649981</v>
      </c>
      <c r="GA41" s="158">
        <f t="shared" si="14"/>
        <v>1670418</v>
      </c>
      <c r="GB41" s="158">
        <f t="shared" si="14"/>
        <v>1695076</v>
      </c>
      <c r="GC41" s="158">
        <f t="shared" si="14"/>
        <v>1715524</v>
      </c>
      <c r="GD41" s="158">
        <f t="shared" si="14"/>
        <v>1738715</v>
      </c>
      <c r="GE41" s="158">
        <f t="shared" si="14"/>
        <v>1762389</v>
      </c>
      <c r="GF41" s="158">
        <f t="shared" si="14"/>
        <v>1785351</v>
      </c>
      <c r="GG41" s="158">
        <f t="shared" si="14"/>
        <v>1805812</v>
      </c>
      <c r="GH41" s="158">
        <f t="shared" si="14"/>
        <v>1829820</v>
      </c>
      <c r="GI41" s="158">
        <f t="shared" si="14"/>
        <v>1856069</v>
      </c>
      <c r="GJ41" s="158">
        <f t="shared" si="14"/>
        <v>1879973</v>
      </c>
      <c r="GK41" s="198">
        <f t="shared" si="14"/>
        <v>1898393</v>
      </c>
      <c r="GL41" s="158">
        <f t="shared" si="14"/>
        <v>1917995</v>
      </c>
      <c r="GM41" s="158">
        <f t="shared" ref="GM41:GN41" si="15">SUM(GM35:GM40)</f>
        <v>1940756</v>
      </c>
      <c r="GN41" s="158">
        <f t="shared" si="15"/>
        <v>1968035</v>
      </c>
    </row>
    <row r="42" spans="1:196" s="25" customFormat="1" ht="20.149999999999999" customHeight="1" thickTop="1" x14ac:dyDescent="0.35">
      <c r="A42" s="26" t="s">
        <v>268</v>
      </c>
      <c r="B42" s="55"/>
      <c r="C42" s="55"/>
      <c r="D42" s="55"/>
      <c r="E42" s="55"/>
      <c r="F42" s="55"/>
      <c r="G42" s="55"/>
      <c r="H42" s="55"/>
      <c r="I42" s="55"/>
      <c r="J42" s="55"/>
      <c r="K42" s="55"/>
      <c r="L42" s="55"/>
      <c r="M42" s="56"/>
      <c r="N42" s="57"/>
      <c r="O42" s="55"/>
      <c r="P42" s="55"/>
      <c r="Q42" s="55"/>
      <c r="R42" s="55"/>
      <c r="S42" s="55"/>
      <c r="T42" s="55"/>
      <c r="U42" s="55"/>
      <c r="V42" s="55"/>
      <c r="W42" s="55"/>
      <c r="X42" s="55"/>
      <c r="Y42" s="56"/>
      <c r="Z42" s="57"/>
      <c r="AA42" s="55"/>
      <c r="AB42" s="55"/>
      <c r="AC42" s="55"/>
      <c r="AD42" s="55"/>
      <c r="AE42" s="55"/>
      <c r="AF42" s="55"/>
      <c r="AG42" s="55"/>
      <c r="AH42" s="55"/>
      <c r="AI42" s="55"/>
      <c r="AJ42" s="55"/>
      <c r="AK42" s="56"/>
      <c r="AL42" s="57"/>
      <c r="AM42" s="55"/>
      <c r="AN42" s="55"/>
      <c r="AO42" s="55"/>
      <c r="AP42" s="55"/>
      <c r="AQ42" s="55"/>
      <c r="AR42" s="55"/>
      <c r="AS42" s="55"/>
      <c r="AT42" s="55"/>
      <c r="AU42" s="55"/>
      <c r="AV42" s="55"/>
      <c r="AW42" s="56"/>
      <c r="AX42" s="55"/>
      <c r="AY42" s="55"/>
      <c r="AZ42" s="55"/>
      <c r="BA42" s="55"/>
      <c r="BB42" s="55"/>
      <c r="BC42" s="55"/>
      <c r="BD42" s="55"/>
      <c r="BE42" s="55"/>
      <c r="BF42" s="55"/>
      <c r="BG42" s="55"/>
      <c r="BH42" s="55"/>
      <c r="BI42" s="56"/>
      <c r="BJ42" s="55"/>
      <c r="BK42" s="55"/>
      <c r="BL42" s="55"/>
      <c r="BM42" s="55"/>
      <c r="BN42" s="55"/>
      <c r="BO42" s="55"/>
      <c r="BP42" s="55"/>
      <c r="BQ42" s="55"/>
      <c r="BR42" s="55"/>
      <c r="BS42" s="55"/>
      <c r="BT42" s="55"/>
      <c r="BU42" s="56"/>
      <c r="BV42" s="55"/>
      <c r="BW42" s="55"/>
      <c r="BX42" s="55"/>
      <c r="BY42" s="55"/>
      <c r="BZ42" s="55"/>
      <c r="CA42" s="55"/>
      <c r="CB42" s="55"/>
      <c r="CC42" s="55"/>
      <c r="CD42" s="55"/>
      <c r="CE42" s="55"/>
      <c r="CF42" s="55"/>
      <c r="CG42" s="56"/>
      <c r="CH42" s="55"/>
      <c r="CI42" s="55"/>
      <c r="CJ42" s="55"/>
      <c r="CK42" s="55"/>
      <c r="CL42" s="55"/>
      <c r="CM42" s="55"/>
      <c r="CN42" s="55"/>
      <c r="CO42" s="55"/>
      <c r="CP42" s="55"/>
      <c r="CQ42" s="55"/>
      <c r="CR42" s="55"/>
      <c r="CS42" s="56"/>
      <c r="CT42" s="55"/>
      <c r="CU42" s="55"/>
      <c r="CV42" s="55"/>
      <c r="CW42" s="55"/>
      <c r="CX42" s="55"/>
      <c r="CY42" s="55"/>
      <c r="CZ42" s="55"/>
      <c r="DA42" s="55"/>
      <c r="DB42" s="55"/>
      <c r="DC42" s="55"/>
      <c r="DD42" s="55"/>
      <c r="DE42" s="56"/>
      <c r="DF42" s="55"/>
      <c r="DG42" s="55"/>
      <c r="DH42" s="55"/>
      <c r="DI42" s="55"/>
      <c r="DJ42" s="55"/>
      <c r="DK42" s="55"/>
      <c r="DL42" s="55"/>
      <c r="DM42" s="55"/>
      <c r="DN42" s="55"/>
      <c r="DO42" s="55"/>
      <c r="DP42" s="55"/>
      <c r="DQ42" s="56"/>
      <c r="DR42" s="55"/>
      <c r="DS42" s="55"/>
      <c r="DT42" s="55"/>
      <c r="DU42" s="55"/>
      <c r="DV42" s="55"/>
      <c r="DW42" s="55"/>
      <c r="DX42" s="55"/>
      <c r="DY42" s="55"/>
      <c r="DZ42" s="55"/>
      <c r="EA42" s="55"/>
      <c r="EB42" s="55"/>
      <c r="EC42" s="56"/>
      <c r="ED42" s="55"/>
      <c r="EE42" s="55"/>
      <c r="EF42" s="55"/>
      <c r="EG42" s="55"/>
      <c r="EH42" s="55"/>
      <c r="EI42" s="55"/>
      <c r="EJ42" s="55"/>
      <c r="EK42" s="55"/>
      <c r="EL42" s="55"/>
      <c r="EM42" s="55"/>
      <c r="EN42" s="55"/>
      <c r="EO42" s="56"/>
      <c r="EP42" s="55"/>
      <c r="EQ42" s="55"/>
      <c r="ER42" s="55"/>
      <c r="ES42" s="55"/>
      <c r="ET42" s="55"/>
      <c r="EU42" s="55"/>
      <c r="EV42" s="55"/>
      <c r="EW42" s="55"/>
      <c r="EX42" s="55"/>
      <c r="EY42" s="123"/>
      <c r="EZ42" s="123"/>
      <c r="FA42" s="56"/>
      <c r="FB42" s="123"/>
      <c r="FC42" s="123"/>
      <c r="FD42" s="123"/>
      <c r="FE42" s="123"/>
      <c r="FF42" s="123"/>
      <c r="FG42" s="123"/>
      <c r="FH42" s="123"/>
      <c r="FI42" s="123"/>
      <c r="FJ42" s="38"/>
      <c r="FK42" s="38"/>
      <c r="FL42" s="38"/>
      <c r="FM42" s="38"/>
      <c r="FN42" s="167"/>
      <c r="FO42" s="38"/>
      <c r="FP42" s="38"/>
      <c r="FQ42" s="38"/>
      <c r="FR42" s="38"/>
      <c r="FS42" s="38"/>
      <c r="FT42" s="38"/>
      <c r="FU42" s="39"/>
      <c r="FV42" s="39"/>
      <c r="FW42" s="39"/>
      <c r="FX42" s="39"/>
      <c r="FY42" s="197"/>
      <c r="FZ42" s="39"/>
      <c r="GA42" s="39"/>
      <c r="GB42" s="39"/>
      <c r="GC42" s="39"/>
      <c r="GD42" s="39"/>
      <c r="GE42" s="39"/>
      <c r="GF42" s="39"/>
      <c r="GG42" s="39"/>
      <c r="GH42" s="39"/>
      <c r="GI42" s="39"/>
      <c r="GJ42" s="39"/>
      <c r="GK42" s="197"/>
      <c r="GL42" s="39"/>
      <c r="GM42" s="39"/>
      <c r="GN42" s="39"/>
    </row>
    <row r="43" spans="1:196" s="30" customFormat="1" ht="20.149999999999999" customHeight="1" x14ac:dyDescent="0.35">
      <c r="A43" s="31" t="s">
        <v>1623</v>
      </c>
      <c r="B43" s="55">
        <v>136</v>
      </c>
      <c r="C43" s="55">
        <v>136</v>
      </c>
      <c r="D43" s="55">
        <v>143</v>
      </c>
      <c r="E43" s="55">
        <v>156</v>
      </c>
      <c r="F43" s="55">
        <v>158</v>
      </c>
      <c r="G43" s="55">
        <v>173</v>
      </c>
      <c r="H43" s="55">
        <v>175</v>
      </c>
      <c r="I43" s="55">
        <v>177</v>
      </c>
      <c r="J43" s="55">
        <v>178</v>
      </c>
      <c r="K43" s="55">
        <v>182</v>
      </c>
      <c r="L43" s="55">
        <v>201</v>
      </c>
      <c r="M43" s="56">
        <v>206</v>
      </c>
      <c r="N43" s="57">
        <v>206</v>
      </c>
      <c r="O43" s="55">
        <v>207</v>
      </c>
      <c r="P43" s="55">
        <v>217</v>
      </c>
      <c r="Q43" s="55">
        <v>219</v>
      </c>
      <c r="R43" s="55">
        <v>227</v>
      </c>
      <c r="S43" s="55">
        <v>229</v>
      </c>
      <c r="T43" s="55">
        <v>230</v>
      </c>
      <c r="U43" s="55">
        <v>236</v>
      </c>
      <c r="V43" s="55">
        <v>259</v>
      </c>
      <c r="W43" s="55">
        <v>273</v>
      </c>
      <c r="X43" s="55">
        <v>299</v>
      </c>
      <c r="Y43" s="56">
        <v>317</v>
      </c>
      <c r="Z43" s="57">
        <v>379</v>
      </c>
      <c r="AA43" s="55">
        <v>394</v>
      </c>
      <c r="AB43" s="55">
        <v>441</v>
      </c>
      <c r="AC43" s="55">
        <v>453</v>
      </c>
      <c r="AD43" s="55">
        <v>465</v>
      </c>
      <c r="AE43" s="55">
        <v>472</v>
      </c>
      <c r="AF43" s="55">
        <v>500</v>
      </c>
      <c r="AG43" s="55">
        <v>570</v>
      </c>
      <c r="AH43" s="55">
        <v>671</v>
      </c>
      <c r="AI43" s="55">
        <v>729</v>
      </c>
      <c r="AJ43" s="55">
        <v>784</v>
      </c>
      <c r="AK43" s="56">
        <v>826</v>
      </c>
      <c r="AL43" s="57">
        <v>925</v>
      </c>
      <c r="AM43" s="55">
        <v>1011</v>
      </c>
      <c r="AN43" s="55">
        <v>1060</v>
      </c>
      <c r="AO43" s="55">
        <v>1093</v>
      </c>
      <c r="AP43" s="55">
        <v>1166</v>
      </c>
      <c r="AQ43" s="55">
        <v>1196</v>
      </c>
      <c r="AR43" s="55">
        <v>1261</v>
      </c>
      <c r="AS43" s="55">
        <v>1392</v>
      </c>
      <c r="AT43" s="55">
        <v>1501</v>
      </c>
      <c r="AU43" s="55">
        <v>1604</v>
      </c>
      <c r="AV43" s="55">
        <v>1688</v>
      </c>
      <c r="AW43" s="56">
        <v>1833</v>
      </c>
      <c r="AX43" s="55">
        <v>1893</v>
      </c>
      <c r="AY43" s="55">
        <v>1979</v>
      </c>
      <c r="AZ43" s="55">
        <v>2095</v>
      </c>
      <c r="BA43" s="55">
        <v>2219</v>
      </c>
      <c r="BB43" s="55">
        <v>2392</v>
      </c>
      <c r="BC43" s="55">
        <v>2585</v>
      </c>
      <c r="BD43" s="55">
        <v>2784</v>
      </c>
      <c r="BE43" s="55">
        <v>3002</v>
      </c>
      <c r="BF43" s="55">
        <v>3196</v>
      </c>
      <c r="BG43" s="55">
        <v>3371</v>
      </c>
      <c r="BH43" s="55">
        <v>3598</v>
      </c>
      <c r="BI43" s="56">
        <v>3738</v>
      </c>
      <c r="BJ43" s="55">
        <v>3860</v>
      </c>
      <c r="BK43" s="55">
        <v>3987</v>
      </c>
      <c r="BL43" s="55">
        <v>4109</v>
      </c>
      <c r="BM43" s="55">
        <v>4225</v>
      </c>
      <c r="BN43" s="55">
        <v>4379</v>
      </c>
      <c r="BO43" s="55">
        <v>4542</v>
      </c>
      <c r="BP43" s="55">
        <v>4720</v>
      </c>
      <c r="BQ43" s="55">
        <v>4962</v>
      </c>
      <c r="BR43" s="55">
        <v>5331</v>
      </c>
      <c r="BS43" s="55">
        <v>5505</v>
      </c>
      <c r="BT43" s="55">
        <v>5727</v>
      </c>
      <c r="BU43" s="56">
        <v>5958</v>
      </c>
      <c r="BV43" s="55">
        <v>6215</v>
      </c>
      <c r="BW43" s="55">
        <v>6478</v>
      </c>
      <c r="BX43" s="55">
        <v>6761</v>
      </c>
      <c r="BY43" s="55">
        <v>6966</v>
      </c>
      <c r="BZ43" s="55">
        <v>7035</v>
      </c>
      <c r="CA43" s="55">
        <v>7120</v>
      </c>
      <c r="CB43" s="55">
        <v>7227</v>
      </c>
      <c r="CC43" s="55">
        <v>7332</v>
      </c>
      <c r="CD43" s="55">
        <v>7847</v>
      </c>
      <c r="CE43" s="55">
        <v>7874</v>
      </c>
      <c r="CF43" s="55">
        <v>7908</v>
      </c>
      <c r="CG43" s="56">
        <v>7922</v>
      </c>
      <c r="CH43" s="55">
        <v>7953</v>
      </c>
      <c r="CI43" s="55">
        <v>8073</v>
      </c>
      <c r="CJ43" s="55">
        <v>8313</v>
      </c>
      <c r="CK43" s="55">
        <v>8323</v>
      </c>
      <c r="CL43" s="55">
        <v>8345</v>
      </c>
      <c r="CM43" s="55">
        <v>8404</v>
      </c>
      <c r="CN43" s="55">
        <v>8413</v>
      </c>
      <c r="CO43" s="55">
        <v>8431</v>
      </c>
      <c r="CP43" s="55">
        <v>8458</v>
      </c>
      <c r="CQ43" s="55">
        <v>8490</v>
      </c>
      <c r="CR43" s="55">
        <v>8538</v>
      </c>
      <c r="CS43" s="56">
        <v>8547</v>
      </c>
      <c r="CT43" s="55">
        <v>8562</v>
      </c>
      <c r="CU43" s="55">
        <v>8591</v>
      </c>
      <c r="CV43" s="55">
        <v>8623</v>
      </c>
      <c r="CW43" s="55">
        <v>8641</v>
      </c>
      <c r="CX43" s="55">
        <v>8649</v>
      </c>
      <c r="CY43" s="55">
        <v>8664</v>
      </c>
      <c r="CZ43" s="55">
        <v>8671</v>
      </c>
      <c r="DA43" s="55">
        <v>8700</v>
      </c>
      <c r="DB43" s="55">
        <v>8702</v>
      </c>
      <c r="DC43" s="55">
        <v>8781</v>
      </c>
      <c r="DD43" s="55">
        <v>8824</v>
      </c>
      <c r="DE43" s="56">
        <v>8827</v>
      </c>
      <c r="DF43" s="55">
        <v>8889</v>
      </c>
      <c r="DG43" s="55">
        <v>8933</v>
      </c>
      <c r="DH43" s="55">
        <v>8941</v>
      </c>
      <c r="DI43" s="55">
        <v>8965</v>
      </c>
      <c r="DJ43" s="55">
        <v>8984</v>
      </c>
      <c r="DK43" s="55">
        <v>9021</v>
      </c>
      <c r="DL43" s="55">
        <v>9047</v>
      </c>
      <c r="DM43" s="55">
        <v>9070</v>
      </c>
      <c r="DN43" s="55">
        <v>9103</v>
      </c>
      <c r="DO43" s="55">
        <v>9115</v>
      </c>
      <c r="DP43" s="55">
        <v>9133</v>
      </c>
      <c r="DQ43" s="56">
        <v>9135</v>
      </c>
      <c r="DR43" s="55">
        <v>9143</v>
      </c>
      <c r="DS43" s="55">
        <v>9151</v>
      </c>
      <c r="DT43" s="55">
        <v>9168</v>
      </c>
      <c r="DU43" s="55">
        <v>9168</v>
      </c>
      <c r="DV43" s="55">
        <v>9169</v>
      </c>
      <c r="DW43" s="55">
        <v>9194</v>
      </c>
      <c r="DX43" s="55">
        <v>9195</v>
      </c>
      <c r="DY43" s="55">
        <v>9237</v>
      </c>
      <c r="DZ43" s="55">
        <v>9255</v>
      </c>
      <c r="EA43" s="55">
        <v>9278</v>
      </c>
      <c r="EB43" s="55">
        <v>9284</v>
      </c>
      <c r="EC43" s="56">
        <v>9284</v>
      </c>
      <c r="ED43" s="55">
        <v>9321</v>
      </c>
      <c r="EE43" s="55">
        <v>9325</v>
      </c>
      <c r="EF43" s="55">
        <v>9342</v>
      </c>
      <c r="EG43" s="55">
        <v>9349</v>
      </c>
      <c r="EH43" s="55">
        <v>9366</v>
      </c>
      <c r="EI43" s="55">
        <v>9397</v>
      </c>
      <c r="EJ43" s="55">
        <v>9410</v>
      </c>
      <c r="EK43" s="55">
        <v>9441</v>
      </c>
      <c r="EL43" s="55">
        <v>9492</v>
      </c>
      <c r="EM43" s="55">
        <v>9529</v>
      </c>
      <c r="EN43" s="55">
        <v>9567</v>
      </c>
      <c r="EO43" s="56">
        <v>9578</v>
      </c>
      <c r="EP43" s="55">
        <v>9605</v>
      </c>
      <c r="EQ43" s="55">
        <v>9637</v>
      </c>
      <c r="ER43" s="55">
        <v>9651</v>
      </c>
      <c r="ES43" s="55">
        <v>9657</v>
      </c>
      <c r="ET43" s="55">
        <v>9694</v>
      </c>
      <c r="EU43" s="55">
        <v>9706</v>
      </c>
      <c r="EV43" s="55">
        <v>9724</v>
      </c>
      <c r="EW43" s="55">
        <v>9755</v>
      </c>
      <c r="EX43" s="55">
        <v>9782</v>
      </c>
      <c r="EY43" s="55">
        <v>9804</v>
      </c>
      <c r="EZ43" s="55">
        <v>9830</v>
      </c>
      <c r="FA43" s="56">
        <v>9844</v>
      </c>
      <c r="FB43" s="55">
        <v>9860</v>
      </c>
      <c r="FC43" s="55">
        <v>9880</v>
      </c>
      <c r="FD43" s="55">
        <v>9902</v>
      </c>
      <c r="FE43" s="55">
        <v>9913</v>
      </c>
      <c r="FF43" s="55">
        <v>9927</v>
      </c>
      <c r="FG43" s="55">
        <v>9939</v>
      </c>
      <c r="FH43" s="55">
        <v>9958</v>
      </c>
      <c r="FI43" s="55">
        <v>9988</v>
      </c>
      <c r="FJ43" s="39">
        <v>10027</v>
      </c>
      <c r="FK43" s="39">
        <v>10069</v>
      </c>
      <c r="FL43" s="39">
        <v>10092</v>
      </c>
      <c r="FM43" s="39">
        <v>10101</v>
      </c>
      <c r="FN43" s="77">
        <v>10115</v>
      </c>
      <c r="FO43" s="39">
        <v>10184</v>
      </c>
      <c r="FP43" s="39">
        <v>10198</v>
      </c>
      <c r="FQ43" s="39">
        <v>10271</v>
      </c>
      <c r="FR43" s="39">
        <v>10318</v>
      </c>
      <c r="FS43" s="39">
        <v>10404</v>
      </c>
      <c r="FT43" s="39">
        <v>10448</v>
      </c>
      <c r="FU43" s="38">
        <v>10514</v>
      </c>
      <c r="FV43" s="38">
        <v>10580</v>
      </c>
      <c r="FW43" s="38">
        <v>10695</v>
      </c>
      <c r="FX43" s="38">
        <v>10819</v>
      </c>
      <c r="FY43" s="196">
        <v>10852</v>
      </c>
      <c r="FZ43" s="38">
        <v>10893</v>
      </c>
      <c r="GA43" s="38">
        <v>10963</v>
      </c>
      <c r="GB43" s="38">
        <v>11043</v>
      </c>
      <c r="GC43" s="38">
        <v>11106</v>
      </c>
      <c r="GD43" s="38">
        <v>11250</v>
      </c>
      <c r="GE43" s="38">
        <v>11353</v>
      </c>
      <c r="GF43" s="38">
        <v>11418</v>
      </c>
      <c r="GG43" s="38">
        <v>11496</v>
      </c>
      <c r="GH43" s="38">
        <v>11537</v>
      </c>
      <c r="GI43" s="38">
        <v>11640</v>
      </c>
      <c r="GJ43" s="38">
        <v>11784</v>
      </c>
      <c r="GK43" s="196">
        <v>11832</v>
      </c>
      <c r="GL43" s="38">
        <v>11914</v>
      </c>
      <c r="GM43" s="38">
        <v>12144</v>
      </c>
      <c r="GN43" s="38">
        <v>12260</v>
      </c>
    </row>
    <row r="44" spans="1:196" s="1" customFormat="1" ht="20.149999999999999" customHeight="1" x14ac:dyDescent="0.35">
      <c r="A44" s="31" t="s">
        <v>1626</v>
      </c>
      <c r="B44" s="55">
        <v>100</v>
      </c>
      <c r="C44" s="55">
        <v>100</v>
      </c>
      <c r="D44" s="55">
        <v>100</v>
      </c>
      <c r="E44" s="55">
        <v>100</v>
      </c>
      <c r="F44" s="55">
        <v>100</v>
      </c>
      <c r="G44" s="55">
        <v>100</v>
      </c>
      <c r="H44" s="55">
        <v>100</v>
      </c>
      <c r="I44" s="55">
        <v>100</v>
      </c>
      <c r="J44" s="55">
        <v>100</v>
      </c>
      <c r="K44" s="55">
        <v>101</v>
      </c>
      <c r="L44" s="55">
        <v>101</v>
      </c>
      <c r="M44" s="56">
        <v>102</v>
      </c>
      <c r="N44" s="57">
        <v>102</v>
      </c>
      <c r="O44" s="55">
        <v>103</v>
      </c>
      <c r="P44" s="55">
        <v>104</v>
      </c>
      <c r="Q44" s="55">
        <v>105</v>
      </c>
      <c r="R44" s="55">
        <v>110</v>
      </c>
      <c r="S44" s="55">
        <v>116</v>
      </c>
      <c r="T44" s="55">
        <v>119</v>
      </c>
      <c r="U44" s="55">
        <v>122</v>
      </c>
      <c r="V44" s="55">
        <v>125</v>
      </c>
      <c r="W44" s="55">
        <v>134</v>
      </c>
      <c r="X44" s="55">
        <v>144</v>
      </c>
      <c r="Y44" s="56">
        <v>163</v>
      </c>
      <c r="Z44" s="57">
        <v>182</v>
      </c>
      <c r="AA44" s="55">
        <v>187</v>
      </c>
      <c r="AB44" s="55">
        <v>194</v>
      </c>
      <c r="AC44" s="55">
        <v>203</v>
      </c>
      <c r="AD44" s="55">
        <v>215</v>
      </c>
      <c r="AE44" s="55">
        <v>220</v>
      </c>
      <c r="AF44" s="55">
        <v>235</v>
      </c>
      <c r="AG44" s="55">
        <v>276</v>
      </c>
      <c r="AH44" s="55">
        <v>321</v>
      </c>
      <c r="AI44" s="55">
        <v>406</v>
      </c>
      <c r="AJ44" s="55">
        <v>499</v>
      </c>
      <c r="AK44" s="56">
        <v>577</v>
      </c>
      <c r="AL44" s="57">
        <v>678</v>
      </c>
      <c r="AM44" s="55">
        <v>766</v>
      </c>
      <c r="AN44" s="55">
        <v>889</v>
      </c>
      <c r="AO44" s="55">
        <v>1007</v>
      </c>
      <c r="AP44" s="55">
        <v>1142</v>
      </c>
      <c r="AQ44" s="55">
        <v>1273</v>
      </c>
      <c r="AR44" s="55">
        <v>1482</v>
      </c>
      <c r="AS44" s="55">
        <v>1771</v>
      </c>
      <c r="AT44" s="55">
        <v>2141</v>
      </c>
      <c r="AU44" s="55">
        <v>2463</v>
      </c>
      <c r="AV44" s="55">
        <v>2830</v>
      </c>
      <c r="AW44" s="56">
        <v>3099</v>
      </c>
      <c r="AX44" s="55">
        <v>3452</v>
      </c>
      <c r="AY44" s="55">
        <v>4457</v>
      </c>
      <c r="AZ44" s="55">
        <v>4699</v>
      </c>
      <c r="BA44" s="55">
        <v>4937</v>
      </c>
      <c r="BB44" s="55">
        <v>5212</v>
      </c>
      <c r="BC44" s="55">
        <v>5505</v>
      </c>
      <c r="BD44" s="55">
        <v>5757</v>
      </c>
      <c r="BE44" s="55">
        <v>6036</v>
      </c>
      <c r="BF44" s="55">
        <v>6373</v>
      </c>
      <c r="BG44" s="55">
        <v>6712</v>
      </c>
      <c r="BH44" s="55">
        <v>7007</v>
      </c>
      <c r="BI44" s="56">
        <v>7249</v>
      </c>
      <c r="BJ44" s="55">
        <v>7466</v>
      </c>
      <c r="BK44" s="55">
        <v>7725</v>
      </c>
      <c r="BL44" s="55">
        <v>7982</v>
      </c>
      <c r="BM44" s="55">
        <v>8249</v>
      </c>
      <c r="BN44" s="55">
        <v>8521</v>
      </c>
      <c r="BO44" s="55">
        <v>8796</v>
      </c>
      <c r="BP44" s="55">
        <v>9070</v>
      </c>
      <c r="BQ44" s="55">
        <v>9530</v>
      </c>
      <c r="BR44" s="55">
        <v>10501</v>
      </c>
      <c r="BS44" s="55">
        <v>10637</v>
      </c>
      <c r="BT44" s="55">
        <v>10766</v>
      </c>
      <c r="BU44" s="56">
        <v>10874</v>
      </c>
      <c r="BV44" s="55">
        <v>10997</v>
      </c>
      <c r="BW44" s="55">
        <v>11101</v>
      </c>
      <c r="BX44" s="55">
        <v>11233</v>
      </c>
      <c r="BY44" s="55">
        <v>11375</v>
      </c>
      <c r="BZ44" s="55">
        <v>11528</v>
      </c>
      <c r="CA44" s="55">
        <v>11708</v>
      </c>
      <c r="CB44" s="55">
        <v>11838</v>
      </c>
      <c r="CC44" s="55">
        <v>12052</v>
      </c>
      <c r="CD44" s="55">
        <v>12488</v>
      </c>
      <c r="CE44" s="55">
        <v>12500</v>
      </c>
      <c r="CF44" s="55">
        <v>12531</v>
      </c>
      <c r="CG44" s="56">
        <v>12561</v>
      </c>
      <c r="CH44" s="55">
        <v>12581</v>
      </c>
      <c r="CI44" s="55">
        <v>12618</v>
      </c>
      <c r="CJ44" s="55">
        <v>12736</v>
      </c>
      <c r="CK44" s="55">
        <v>12739</v>
      </c>
      <c r="CL44" s="55">
        <v>12740</v>
      </c>
      <c r="CM44" s="55">
        <v>12740</v>
      </c>
      <c r="CN44" s="55">
        <v>12741</v>
      </c>
      <c r="CO44" s="55">
        <v>12746</v>
      </c>
      <c r="CP44" s="55">
        <v>12749</v>
      </c>
      <c r="CQ44" s="55">
        <v>12749</v>
      </c>
      <c r="CR44" s="55">
        <v>12752</v>
      </c>
      <c r="CS44" s="56">
        <v>12753</v>
      </c>
      <c r="CT44" s="55">
        <v>12755</v>
      </c>
      <c r="CU44" s="55">
        <v>12766</v>
      </c>
      <c r="CV44" s="55">
        <v>12779</v>
      </c>
      <c r="CW44" s="55">
        <v>12791</v>
      </c>
      <c r="CX44" s="55">
        <v>12798</v>
      </c>
      <c r="CY44" s="55">
        <v>12806</v>
      </c>
      <c r="CZ44" s="55">
        <v>12816</v>
      </c>
      <c r="DA44" s="55">
        <v>12827</v>
      </c>
      <c r="DB44" s="55">
        <v>12833</v>
      </c>
      <c r="DC44" s="55">
        <v>12835</v>
      </c>
      <c r="DD44" s="55">
        <v>12838</v>
      </c>
      <c r="DE44" s="56">
        <v>12844</v>
      </c>
      <c r="DF44" s="55">
        <v>12849</v>
      </c>
      <c r="DG44" s="55">
        <v>12856</v>
      </c>
      <c r="DH44" s="55">
        <v>12861</v>
      </c>
      <c r="DI44" s="55">
        <v>12863</v>
      </c>
      <c r="DJ44" s="55">
        <v>12866</v>
      </c>
      <c r="DK44" s="55">
        <v>12872</v>
      </c>
      <c r="DL44" s="55">
        <v>12878</v>
      </c>
      <c r="DM44" s="55">
        <v>12882</v>
      </c>
      <c r="DN44" s="55">
        <v>12889</v>
      </c>
      <c r="DO44" s="55">
        <v>12892</v>
      </c>
      <c r="DP44" s="55">
        <v>12894</v>
      </c>
      <c r="DQ44" s="56">
        <v>12897</v>
      </c>
      <c r="DR44" s="55">
        <v>12904</v>
      </c>
      <c r="DS44" s="55">
        <v>12915</v>
      </c>
      <c r="DT44" s="55">
        <v>12921</v>
      </c>
      <c r="DU44" s="55">
        <v>12922</v>
      </c>
      <c r="DV44" s="55">
        <v>12922</v>
      </c>
      <c r="DW44" s="55">
        <v>12933</v>
      </c>
      <c r="DX44" s="55">
        <v>12945</v>
      </c>
      <c r="DY44" s="55">
        <v>12953</v>
      </c>
      <c r="DZ44" s="55">
        <v>12964</v>
      </c>
      <c r="EA44" s="55">
        <v>12967</v>
      </c>
      <c r="EB44" s="55">
        <v>12979</v>
      </c>
      <c r="EC44" s="56">
        <v>12984</v>
      </c>
      <c r="ED44" s="55">
        <v>12990</v>
      </c>
      <c r="EE44" s="55">
        <v>13000</v>
      </c>
      <c r="EF44" s="55">
        <v>13015</v>
      </c>
      <c r="EG44" s="55">
        <v>13034</v>
      </c>
      <c r="EH44" s="55">
        <v>13067</v>
      </c>
      <c r="EI44" s="55">
        <v>13099</v>
      </c>
      <c r="EJ44" s="55">
        <v>13116</v>
      </c>
      <c r="EK44" s="55">
        <v>13149</v>
      </c>
      <c r="EL44" s="55">
        <v>13200</v>
      </c>
      <c r="EM44" s="55">
        <v>13223</v>
      </c>
      <c r="EN44" s="55">
        <v>13292</v>
      </c>
      <c r="EO44" s="56">
        <v>13322</v>
      </c>
      <c r="EP44" s="55">
        <v>13403</v>
      </c>
      <c r="EQ44" s="55">
        <v>13449</v>
      </c>
      <c r="ER44" s="55">
        <v>13523</v>
      </c>
      <c r="ES44" s="55">
        <v>13598</v>
      </c>
      <c r="ET44" s="55">
        <v>13734</v>
      </c>
      <c r="EU44" s="55">
        <v>13855</v>
      </c>
      <c r="EV44" s="55">
        <v>13964</v>
      </c>
      <c r="EW44" s="55">
        <v>14085</v>
      </c>
      <c r="EX44" s="55">
        <v>14248</v>
      </c>
      <c r="EY44" s="55">
        <v>14396</v>
      </c>
      <c r="EZ44" s="55">
        <v>14604</v>
      </c>
      <c r="FA44" s="56">
        <v>14730</v>
      </c>
      <c r="FB44" s="55">
        <v>14907</v>
      </c>
      <c r="FC44" s="55">
        <v>15045</v>
      </c>
      <c r="FD44" s="55">
        <v>15172</v>
      </c>
      <c r="FE44" s="55">
        <v>15255</v>
      </c>
      <c r="FF44" s="55">
        <v>15388</v>
      </c>
      <c r="FG44" s="55">
        <v>15533</v>
      </c>
      <c r="FH44" s="55">
        <v>15665</v>
      </c>
      <c r="FI44" s="55">
        <v>15822</v>
      </c>
      <c r="FJ44" s="39">
        <v>15947</v>
      </c>
      <c r="FK44" s="39">
        <v>16079</v>
      </c>
      <c r="FL44" s="39">
        <v>16204</v>
      </c>
      <c r="FM44" s="39">
        <v>16289</v>
      </c>
      <c r="FN44" s="77">
        <v>16376</v>
      </c>
      <c r="FO44" s="39">
        <v>16475</v>
      </c>
      <c r="FP44" s="39">
        <v>16540</v>
      </c>
      <c r="FQ44" s="39">
        <v>16645</v>
      </c>
      <c r="FR44" s="39">
        <v>16756</v>
      </c>
      <c r="FS44" s="39">
        <v>16889</v>
      </c>
      <c r="FT44" s="39">
        <v>17016</v>
      </c>
      <c r="FU44" s="39">
        <v>17148</v>
      </c>
      <c r="FV44" s="39">
        <v>17257</v>
      </c>
      <c r="FW44" s="39">
        <v>17370</v>
      </c>
      <c r="FX44" s="39">
        <v>17483</v>
      </c>
      <c r="FY44" s="197">
        <v>17534</v>
      </c>
      <c r="FZ44" s="39">
        <v>17631</v>
      </c>
      <c r="GA44" s="39">
        <v>17724</v>
      </c>
      <c r="GB44" s="39">
        <v>17859</v>
      </c>
      <c r="GC44" s="39">
        <v>17980</v>
      </c>
      <c r="GD44" s="39">
        <v>18181</v>
      </c>
      <c r="GE44" s="39">
        <v>18361</v>
      </c>
      <c r="GF44" s="39">
        <v>18503</v>
      </c>
      <c r="GG44" s="39">
        <v>18661</v>
      </c>
      <c r="GH44" s="39">
        <v>18824</v>
      </c>
      <c r="GI44" s="39">
        <v>19002</v>
      </c>
      <c r="GJ44" s="39">
        <v>19170</v>
      </c>
      <c r="GK44" s="197">
        <v>19269</v>
      </c>
      <c r="GL44" s="39">
        <v>19422</v>
      </c>
      <c r="GM44" s="39">
        <v>19432</v>
      </c>
      <c r="GN44" s="39">
        <v>19632</v>
      </c>
    </row>
    <row r="45" spans="1:196" s="1" customFormat="1" ht="20.149999999999999" customHeight="1" x14ac:dyDescent="0.35">
      <c r="A45" s="31" t="s">
        <v>1625</v>
      </c>
      <c r="B45" s="55">
        <v>14</v>
      </c>
      <c r="C45" s="55">
        <v>14</v>
      </c>
      <c r="D45" s="55">
        <v>15</v>
      </c>
      <c r="E45" s="55">
        <v>15</v>
      </c>
      <c r="F45" s="55">
        <v>15</v>
      </c>
      <c r="G45" s="55">
        <v>16</v>
      </c>
      <c r="H45" s="55">
        <v>17</v>
      </c>
      <c r="I45" s="55">
        <v>17</v>
      </c>
      <c r="J45" s="55">
        <v>17</v>
      </c>
      <c r="K45" s="55">
        <v>17</v>
      </c>
      <c r="L45" s="55">
        <v>17</v>
      </c>
      <c r="M45" s="56">
        <v>17</v>
      </c>
      <c r="N45" s="57">
        <v>17</v>
      </c>
      <c r="O45" s="55">
        <v>17</v>
      </c>
      <c r="P45" s="55">
        <v>17</v>
      </c>
      <c r="Q45" s="55">
        <v>17</v>
      </c>
      <c r="R45" s="55">
        <v>17</v>
      </c>
      <c r="S45" s="55">
        <v>17</v>
      </c>
      <c r="T45" s="55">
        <v>17</v>
      </c>
      <c r="U45" s="55">
        <v>17</v>
      </c>
      <c r="V45" s="55">
        <v>17</v>
      </c>
      <c r="W45" s="55">
        <v>18</v>
      </c>
      <c r="X45" s="55">
        <v>18</v>
      </c>
      <c r="Y45" s="56">
        <v>19</v>
      </c>
      <c r="Z45" s="57">
        <v>19</v>
      </c>
      <c r="AA45" s="55">
        <v>21</v>
      </c>
      <c r="AB45" s="55">
        <v>23</v>
      </c>
      <c r="AC45" s="55">
        <v>24</v>
      </c>
      <c r="AD45" s="55">
        <v>24</v>
      </c>
      <c r="AE45" s="55">
        <v>24</v>
      </c>
      <c r="AF45" s="55">
        <v>24</v>
      </c>
      <c r="AG45" s="55">
        <v>28</v>
      </c>
      <c r="AH45" s="55">
        <v>31</v>
      </c>
      <c r="AI45" s="55">
        <v>38</v>
      </c>
      <c r="AJ45" s="55">
        <v>49</v>
      </c>
      <c r="AK45" s="56">
        <v>54</v>
      </c>
      <c r="AL45" s="57">
        <v>60</v>
      </c>
      <c r="AM45" s="55">
        <v>64</v>
      </c>
      <c r="AN45" s="55">
        <v>69</v>
      </c>
      <c r="AO45" s="55">
        <v>74</v>
      </c>
      <c r="AP45" s="55">
        <v>89</v>
      </c>
      <c r="AQ45" s="55">
        <v>112</v>
      </c>
      <c r="AR45" s="55">
        <v>132</v>
      </c>
      <c r="AS45" s="55">
        <v>178</v>
      </c>
      <c r="AT45" s="55">
        <v>200</v>
      </c>
      <c r="AU45" s="55">
        <v>225</v>
      </c>
      <c r="AV45" s="55">
        <v>272</v>
      </c>
      <c r="AW45" s="56">
        <v>306</v>
      </c>
      <c r="AX45" s="55">
        <v>361</v>
      </c>
      <c r="AY45" s="55">
        <v>567</v>
      </c>
      <c r="AZ45" s="55">
        <v>588</v>
      </c>
      <c r="BA45" s="55">
        <v>614</v>
      </c>
      <c r="BB45" s="55">
        <v>657</v>
      </c>
      <c r="BC45" s="55">
        <v>692</v>
      </c>
      <c r="BD45" s="55">
        <v>720</v>
      </c>
      <c r="BE45" s="55">
        <v>741</v>
      </c>
      <c r="BF45" s="55">
        <v>782</v>
      </c>
      <c r="BG45" s="55">
        <v>814</v>
      </c>
      <c r="BH45" s="55">
        <v>852</v>
      </c>
      <c r="BI45" s="56">
        <v>889</v>
      </c>
      <c r="BJ45" s="55">
        <v>952</v>
      </c>
      <c r="BK45" s="55">
        <v>1051</v>
      </c>
      <c r="BL45" s="55">
        <v>1193</v>
      </c>
      <c r="BM45" s="55">
        <v>1247</v>
      </c>
      <c r="BN45" s="55">
        <v>1296</v>
      </c>
      <c r="BO45" s="55">
        <v>1360</v>
      </c>
      <c r="BP45" s="55">
        <v>1398</v>
      </c>
      <c r="BQ45" s="55">
        <v>1495</v>
      </c>
      <c r="BR45" s="55">
        <v>1761</v>
      </c>
      <c r="BS45" s="55">
        <v>1779</v>
      </c>
      <c r="BT45" s="55">
        <v>1796</v>
      </c>
      <c r="BU45" s="56">
        <v>1809</v>
      </c>
      <c r="BV45" s="55">
        <v>1825</v>
      </c>
      <c r="BW45" s="55">
        <v>1838</v>
      </c>
      <c r="BX45" s="55">
        <v>1860</v>
      </c>
      <c r="BY45" s="55">
        <v>1879</v>
      </c>
      <c r="BZ45" s="55">
        <v>1908</v>
      </c>
      <c r="CA45" s="55">
        <v>1952</v>
      </c>
      <c r="CB45" s="55">
        <v>1995</v>
      </c>
      <c r="CC45" s="55">
        <v>2063</v>
      </c>
      <c r="CD45" s="55">
        <v>2265</v>
      </c>
      <c r="CE45" s="55">
        <v>2269</v>
      </c>
      <c r="CF45" s="55">
        <v>2274</v>
      </c>
      <c r="CG45" s="56">
        <v>2280</v>
      </c>
      <c r="CH45" s="55">
        <v>2282</v>
      </c>
      <c r="CI45" s="55">
        <v>2297</v>
      </c>
      <c r="CJ45" s="55">
        <v>2345</v>
      </c>
      <c r="CK45" s="55">
        <v>2347</v>
      </c>
      <c r="CL45" s="55">
        <v>2347</v>
      </c>
      <c r="CM45" s="55">
        <v>2349</v>
      </c>
      <c r="CN45" s="55">
        <v>2350</v>
      </c>
      <c r="CO45" s="55">
        <v>2353</v>
      </c>
      <c r="CP45" s="55">
        <v>2353</v>
      </c>
      <c r="CQ45" s="55">
        <v>2354</v>
      </c>
      <c r="CR45" s="55">
        <v>2359</v>
      </c>
      <c r="CS45" s="56">
        <v>2364</v>
      </c>
      <c r="CT45" s="55">
        <v>2364</v>
      </c>
      <c r="CU45" s="55">
        <v>2365</v>
      </c>
      <c r="CV45" s="55">
        <v>2365</v>
      </c>
      <c r="CW45" s="55">
        <v>2368</v>
      </c>
      <c r="CX45" s="55">
        <v>2369</v>
      </c>
      <c r="CY45" s="55">
        <v>2370</v>
      </c>
      <c r="CZ45" s="55">
        <v>2371</v>
      </c>
      <c r="DA45" s="55">
        <v>2374</v>
      </c>
      <c r="DB45" s="55">
        <v>2375</v>
      </c>
      <c r="DC45" s="55">
        <v>2376</v>
      </c>
      <c r="DD45" s="55">
        <v>2378</v>
      </c>
      <c r="DE45" s="56">
        <v>2380</v>
      </c>
      <c r="DF45" s="55">
        <v>2380</v>
      </c>
      <c r="DG45" s="55">
        <v>2382</v>
      </c>
      <c r="DH45" s="55">
        <v>2382</v>
      </c>
      <c r="DI45" s="55">
        <v>2382</v>
      </c>
      <c r="DJ45" s="55">
        <v>2382</v>
      </c>
      <c r="DK45" s="55">
        <v>2385</v>
      </c>
      <c r="DL45" s="55">
        <v>2385</v>
      </c>
      <c r="DM45" s="55">
        <v>2386</v>
      </c>
      <c r="DN45" s="55">
        <v>2388</v>
      </c>
      <c r="DO45" s="55">
        <v>2389</v>
      </c>
      <c r="DP45" s="55">
        <v>2390</v>
      </c>
      <c r="DQ45" s="56">
        <v>2391</v>
      </c>
      <c r="DR45" s="55">
        <v>2392</v>
      </c>
      <c r="DS45" s="55">
        <v>2392</v>
      </c>
      <c r="DT45" s="55">
        <v>2393</v>
      </c>
      <c r="DU45" s="55">
        <v>2394</v>
      </c>
      <c r="DV45" s="55">
        <v>2394</v>
      </c>
      <c r="DW45" s="55">
        <v>2396</v>
      </c>
      <c r="DX45" s="55">
        <v>2399</v>
      </c>
      <c r="DY45" s="55">
        <v>2399</v>
      </c>
      <c r="DZ45" s="55">
        <v>2401</v>
      </c>
      <c r="EA45" s="55">
        <v>2401</v>
      </c>
      <c r="EB45" s="55">
        <v>2401</v>
      </c>
      <c r="EC45" s="56">
        <v>2401</v>
      </c>
      <c r="ED45" s="55">
        <v>2402</v>
      </c>
      <c r="EE45" s="55">
        <v>2402</v>
      </c>
      <c r="EF45" s="55">
        <v>2404</v>
      </c>
      <c r="EG45" s="55">
        <v>2409</v>
      </c>
      <c r="EH45" s="55">
        <v>2412</v>
      </c>
      <c r="EI45" s="55">
        <v>2416</v>
      </c>
      <c r="EJ45" s="55">
        <v>2417</v>
      </c>
      <c r="EK45" s="55">
        <v>2418</v>
      </c>
      <c r="EL45" s="55">
        <v>2420</v>
      </c>
      <c r="EM45" s="55">
        <v>2424</v>
      </c>
      <c r="EN45" s="55">
        <v>2426</v>
      </c>
      <c r="EO45" s="56">
        <v>2429</v>
      </c>
      <c r="EP45" s="55">
        <v>2433</v>
      </c>
      <c r="EQ45" s="55">
        <v>2441</v>
      </c>
      <c r="ER45" s="55">
        <v>2450</v>
      </c>
      <c r="ES45" s="55">
        <v>2454</v>
      </c>
      <c r="ET45" s="55">
        <v>2463</v>
      </c>
      <c r="EU45" s="55">
        <v>2475</v>
      </c>
      <c r="EV45" s="55">
        <v>2484</v>
      </c>
      <c r="EW45" s="55">
        <v>2495</v>
      </c>
      <c r="EX45" s="55">
        <v>2507</v>
      </c>
      <c r="EY45" s="55">
        <v>2530</v>
      </c>
      <c r="EZ45" s="55">
        <v>2547</v>
      </c>
      <c r="FA45" s="56">
        <v>2561</v>
      </c>
      <c r="FB45" s="55">
        <v>2578</v>
      </c>
      <c r="FC45" s="55">
        <v>2601</v>
      </c>
      <c r="FD45" s="55">
        <v>2622</v>
      </c>
      <c r="FE45" s="55">
        <v>2650</v>
      </c>
      <c r="FF45" s="55">
        <v>2670</v>
      </c>
      <c r="FG45" s="55">
        <v>2684</v>
      </c>
      <c r="FH45" s="55">
        <v>2695</v>
      </c>
      <c r="FI45" s="55">
        <v>2702</v>
      </c>
      <c r="FJ45" s="39">
        <v>2719</v>
      </c>
      <c r="FK45" s="39">
        <v>2749</v>
      </c>
      <c r="FL45" s="39">
        <v>2761</v>
      </c>
      <c r="FM45" s="39">
        <v>2772</v>
      </c>
      <c r="FN45" s="77">
        <v>2781</v>
      </c>
      <c r="FO45" s="39">
        <v>2798</v>
      </c>
      <c r="FP45" s="39">
        <v>2804</v>
      </c>
      <c r="FQ45" s="39">
        <v>2831</v>
      </c>
      <c r="FR45" s="39">
        <v>2839</v>
      </c>
      <c r="FS45" s="39">
        <v>2847</v>
      </c>
      <c r="FT45" s="39">
        <v>2854</v>
      </c>
      <c r="FU45" s="39">
        <v>2862</v>
      </c>
      <c r="FV45" s="39">
        <v>2866</v>
      </c>
      <c r="FW45" s="39">
        <v>2871</v>
      </c>
      <c r="FX45" s="39">
        <v>2879</v>
      </c>
      <c r="FY45" s="197">
        <v>2884</v>
      </c>
      <c r="FZ45" s="39">
        <v>2889</v>
      </c>
      <c r="GA45" s="39">
        <v>2900</v>
      </c>
      <c r="GB45" s="39">
        <v>2906</v>
      </c>
      <c r="GC45" s="39">
        <v>2919</v>
      </c>
      <c r="GD45" s="39">
        <v>2932</v>
      </c>
      <c r="GE45" s="39">
        <v>2953</v>
      </c>
      <c r="GF45" s="39">
        <v>2965</v>
      </c>
      <c r="GG45" s="39">
        <v>2979</v>
      </c>
      <c r="GH45" s="39">
        <v>2989</v>
      </c>
      <c r="GI45" s="39">
        <v>3009</v>
      </c>
      <c r="GJ45" s="39">
        <v>3027</v>
      </c>
      <c r="GK45" s="197">
        <v>3037</v>
      </c>
      <c r="GL45" s="39">
        <v>3051</v>
      </c>
      <c r="GM45" s="39">
        <v>3062</v>
      </c>
      <c r="GN45" s="39">
        <v>3074</v>
      </c>
    </row>
    <row r="46" spans="1:196" s="1" customFormat="1" ht="20.149999999999999" customHeight="1" x14ac:dyDescent="0.35">
      <c r="A46" s="31" t="s">
        <v>1627</v>
      </c>
      <c r="B46" s="55">
        <v>0</v>
      </c>
      <c r="C46" s="55">
        <v>0</v>
      </c>
      <c r="D46" s="55">
        <v>0</v>
      </c>
      <c r="E46" s="55">
        <v>0</v>
      </c>
      <c r="F46" s="55">
        <v>0</v>
      </c>
      <c r="G46" s="55">
        <v>0</v>
      </c>
      <c r="H46" s="55">
        <v>0</v>
      </c>
      <c r="I46" s="55">
        <v>0</v>
      </c>
      <c r="J46" s="55">
        <v>0</v>
      </c>
      <c r="K46" s="55">
        <v>0</v>
      </c>
      <c r="L46" s="55">
        <v>0</v>
      </c>
      <c r="M46" s="56">
        <v>0</v>
      </c>
      <c r="N46" s="57">
        <v>0</v>
      </c>
      <c r="O46" s="55">
        <v>0</v>
      </c>
      <c r="P46" s="55">
        <v>0</v>
      </c>
      <c r="Q46" s="55">
        <v>0</v>
      </c>
      <c r="R46" s="55">
        <v>0</v>
      </c>
      <c r="S46" s="55">
        <v>0</v>
      </c>
      <c r="T46" s="55">
        <v>0</v>
      </c>
      <c r="U46" s="55">
        <v>0</v>
      </c>
      <c r="V46" s="55">
        <v>0</v>
      </c>
      <c r="W46" s="55">
        <v>0</v>
      </c>
      <c r="X46" s="55">
        <v>0</v>
      </c>
      <c r="Y46" s="56">
        <v>0</v>
      </c>
      <c r="Z46" s="57">
        <v>0</v>
      </c>
      <c r="AA46" s="55">
        <v>0</v>
      </c>
      <c r="AB46" s="55">
        <v>0</v>
      </c>
      <c r="AC46" s="55">
        <v>0</v>
      </c>
      <c r="AD46" s="55">
        <v>0</v>
      </c>
      <c r="AE46" s="55">
        <v>0</v>
      </c>
      <c r="AF46" s="55">
        <v>0</v>
      </c>
      <c r="AG46" s="55">
        <v>0</v>
      </c>
      <c r="AH46" s="55">
        <v>0</v>
      </c>
      <c r="AI46" s="55">
        <v>1</v>
      </c>
      <c r="AJ46" s="55">
        <v>2</v>
      </c>
      <c r="AK46" s="56">
        <v>2</v>
      </c>
      <c r="AL46" s="57">
        <v>2</v>
      </c>
      <c r="AM46" s="55">
        <v>2</v>
      </c>
      <c r="AN46" s="55">
        <v>2</v>
      </c>
      <c r="AO46" s="55">
        <v>2</v>
      </c>
      <c r="AP46" s="55">
        <v>2</v>
      </c>
      <c r="AQ46" s="55">
        <v>2</v>
      </c>
      <c r="AR46" s="55">
        <v>2</v>
      </c>
      <c r="AS46" s="55">
        <v>2</v>
      </c>
      <c r="AT46" s="55">
        <v>2</v>
      </c>
      <c r="AU46" s="55">
        <v>2</v>
      </c>
      <c r="AV46" s="55">
        <v>6</v>
      </c>
      <c r="AW46" s="56">
        <v>6</v>
      </c>
      <c r="AX46" s="55">
        <v>9</v>
      </c>
      <c r="AY46" s="55">
        <v>14</v>
      </c>
      <c r="AZ46" s="55">
        <v>17</v>
      </c>
      <c r="BA46" s="55">
        <v>17</v>
      </c>
      <c r="BB46" s="55">
        <v>24</v>
      </c>
      <c r="BC46" s="55">
        <v>29</v>
      </c>
      <c r="BD46" s="55">
        <v>37</v>
      </c>
      <c r="BE46" s="55">
        <v>39</v>
      </c>
      <c r="BF46" s="55">
        <v>40</v>
      </c>
      <c r="BG46" s="55">
        <v>44</v>
      </c>
      <c r="BH46" s="55">
        <v>45</v>
      </c>
      <c r="BI46" s="56">
        <v>49</v>
      </c>
      <c r="BJ46" s="55">
        <v>54</v>
      </c>
      <c r="BK46" s="55">
        <v>54</v>
      </c>
      <c r="BL46" s="55">
        <v>61</v>
      </c>
      <c r="BM46" s="55">
        <v>64</v>
      </c>
      <c r="BN46" s="55">
        <v>71</v>
      </c>
      <c r="BO46" s="55">
        <v>74</v>
      </c>
      <c r="BP46" s="55">
        <v>78</v>
      </c>
      <c r="BQ46" s="55">
        <v>92</v>
      </c>
      <c r="BR46" s="55">
        <v>107</v>
      </c>
      <c r="BS46" s="55">
        <v>110</v>
      </c>
      <c r="BT46" s="55">
        <v>110</v>
      </c>
      <c r="BU46" s="56">
        <v>111</v>
      </c>
      <c r="BV46" s="55">
        <v>111</v>
      </c>
      <c r="BW46" s="55">
        <v>112</v>
      </c>
      <c r="BX46" s="55">
        <v>112</v>
      </c>
      <c r="BY46" s="55">
        <v>113</v>
      </c>
      <c r="BZ46" s="55">
        <v>114</v>
      </c>
      <c r="CA46" s="55">
        <v>115</v>
      </c>
      <c r="CB46" s="55">
        <v>116</v>
      </c>
      <c r="CC46" s="55">
        <v>117</v>
      </c>
      <c r="CD46" s="55">
        <v>117</v>
      </c>
      <c r="CE46" s="55">
        <v>117</v>
      </c>
      <c r="CF46" s="55">
        <v>117</v>
      </c>
      <c r="CG46" s="56">
        <v>117</v>
      </c>
      <c r="CH46" s="55">
        <v>120</v>
      </c>
      <c r="CI46" s="55">
        <v>123</v>
      </c>
      <c r="CJ46" s="55">
        <v>132</v>
      </c>
      <c r="CK46" s="55">
        <v>132</v>
      </c>
      <c r="CL46" s="55">
        <v>133</v>
      </c>
      <c r="CM46" s="55">
        <v>133</v>
      </c>
      <c r="CN46" s="55">
        <v>133</v>
      </c>
      <c r="CO46" s="55">
        <v>133</v>
      </c>
      <c r="CP46" s="55">
        <v>133</v>
      </c>
      <c r="CQ46" s="55">
        <v>133</v>
      </c>
      <c r="CR46" s="55">
        <v>133</v>
      </c>
      <c r="CS46" s="56">
        <v>133</v>
      </c>
      <c r="CT46" s="55">
        <v>133</v>
      </c>
      <c r="CU46" s="55">
        <v>133</v>
      </c>
      <c r="CV46" s="55">
        <v>140</v>
      </c>
      <c r="CW46" s="55">
        <v>140</v>
      </c>
      <c r="CX46" s="55">
        <v>140</v>
      </c>
      <c r="CY46" s="55">
        <v>140</v>
      </c>
      <c r="CZ46" s="55">
        <v>140</v>
      </c>
      <c r="DA46" s="55">
        <v>140</v>
      </c>
      <c r="DB46" s="55">
        <v>140</v>
      </c>
      <c r="DC46" s="55">
        <v>140</v>
      </c>
      <c r="DD46" s="55">
        <v>140</v>
      </c>
      <c r="DE46" s="56">
        <v>140</v>
      </c>
      <c r="DF46" s="55">
        <v>140</v>
      </c>
      <c r="DG46" s="55">
        <v>140</v>
      </c>
      <c r="DH46" s="55">
        <v>140</v>
      </c>
      <c r="DI46" s="55">
        <v>140</v>
      </c>
      <c r="DJ46" s="55">
        <v>140</v>
      </c>
      <c r="DK46" s="55">
        <v>140</v>
      </c>
      <c r="DL46" s="55">
        <v>140</v>
      </c>
      <c r="DM46" s="55">
        <v>140</v>
      </c>
      <c r="DN46" s="55">
        <v>140</v>
      </c>
      <c r="DO46" s="55">
        <v>140</v>
      </c>
      <c r="DP46" s="55">
        <v>140</v>
      </c>
      <c r="DQ46" s="56">
        <v>140</v>
      </c>
      <c r="DR46" s="55">
        <v>140</v>
      </c>
      <c r="DS46" s="55">
        <v>140</v>
      </c>
      <c r="DT46" s="55">
        <v>140</v>
      </c>
      <c r="DU46" s="55">
        <v>140</v>
      </c>
      <c r="DV46" s="55">
        <v>140</v>
      </c>
      <c r="DW46" s="55">
        <v>140</v>
      </c>
      <c r="DX46" s="55">
        <v>140</v>
      </c>
      <c r="DY46" s="55">
        <v>142</v>
      </c>
      <c r="DZ46" s="55">
        <v>142</v>
      </c>
      <c r="EA46" s="55">
        <v>142</v>
      </c>
      <c r="EB46" s="55">
        <v>142</v>
      </c>
      <c r="EC46" s="56">
        <v>142</v>
      </c>
      <c r="ED46" s="55">
        <v>142</v>
      </c>
      <c r="EE46" s="55">
        <v>142</v>
      </c>
      <c r="EF46" s="55">
        <v>142</v>
      </c>
      <c r="EG46" s="55">
        <v>142</v>
      </c>
      <c r="EH46" s="55">
        <v>142</v>
      </c>
      <c r="EI46" s="55">
        <v>142</v>
      </c>
      <c r="EJ46" s="55">
        <v>142</v>
      </c>
      <c r="EK46" s="55">
        <v>142</v>
      </c>
      <c r="EL46" s="55">
        <v>142</v>
      </c>
      <c r="EM46" s="55">
        <v>142</v>
      </c>
      <c r="EN46" s="55">
        <v>142</v>
      </c>
      <c r="EO46" s="56">
        <v>142</v>
      </c>
      <c r="EP46" s="55">
        <v>142</v>
      </c>
      <c r="EQ46" s="55">
        <v>142</v>
      </c>
      <c r="ER46" s="55">
        <v>143</v>
      </c>
      <c r="ES46" s="55">
        <v>143</v>
      </c>
      <c r="ET46" s="55">
        <v>144</v>
      </c>
      <c r="EU46" s="55">
        <v>144</v>
      </c>
      <c r="EV46" s="55">
        <v>144</v>
      </c>
      <c r="EW46" s="55">
        <v>144</v>
      </c>
      <c r="EX46" s="55">
        <v>144</v>
      </c>
      <c r="EY46" s="55">
        <v>144</v>
      </c>
      <c r="EZ46" s="55">
        <v>144</v>
      </c>
      <c r="FA46" s="56">
        <v>144</v>
      </c>
      <c r="FB46" s="55">
        <v>144</v>
      </c>
      <c r="FC46" s="55">
        <v>144</v>
      </c>
      <c r="FD46" s="55">
        <v>144</v>
      </c>
      <c r="FE46" s="55">
        <v>144</v>
      </c>
      <c r="FF46" s="55">
        <v>144</v>
      </c>
      <c r="FG46" s="55">
        <v>144</v>
      </c>
      <c r="FH46" s="55">
        <v>144</v>
      </c>
      <c r="FI46" s="55">
        <v>144</v>
      </c>
      <c r="FJ46" s="39">
        <v>145</v>
      </c>
      <c r="FK46" s="39">
        <v>151</v>
      </c>
      <c r="FL46" s="39">
        <v>151</v>
      </c>
      <c r="FM46" s="39">
        <v>151</v>
      </c>
      <c r="FN46" s="77">
        <v>151</v>
      </c>
      <c r="FO46" s="39">
        <v>151</v>
      </c>
      <c r="FP46" s="39">
        <v>151</v>
      </c>
      <c r="FQ46" s="39">
        <v>151</v>
      </c>
      <c r="FR46" s="39">
        <v>151</v>
      </c>
      <c r="FS46" s="39">
        <v>151</v>
      </c>
      <c r="FT46" s="39">
        <v>152</v>
      </c>
      <c r="FU46" s="39">
        <v>152</v>
      </c>
      <c r="FV46" s="39">
        <v>152</v>
      </c>
      <c r="FW46" s="39">
        <v>152</v>
      </c>
      <c r="FX46" s="39">
        <v>152</v>
      </c>
      <c r="FY46" s="197">
        <v>153</v>
      </c>
      <c r="FZ46" s="39">
        <v>153</v>
      </c>
      <c r="GA46" s="39">
        <v>153</v>
      </c>
      <c r="GB46" s="39">
        <v>153</v>
      </c>
      <c r="GC46" s="39">
        <v>153</v>
      </c>
      <c r="GD46" s="39">
        <v>153</v>
      </c>
      <c r="GE46" s="39">
        <v>153</v>
      </c>
      <c r="GF46" s="39">
        <v>154</v>
      </c>
      <c r="GG46" s="39">
        <v>155</v>
      </c>
      <c r="GH46" s="39">
        <v>155</v>
      </c>
      <c r="GI46" s="39">
        <v>155</v>
      </c>
      <c r="GJ46" s="39">
        <v>155</v>
      </c>
      <c r="GK46" s="197">
        <v>155</v>
      </c>
      <c r="GL46" s="39">
        <v>155</v>
      </c>
      <c r="GM46" s="39">
        <v>156</v>
      </c>
      <c r="GN46" s="39">
        <v>156</v>
      </c>
    </row>
    <row r="47" spans="1:196" s="1" customFormat="1" ht="20.149999999999999" customHeight="1" x14ac:dyDescent="0.35">
      <c r="A47" s="31" t="s">
        <v>1624</v>
      </c>
      <c r="B47" s="55">
        <v>0</v>
      </c>
      <c r="C47" s="55">
        <v>0</v>
      </c>
      <c r="D47" s="55">
        <v>0</v>
      </c>
      <c r="E47" s="55">
        <v>0</v>
      </c>
      <c r="F47" s="55">
        <v>0</v>
      </c>
      <c r="G47" s="55">
        <v>0</v>
      </c>
      <c r="H47" s="55">
        <v>0</v>
      </c>
      <c r="I47" s="55">
        <v>0</v>
      </c>
      <c r="J47" s="55">
        <v>0</v>
      </c>
      <c r="K47" s="55">
        <v>0</v>
      </c>
      <c r="L47" s="55">
        <v>0</v>
      </c>
      <c r="M47" s="56">
        <v>0</v>
      </c>
      <c r="N47" s="57">
        <v>0</v>
      </c>
      <c r="O47" s="55">
        <v>0</v>
      </c>
      <c r="P47" s="55">
        <v>0</v>
      </c>
      <c r="Q47" s="55">
        <v>0</v>
      </c>
      <c r="R47" s="55">
        <v>0</v>
      </c>
      <c r="S47" s="55">
        <v>0</v>
      </c>
      <c r="T47" s="55">
        <v>0</v>
      </c>
      <c r="U47" s="55">
        <v>0</v>
      </c>
      <c r="V47" s="55">
        <v>0</v>
      </c>
      <c r="W47" s="55">
        <v>0</v>
      </c>
      <c r="X47" s="55">
        <v>0</v>
      </c>
      <c r="Y47" s="56">
        <v>0</v>
      </c>
      <c r="Z47" s="57">
        <v>0</v>
      </c>
      <c r="AA47" s="55">
        <v>0</v>
      </c>
      <c r="AB47" s="55">
        <v>0</v>
      </c>
      <c r="AC47" s="55">
        <v>0</v>
      </c>
      <c r="AD47" s="55">
        <v>0</v>
      </c>
      <c r="AE47" s="55">
        <v>0</v>
      </c>
      <c r="AF47" s="55">
        <v>0</v>
      </c>
      <c r="AG47" s="55">
        <v>0</v>
      </c>
      <c r="AH47" s="55">
        <v>0</v>
      </c>
      <c r="AI47" s="55">
        <v>0</v>
      </c>
      <c r="AJ47" s="55">
        <v>0</v>
      </c>
      <c r="AK47" s="56">
        <v>0</v>
      </c>
      <c r="AL47" s="57">
        <v>0</v>
      </c>
      <c r="AM47" s="55">
        <v>0</v>
      </c>
      <c r="AN47" s="55">
        <v>0</v>
      </c>
      <c r="AO47" s="55">
        <v>0</v>
      </c>
      <c r="AP47" s="55">
        <v>0</v>
      </c>
      <c r="AQ47" s="55">
        <v>0</v>
      </c>
      <c r="AR47" s="55">
        <v>0</v>
      </c>
      <c r="AS47" s="55">
        <v>0</v>
      </c>
      <c r="AT47" s="55">
        <v>0</v>
      </c>
      <c r="AU47" s="55">
        <v>0</v>
      </c>
      <c r="AV47" s="55">
        <v>0</v>
      </c>
      <c r="AW47" s="56">
        <v>0</v>
      </c>
      <c r="AX47" s="55">
        <v>0</v>
      </c>
      <c r="AY47" s="55">
        <v>0</v>
      </c>
      <c r="AZ47" s="55">
        <v>0</v>
      </c>
      <c r="BA47" s="55">
        <v>0</v>
      </c>
      <c r="BB47" s="55">
        <v>0</v>
      </c>
      <c r="BC47" s="55">
        <v>0</v>
      </c>
      <c r="BD47" s="55">
        <v>0</v>
      </c>
      <c r="BE47" s="55">
        <v>0</v>
      </c>
      <c r="BF47" s="55">
        <v>0</v>
      </c>
      <c r="BG47" s="55">
        <v>0</v>
      </c>
      <c r="BH47" s="55">
        <v>0</v>
      </c>
      <c r="BI47" s="56">
        <v>0</v>
      </c>
      <c r="BJ47" s="55">
        <v>0</v>
      </c>
      <c r="BK47" s="55">
        <v>0</v>
      </c>
      <c r="BL47" s="55">
        <v>0</v>
      </c>
      <c r="BM47" s="55">
        <v>0</v>
      </c>
      <c r="BN47" s="55">
        <v>0</v>
      </c>
      <c r="BO47" s="55">
        <v>0</v>
      </c>
      <c r="BP47" s="55">
        <v>0</v>
      </c>
      <c r="BQ47" s="55">
        <v>0</v>
      </c>
      <c r="BR47" s="55">
        <v>0</v>
      </c>
      <c r="BS47" s="55">
        <v>0</v>
      </c>
      <c r="BT47" s="55">
        <v>0</v>
      </c>
      <c r="BU47" s="56">
        <v>0</v>
      </c>
      <c r="BV47" s="55">
        <v>0</v>
      </c>
      <c r="BW47" s="55">
        <v>0</v>
      </c>
      <c r="BX47" s="55">
        <v>0</v>
      </c>
      <c r="BY47" s="55">
        <v>1</v>
      </c>
      <c r="BZ47" s="55">
        <v>1</v>
      </c>
      <c r="CA47" s="55">
        <v>1</v>
      </c>
      <c r="CB47" s="55">
        <v>1</v>
      </c>
      <c r="CC47" s="55">
        <v>1</v>
      </c>
      <c r="CD47" s="55">
        <v>1</v>
      </c>
      <c r="CE47" s="55">
        <v>1</v>
      </c>
      <c r="CF47" s="55">
        <v>1</v>
      </c>
      <c r="CG47" s="56">
        <v>1</v>
      </c>
      <c r="CH47" s="55">
        <v>1</v>
      </c>
      <c r="CI47" s="55">
        <v>3</v>
      </c>
      <c r="CJ47" s="55">
        <v>8</v>
      </c>
      <c r="CK47" s="55">
        <v>8</v>
      </c>
      <c r="CL47" s="55">
        <v>8</v>
      </c>
      <c r="CM47" s="55">
        <v>8</v>
      </c>
      <c r="CN47" s="55">
        <v>8</v>
      </c>
      <c r="CO47" s="55">
        <v>8</v>
      </c>
      <c r="CP47" s="55">
        <v>8</v>
      </c>
      <c r="CQ47" s="55">
        <v>8</v>
      </c>
      <c r="CR47" s="55">
        <v>8</v>
      </c>
      <c r="CS47" s="56">
        <v>10</v>
      </c>
      <c r="CT47" s="55">
        <v>10</v>
      </c>
      <c r="CU47" s="55">
        <v>11</v>
      </c>
      <c r="CV47" s="55">
        <v>12</v>
      </c>
      <c r="CW47" s="55">
        <v>13</v>
      </c>
      <c r="CX47" s="55">
        <v>14</v>
      </c>
      <c r="CY47" s="55">
        <v>14</v>
      </c>
      <c r="CZ47" s="55">
        <v>14</v>
      </c>
      <c r="DA47" s="55">
        <v>14</v>
      </c>
      <c r="DB47" s="55">
        <v>14</v>
      </c>
      <c r="DC47" s="55">
        <v>14</v>
      </c>
      <c r="DD47" s="55">
        <v>14</v>
      </c>
      <c r="DE47" s="56">
        <v>14</v>
      </c>
      <c r="DF47" s="55">
        <v>14</v>
      </c>
      <c r="DG47" s="55">
        <v>14</v>
      </c>
      <c r="DH47" s="55">
        <v>14</v>
      </c>
      <c r="DI47" s="55">
        <v>14</v>
      </c>
      <c r="DJ47" s="55">
        <v>14</v>
      </c>
      <c r="DK47" s="55">
        <v>14</v>
      </c>
      <c r="DL47" s="55">
        <v>14</v>
      </c>
      <c r="DM47" s="55">
        <v>14</v>
      </c>
      <c r="DN47" s="55">
        <v>14</v>
      </c>
      <c r="DO47" s="55">
        <v>14</v>
      </c>
      <c r="DP47" s="55">
        <v>14</v>
      </c>
      <c r="DQ47" s="56">
        <v>14</v>
      </c>
      <c r="DR47" s="55">
        <v>14</v>
      </c>
      <c r="DS47" s="55">
        <v>14</v>
      </c>
      <c r="DT47" s="55">
        <v>14</v>
      </c>
      <c r="DU47" s="55">
        <v>14</v>
      </c>
      <c r="DV47" s="55">
        <v>14</v>
      </c>
      <c r="DW47" s="55">
        <v>14</v>
      </c>
      <c r="DX47" s="55">
        <v>14</v>
      </c>
      <c r="DY47" s="55">
        <v>14</v>
      </c>
      <c r="DZ47" s="55">
        <v>14</v>
      </c>
      <c r="EA47" s="55">
        <v>14</v>
      </c>
      <c r="EB47" s="55">
        <v>14</v>
      </c>
      <c r="EC47" s="56">
        <v>14</v>
      </c>
      <c r="ED47" s="55">
        <v>14</v>
      </c>
      <c r="EE47" s="55">
        <v>14</v>
      </c>
      <c r="EF47" s="55">
        <v>14</v>
      </c>
      <c r="EG47" s="55">
        <v>14</v>
      </c>
      <c r="EH47" s="55">
        <v>14</v>
      </c>
      <c r="EI47" s="55">
        <v>14</v>
      </c>
      <c r="EJ47" s="55">
        <v>14</v>
      </c>
      <c r="EK47" s="55">
        <v>14</v>
      </c>
      <c r="EL47" s="55">
        <v>14</v>
      </c>
      <c r="EM47" s="55">
        <v>14</v>
      </c>
      <c r="EN47" s="55">
        <v>14</v>
      </c>
      <c r="EO47" s="56">
        <v>14</v>
      </c>
      <c r="EP47" s="55">
        <v>14</v>
      </c>
      <c r="EQ47" s="55">
        <v>14</v>
      </c>
      <c r="ER47" s="55">
        <v>14</v>
      </c>
      <c r="ES47" s="55">
        <v>14</v>
      </c>
      <c r="ET47" s="55">
        <v>14</v>
      </c>
      <c r="EU47" s="55">
        <v>14</v>
      </c>
      <c r="EV47" s="55">
        <v>14</v>
      </c>
      <c r="EW47" s="55">
        <v>14</v>
      </c>
      <c r="EX47" s="55">
        <v>14</v>
      </c>
      <c r="EY47" s="55">
        <v>14</v>
      </c>
      <c r="EZ47" s="55">
        <v>14</v>
      </c>
      <c r="FA47" s="56">
        <v>14</v>
      </c>
      <c r="FB47" s="55">
        <v>14</v>
      </c>
      <c r="FC47" s="55">
        <v>14</v>
      </c>
      <c r="FD47" s="55">
        <v>14</v>
      </c>
      <c r="FE47" s="55">
        <v>14</v>
      </c>
      <c r="FF47" s="55">
        <v>14</v>
      </c>
      <c r="FG47" s="55">
        <v>14</v>
      </c>
      <c r="FH47" s="55">
        <v>14</v>
      </c>
      <c r="FI47" s="55">
        <v>14</v>
      </c>
      <c r="FJ47" s="39">
        <v>14</v>
      </c>
      <c r="FK47" s="39">
        <v>14</v>
      </c>
      <c r="FL47" s="39">
        <v>14</v>
      </c>
      <c r="FM47" s="39">
        <v>14</v>
      </c>
      <c r="FN47" s="77">
        <v>14</v>
      </c>
      <c r="FO47" s="39">
        <v>14</v>
      </c>
      <c r="FP47" s="39">
        <v>14</v>
      </c>
      <c r="FQ47" s="39">
        <v>14</v>
      </c>
      <c r="FR47" s="39">
        <v>14</v>
      </c>
      <c r="FS47" s="39">
        <v>14</v>
      </c>
      <c r="FT47" s="39">
        <v>14</v>
      </c>
      <c r="FU47" s="39">
        <v>14</v>
      </c>
      <c r="FV47" s="39">
        <v>14</v>
      </c>
      <c r="FW47" s="39">
        <v>14</v>
      </c>
      <c r="FX47" s="39">
        <v>14</v>
      </c>
      <c r="FY47" s="197">
        <v>14</v>
      </c>
      <c r="FZ47" s="39">
        <v>14</v>
      </c>
      <c r="GA47" s="39">
        <v>14</v>
      </c>
      <c r="GB47" s="39">
        <v>14</v>
      </c>
      <c r="GC47" s="39">
        <v>14</v>
      </c>
      <c r="GD47" s="39">
        <v>14</v>
      </c>
      <c r="GE47" s="39">
        <v>14</v>
      </c>
      <c r="GF47" s="39">
        <v>14</v>
      </c>
      <c r="GG47" s="39">
        <v>14</v>
      </c>
      <c r="GH47" s="39">
        <v>14</v>
      </c>
      <c r="GI47" s="39">
        <v>14</v>
      </c>
      <c r="GJ47" s="39">
        <v>14</v>
      </c>
      <c r="GK47" s="197">
        <v>14</v>
      </c>
      <c r="GL47" s="39">
        <v>14</v>
      </c>
      <c r="GM47" s="39">
        <v>14</v>
      </c>
      <c r="GN47" s="39">
        <v>14</v>
      </c>
    </row>
    <row r="48" spans="1:196" s="1" customFormat="1" ht="20.149999999999999" customHeight="1" x14ac:dyDescent="0.4">
      <c r="A48" s="31" t="s">
        <v>1628</v>
      </c>
      <c r="B48" s="58">
        <v>0</v>
      </c>
      <c r="C48" s="58">
        <v>0</v>
      </c>
      <c r="D48" s="58">
        <v>0</v>
      </c>
      <c r="E48" s="58">
        <v>0</v>
      </c>
      <c r="F48" s="58">
        <v>0</v>
      </c>
      <c r="G48" s="58">
        <v>0</v>
      </c>
      <c r="H48" s="58">
        <v>0</v>
      </c>
      <c r="I48" s="58">
        <v>0</v>
      </c>
      <c r="J48" s="58">
        <v>0</v>
      </c>
      <c r="K48" s="58">
        <v>0</v>
      </c>
      <c r="L48" s="58">
        <v>0</v>
      </c>
      <c r="M48" s="59">
        <v>0</v>
      </c>
      <c r="N48" s="60">
        <v>0</v>
      </c>
      <c r="O48" s="58">
        <v>0</v>
      </c>
      <c r="P48" s="58">
        <v>0</v>
      </c>
      <c r="Q48" s="58">
        <v>0</v>
      </c>
      <c r="R48" s="58">
        <v>0</v>
      </c>
      <c r="S48" s="58">
        <v>0</v>
      </c>
      <c r="T48" s="58">
        <v>0</v>
      </c>
      <c r="U48" s="58">
        <v>0</v>
      </c>
      <c r="V48" s="58">
        <v>0</v>
      </c>
      <c r="W48" s="58">
        <v>0</v>
      </c>
      <c r="X48" s="58">
        <v>0</v>
      </c>
      <c r="Y48" s="59">
        <v>0</v>
      </c>
      <c r="Z48" s="60">
        <v>0</v>
      </c>
      <c r="AA48" s="58">
        <v>0</v>
      </c>
      <c r="AB48" s="58">
        <v>0</v>
      </c>
      <c r="AC48" s="58">
        <v>0</v>
      </c>
      <c r="AD48" s="58">
        <v>0</v>
      </c>
      <c r="AE48" s="58">
        <v>0</v>
      </c>
      <c r="AF48" s="58">
        <v>0</v>
      </c>
      <c r="AG48" s="58">
        <v>0</v>
      </c>
      <c r="AH48" s="58">
        <v>0</v>
      </c>
      <c r="AI48" s="58">
        <v>0</v>
      </c>
      <c r="AJ48" s="58">
        <v>0</v>
      </c>
      <c r="AK48" s="59">
        <v>0</v>
      </c>
      <c r="AL48" s="60">
        <v>0</v>
      </c>
      <c r="AM48" s="58">
        <v>0</v>
      </c>
      <c r="AN48" s="58">
        <v>0</v>
      </c>
      <c r="AO48" s="58">
        <v>0</v>
      </c>
      <c r="AP48" s="58">
        <v>0</v>
      </c>
      <c r="AQ48" s="58">
        <v>0</v>
      </c>
      <c r="AR48" s="58">
        <v>0</v>
      </c>
      <c r="AS48" s="58">
        <v>0</v>
      </c>
      <c r="AT48" s="58">
        <v>0</v>
      </c>
      <c r="AU48" s="58">
        <v>0</v>
      </c>
      <c r="AV48" s="58">
        <v>0</v>
      </c>
      <c r="AW48" s="59">
        <v>0</v>
      </c>
      <c r="AX48" s="58">
        <v>0</v>
      </c>
      <c r="AY48" s="58">
        <v>0</v>
      </c>
      <c r="AZ48" s="58">
        <v>0</v>
      </c>
      <c r="BA48" s="58">
        <v>0</v>
      </c>
      <c r="BB48" s="58">
        <v>0</v>
      </c>
      <c r="BC48" s="58">
        <v>0</v>
      </c>
      <c r="BD48" s="58">
        <v>0</v>
      </c>
      <c r="BE48" s="58">
        <v>0</v>
      </c>
      <c r="BF48" s="58">
        <v>0</v>
      </c>
      <c r="BG48" s="58">
        <v>0</v>
      </c>
      <c r="BH48" s="58">
        <v>0</v>
      </c>
      <c r="BI48" s="59">
        <v>0</v>
      </c>
      <c r="BJ48" s="58">
        <v>0</v>
      </c>
      <c r="BK48" s="58">
        <v>0</v>
      </c>
      <c r="BL48" s="58">
        <v>0</v>
      </c>
      <c r="BM48" s="58">
        <v>0</v>
      </c>
      <c r="BN48" s="58">
        <v>0</v>
      </c>
      <c r="BO48" s="58">
        <v>0</v>
      </c>
      <c r="BP48" s="58">
        <v>0</v>
      </c>
      <c r="BQ48" s="58">
        <v>0</v>
      </c>
      <c r="BR48" s="58">
        <v>0</v>
      </c>
      <c r="BS48" s="58">
        <v>0</v>
      </c>
      <c r="BT48" s="58">
        <v>0</v>
      </c>
      <c r="BU48" s="59">
        <v>0</v>
      </c>
      <c r="BV48" s="58">
        <v>0</v>
      </c>
      <c r="BW48" s="58">
        <v>0</v>
      </c>
      <c r="BX48" s="58">
        <v>0</v>
      </c>
      <c r="BY48" s="58">
        <v>0</v>
      </c>
      <c r="BZ48" s="58">
        <v>0</v>
      </c>
      <c r="CA48" s="58">
        <v>0</v>
      </c>
      <c r="CB48" s="58">
        <v>0</v>
      </c>
      <c r="CC48" s="58">
        <v>0</v>
      </c>
      <c r="CD48" s="58">
        <v>0</v>
      </c>
      <c r="CE48" s="58">
        <v>0</v>
      </c>
      <c r="CF48" s="58">
        <v>0</v>
      </c>
      <c r="CG48" s="59">
        <v>0</v>
      </c>
      <c r="CH48" s="55">
        <v>0</v>
      </c>
      <c r="CI48" s="55">
        <v>0</v>
      </c>
      <c r="CJ48" s="55">
        <v>1</v>
      </c>
      <c r="CK48" s="55">
        <v>1</v>
      </c>
      <c r="CL48" s="55">
        <v>1</v>
      </c>
      <c r="CM48" s="55">
        <v>1</v>
      </c>
      <c r="CN48" s="55">
        <v>1</v>
      </c>
      <c r="CO48" s="55">
        <v>1</v>
      </c>
      <c r="CP48" s="55">
        <v>1</v>
      </c>
      <c r="CQ48" s="55">
        <v>1</v>
      </c>
      <c r="CR48" s="55">
        <v>1</v>
      </c>
      <c r="CS48" s="56">
        <v>1</v>
      </c>
      <c r="CT48" s="55">
        <v>2</v>
      </c>
      <c r="CU48" s="55">
        <v>2</v>
      </c>
      <c r="CV48" s="55">
        <v>2</v>
      </c>
      <c r="CW48" s="55">
        <v>2</v>
      </c>
      <c r="CX48" s="55">
        <v>2</v>
      </c>
      <c r="CY48" s="55">
        <v>2</v>
      </c>
      <c r="CZ48" s="55">
        <v>2</v>
      </c>
      <c r="DA48" s="55">
        <v>2</v>
      </c>
      <c r="DB48" s="55">
        <v>2</v>
      </c>
      <c r="DC48" s="55">
        <v>2</v>
      </c>
      <c r="DD48" s="58">
        <v>2</v>
      </c>
      <c r="DE48" s="59">
        <v>2</v>
      </c>
      <c r="DF48" s="55">
        <v>2</v>
      </c>
      <c r="DG48" s="55">
        <v>2</v>
      </c>
      <c r="DH48" s="58">
        <v>2</v>
      </c>
      <c r="DI48" s="55">
        <v>2</v>
      </c>
      <c r="DJ48" s="55">
        <v>2</v>
      </c>
      <c r="DK48" s="55">
        <v>2</v>
      </c>
      <c r="DL48" s="58">
        <v>2</v>
      </c>
      <c r="DM48" s="55">
        <v>2</v>
      </c>
      <c r="DN48" s="55">
        <v>2</v>
      </c>
      <c r="DO48" s="55">
        <v>2</v>
      </c>
      <c r="DP48" s="55">
        <v>2</v>
      </c>
      <c r="DQ48" s="59">
        <v>2</v>
      </c>
      <c r="DR48" s="55">
        <v>2</v>
      </c>
      <c r="DS48" s="55">
        <v>2</v>
      </c>
      <c r="DT48" s="55">
        <v>2</v>
      </c>
      <c r="DU48" s="55">
        <v>2</v>
      </c>
      <c r="DV48" s="55">
        <v>2</v>
      </c>
      <c r="DW48" s="55">
        <v>2</v>
      </c>
      <c r="DX48" s="55">
        <v>2</v>
      </c>
      <c r="DY48" s="55">
        <v>2</v>
      </c>
      <c r="DZ48" s="55">
        <v>2</v>
      </c>
      <c r="EA48" s="55">
        <v>2</v>
      </c>
      <c r="EB48" s="55">
        <v>2</v>
      </c>
      <c r="EC48" s="56">
        <v>2</v>
      </c>
      <c r="ED48" s="55">
        <v>2</v>
      </c>
      <c r="EE48" s="55">
        <v>2</v>
      </c>
      <c r="EF48" s="55">
        <v>2</v>
      </c>
      <c r="EG48" s="55">
        <v>2</v>
      </c>
      <c r="EH48" s="55">
        <v>2</v>
      </c>
      <c r="EI48" s="55">
        <v>2</v>
      </c>
      <c r="EJ48" s="55">
        <v>2</v>
      </c>
      <c r="EK48" s="55">
        <v>2</v>
      </c>
      <c r="EL48" s="55">
        <v>2</v>
      </c>
      <c r="EM48" s="55">
        <v>2</v>
      </c>
      <c r="EN48" s="55">
        <v>2</v>
      </c>
      <c r="EO48" s="56">
        <v>2</v>
      </c>
      <c r="EP48" s="55">
        <v>2</v>
      </c>
      <c r="EQ48" s="55">
        <v>2</v>
      </c>
      <c r="ER48" s="55">
        <v>2</v>
      </c>
      <c r="ES48" s="55">
        <v>2</v>
      </c>
      <c r="ET48" s="55">
        <v>2</v>
      </c>
      <c r="EU48" s="55">
        <v>2</v>
      </c>
      <c r="EV48" s="55">
        <v>2</v>
      </c>
      <c r="EW48" s="55">
        <v>2</v>
      </c>
      <c r="EX48" s="55">
        <v>2</v>
      </c>
      <c r="EY48" s="55">
        <v>2</v>
      </c>
      <c r="EZ48" s="55">
        <v>2</v>
      </c>
      <c r="FA48" s="56">
        <v>2</v>
      </c>
      <c r="FB48" s="55">
        <v>2</v>
      </c>
      <c r="FC48" s="55">
        <v>2</v>
      </c>
      <c r="FD48" s="55">
        <v>2</v>
      </c>
      <c r="FE48" s="55">
        <v>2</v>
      </c>
      <c r="FF48" s="55">
        <v>2</v>
      </c>
      <c r="FG48" s="55">
        <v>2</v>
      </c>
      <c r="FH48" s="55">
        <v>2</v>
      </c>
      <c r="FI48" s="55">
        <v>2</v>
      </c>
      <c r="FJ48" s="39">
        <v>2</v>
      </c>
      <c r="FK48" s="39">
        <v>2</v>
      </c>
      <c r="FL48" s="39">
        <v>2</v>
      </c>
      <c r="FM48" s="39">
        <v>2</v>
      </c>
      <c r="FN48" s="77">
        <v>2</v>
      </c>
      <c r="FO48" s="39">
        <v>2</v>
      </c>
      <c r="FP48" s="39">
        <v>2</v>
      </c>
      <c r="FQ48" s="39">
        <v>2</v>
      </c>
      <c r="FR48" s="39">
        <v>2</v>
      </c>
      <c r="FS48" s="39">
        <v>2</v>
      </c>
      <c r="FT48" s="39">
        <v>2</v>
      </c>
      <c r="FU48" s="39">
        <v>2</v>
      </c>
      <c r="FV48" s="39">
        <v>2</v>
      </c>
      <c r="FW48" s="39">
        <v>2</v>
      </c>
      <c r="FX48" s="39">
        <v>2</v>
      </c>
      <c r="FY48" s="197">
        <v>2</v>
      </c>
      <c r="FZ48" s="39">
        <v>2</v>
      </c>
      <c r="GA48" s="39">
        <v>2</v>
      </c>
      <c r="GB48" s="39">
        <v>2</v>
      </c>
      <c r="GC48" s="39">
        <v>2</v>
      </c>
      <c r="GD48" s="39">
        <v>2</v>
      </c>
      <c r="GE48" s="39">
        <v>2</v>
      </c>
      <c r="GF48" s="39">
        <v>2</v>
      </c>
      <c r="GG48" s="39">
        <v>2</v>
      </c>
      <c r="GH48" s="39">
        <v>2</v>
      </c>
      <c r="GI48" s="39">
        <v>2</v>
      </c>
      <c r="GJ48" s="39">
        <v>2</v>
      </c>
      <c r="GK48" s="197">
        <v>2</v>
      </c>
      <c r="GL48" s="39">
        <v>2</v>
      </c>
      <c r="GM48" s="39">
        <v>2</v>
      </c>
      <c r="GN48" s="39">
        <v>2</v>
      </c>
    </row>
    <row r="49" spans="1:196" s="1" customFormat="1" ht="20.149999999999999" customHeight="1" thickBot="1" x14ac:dyDescent="0.4">
      <c r="A49" s="32" t="s">
        <v>267</v>
      </c>
      <c r="B49" s="61">
        <f>SUM(B43:B48)</f>
        <v>250</v>
      </c>
      <c r="C49" s="62">
        <f t="shared" ref="C49:BN49" si="16">SUM(C43:C48)</f>
        <v>250</v>
      </c>
      <c r="D49" s="62">
        <f t="shared" si="16"/>
        <v>258</v>
      </c>
      <c r="E49" s="62">
        <f t="shared" si="16"/>
        <v>271</v>
      </c>
      <c r="F49" s="62">
        <f t="shared" si="16"/>
        <v>273</v>
      </c>
      <c r="G49" s="62">
        <f t="shared" si="16"/>
        <v>289</v>
      </c>
      <c r="H49" s="62">
        <f t="shared" si="16"/>
        <v>292</v>
      </c>
      <c r="I49" s="62">
        <f t="shared" si="16"/>
        <v>294</v>
      </c>
      <c r="J49" s="62">
        <f t="shared" si="16"/>
        <v>295</v>
      </c>
      <c r="K49" s="62">
        <f t="shared" si="16"/>
        <v>300</v>
      </c>
      <c r="L49" s="62">
        <f t="shared" si="16"/>
        <v>319</v>
      </c>
      <c r="M49" s="62">
        <f t="shared" si="16"/>
        <v>325</v>
      </c>
      <c r="N49" s="61">
        <f t="shared" si="16"/>
        <v>325</v>
      </c>
      <c r="O49" s="62">
        <f t="shared" si="16"/>
        <v>327</v>
      </c>
      <c r="P49" s="62">
        <f t="shared" si="16"/>
        <v>338</v>
      </c>
      <c r="Q49" s="62">
        <f t="shared" si="16"/>
        <v>341</v>
      </c>
      <c r="R49" s="62">
        <f t="shared" si="16"/>
        <v>354</v>
      </c>
      <c r="S49" s="62">
        <f t="shared" si="16"/>
        <v>362</v>
      </c>
      <c r="T49" s="62">
        <f t="shared" si="16"/>
        <v>366</v>
      </c>
      <c r="U49" s="62">
        <f t="shared" si="16"/>
        <v>375</v>
      </c>
      <c r="V49" s="62">
        <f t="shared" si="16"/>
        <v>401</v>
      </c>
      <c r="W49" s="62">
        <f t="shared" si="16"/>
        <v>425</v>
      </c>
      <c r="X49" s="62">
        <f t="shared" si="16"/>
        <v>461</v>
      </c>
      <c r="Y49" s="62">
        <f t="shared" si="16"/>
        <v>499</v>
      </c>
      <c r="Z49" s="61">
        <f t="shared" si="16"/>
        <v>580</v>
      </c>
      <c r="AA49" s="62">
        <f t="shared" si="16"/>
        <v>602</v>
      </c>
      <c r="AB49" s="62">
        <f t="shared" si="16"/>
        <v>658</v>
      </c>
      <c r="AC49" s="62">
        <f t="shared" si="16"/>
        <v>680</v>
      </c>
      <c r="AD49" s="62">
        <f t="shared" si="16"/>
        <v>704</v>
      </c>
      <c r="AE49" s="62">
        <f t="shared" si="16"/>
        <v>716</v>
      </c>
      <c r="AF49" s="62">
        <f t="shared" si="16"/>
        <v>759</v>
      </c>
      <c r="AG49" s="62">
        <f t="shared" si="16"/>
        <v>874</v>
      </c>
      <c r="AH49" s="62">
        <f t="shared" si="16"/>
        <v>1023</v>
      </c>
      <c r="AI49" s="62">
        <f t="shared" si="16"/>
        <v>1174</v>
      </c>
      <c r="AJ49" s="62">
        <f t="shared" si="16"/>
        <v>1334</v>
      </c>
      <c r="AK49" s="127">
        <f t="shared" si="16"/>
        <v>1459</v>
      </c>
      <c r="AL49" s="62">
        <f t="shared" si="16"/>
        <v>1665</v>
      </c>
      <c r="AM49" s="62">
        <f t="shared" si="16"/>
        <v>1843</v>
      </c>
      <c r="AN49" s="62">
        <f t="shared" si="16"/>
        <v>2020</v>
      </c>
      <c r="AO49" s="62">
        <f t="shared" si="16"/>
        <v>2176</v>
      </c>
      <c r="AP49" s="62">
        <f t="shared" si="16"/>
        <v>2399</v>
      </c>
      <c r="AQ49" s="62">
        <f t="shared" si="16"/>
        <v>2583</v>
      </c>
      <c r="AR49" s="62">
        <f t="shared" si="16"/>
        <v>2877</v>
      </c>
      <c r="AS49" s="62">
        <f t="shared" si="16"/>
        <v>3343</v>
      </c>
      <c r="AT49" s="62">
        <f t="shared" si="16"/>
        <v>3844</v>
      </c>
      <c r="AU49" s="62">
        <f t="shared" si="16"/>
        <v>4294</v>
      </c>
      <c r="AV49" s="62">
        <f t="shared" si="16"/>
        <v>4796</v>
      </c>
      <c r="AW49" s="63">
        <f t="shared" si="16"/>
        <v>5244</v>
      </c>
      <c r="AX49" s="62">
        <f t="shared" si="16"/>
        <v>5715</v>
      </c>
      <c r="AY49" s="62">
        <f t="shared" si="16"/>
        <v>7017</v>
      </c>
      <c r="AZ49" s="62">
        <f t="shared" si="16"/>
        <v>7399</v>
      </c>
      <c r="BA49" s="62">
        <f t="shared" si="16"/>
        <v>7787</v>
      </c>
      <c r="BB49" s="62">
        <f t="shared" si="16"/>
        <v>8285</v>
      </c>
      <c r="BC49" s="62">
        <f t="shared" si="16"/>
        <v>8811</v>
      </c>
      <c r="BD49" s="62">
        <f t="shared" si="16"/>
        <v>9298</v>
      </c>
      <c r="BE49" s="62">
        <f t="shared" si="16"/>
        <v>9818</v>
      </c>
      <c r="BF49" s="62">
        <f t="shared" si="16"/>
        <v>10391</v>
      </c>
      <c r="BG49" s="62">
        <f t="shared" si="16"/>
        <v>10941</v>
      </c>
      <c r="BH49" s="62">
        <f t="shared" si="16"/>
        <v>11502</v>
      </c>
      <c r="BI49" s="63">
        <f t="shared" si="16"/>
        <v>11925</v>
      </c>
      <c r="BJ49" s="62">
        <f t="shared" si="16"/>
        <v>12332</v>
      </c>
      <c r="BK49" s="62">
        <f t="shared" si="16"/>
        <v>12817</v>
      </c>
      <c r="BL49" s="62">
        <f t="shared" si="16"/>
        <v>13345</v>
      </c>
      <c r="BM49" s="62">
        <f t="shared" si="16"/>
        <v>13785</v>
      </c>
      <c r="BN49" s="62">
        <f t="shared" si="16"/>
        <v>14267</v>
      </c>
      <c r="BO49" s="62">
        <f t="shared" ref="BO49:DZ49" si="17">SUM(BO43:BO48)</f>
        <v>14772</v>
      </c>
      <c r="BP49" s="62">
        <f t="shared" si="17"/>
        <v>15266</v>
      </c>
      <c r="BQ49" s="62">
        <f t="shared" si="17"/>
        <v>16079</v>
      </c>
      <c r="BR49" s="62">
        <f t="shared" si="17"/>
        <v>17700</v>
      </c>
      <c r="BS49" s="62">
        <f t="shared" si="17"/>
        <v>18031</v>
      </c>
      <c r="BT49" s="62">
        <f t="shared" si="17"/>
        <v>18399</v>
      </c>
      <c r="BU49" s="63">
        <f t="shared" si="17"/>
        <v>18752</v>
      </c>
      <c r="BV49" s="62">
        <f t="shared" si="17"/>
        <v>19148</v>
      </c>
      <c r="BW49" s="62">
        <f t="shared" si="17"/>
        <v>19529</v>
      </c>
      <c r="BX49" s="62">
        <f t="shared" si="17"/>
        <v>19966</v>
      </c>
      <c r="BY49" s="62">
        <f t="shared" si="17"/>
        <v>20334</v>
      </c>
      <c r="BZ49" s="62">
        <f t="shared" si="17"/>
        <v>20586</v>
      </c>
      <c r="CA49" s="62">
        <f t="shared" si="17"/>
        <v>20896</v>
      </c>
      <c r="CB49" s="62">
        <f t="shared" si="17"/>
        <v>21177</v>
      </c>
      <c r="CC49" s="62">
        <f t="shared" si="17"/>
        <v>21565</v>
      </c>
      <c r="CD49" s="62">
        <f t="shared" si="17"/>
        <v>22718</v>
      </c>
      <c r="CE49" s="62">
        <f t="shared" si="17"/>
        <v>22761</v>
      </c>
      <c r="CF49" s="62">
        <f t="shared" si="17"/>
        <v>22831</v>
      </c>
      <c r="CG49" s="63">
        <f t="shared" si="17"/>
        <v>22881</v>
      </c>
      <c r="CH49" s="62">
        <f t="shared" si="17"/>
        <v>22937</v>
      </c>
      <c r="CI49" s="62">
        <f t="shared" si="17"/>
        <v>23114</v>
      </c>
      <c r="CJ49" s="62">
        <f t="shared" si="17"/>
        <v>23535</v>
      </c>
      <c r="CK49" s="62">
        <f t="shared" si="17"/>
        <v>23550</v>
      </c>
      <c r="CL49" s="62">
        <f t="shared" si="17"/>
        <v>23574</v>
      </c>
      <c r="CM49" s="62">
        <f t="shared" si="17"/>
        <v>23635</v>
      </c>
      <c r="CN49" s="62">
        <f t="shared" si="17"/>
        <v>23646</v>
      </c>
      <c r="CO49" s="62">
        <f t="shared" si="17"/>
        <v>23672</v>
      </c>
      <c r="CP49" s="62">
        <f t="shared" si="17"/>
        <v>23702</v>
      </c>
      <c r="CQ49" s="62">
        <f t="shared" si="17"/>
        <v>23735</v>
      </c>
      <c r="CR49" s="62">
        <f t="shared" si="17"/>
        <v>23791</v>
      </c>
      <c r="CS49" s="63">
        <f t="shared" si="17"/>
        <v>23808</v>
      </c>
      <c r="CT49" s="62">
        <f t="shared" si="17"/>
        <v>23826</v>
      </c>
      <c r="CU49" s="62">
        <f t="shared" si="17"/>
        <v>23868</v>
      </c>
      <c r="CV49" s="62">
        <f t="shared" si="17"/>
        <v>23921</v>
      </c>
      <c r="CW49" s="62">
        <f t="shared" si="17"/>
        <v>23955</v>
      </c>
      <c r="CX49" s="62">
        <f t="shared" si="17"/>
        <v>23972</v>
      </c>
      <c r="CY49" s="62">
        <f t="shared" si="17"/>
        <v>23996</v>
      </c>
      <c r="CZ49" s="62">
        <f t="shared" si="17"/>
        <v>24014</v>
      </c>
      <c r="DA49" s="62">
        <f t="shared" si="17"/>
        <v>24057</v>
      </c>
      <c r="DB49" s="62">
        <f t="shared" si="17"/>
        <v>24066</v>
      </c>
      <c r="DC49" s="62">
        <f t="shared" si="17"/>
        <v>24148</v>
      </c>
      <c r="DD49" s="62">
        <f t="shared" si="17"/>
        <v>24196</v>
      </c>
      <c r="DE49" s="63">
        <f t="shared" si="17"/>
        <v>24207</v>
      </c>
      <c r="DF49" s="62">
        <f t="shared" si="17"/>
        <v>24274</v>
      </c>
      <c r="DG49" s="62">
        <f t="shared" si="17"/>
        <v>24327</v>
      </c>
      <c r="DH49" s="62">
        <f t="shared" si="17"/>
        <v>24340</v>
      </c>
      <c r="DI49" s="62">
        <f t="shared" si="17"/>
        <v>24366</v>
      </c>
      <c r="DJ49" s="62">
        <f t="shared" si="17"/>
        <v>24388</v>
      </c>
      <c r="DK49" s="62">
        <f t="shared" si="17"/>
        <v>24434</v>
      </c>
      <c r="DL49" s="62">
        <f t="shared" si="17"/>
        <v>24466</v>
      </c>
      <c r="DM49" s="62">
        <f t="shared" si="17"/>
        <v>24494</v>
      </c>
      <c r="DN49" s="62">
        <f t="shared" si="17"/>
        <v>24536</v>
      </c>
      <c r="DO49" s="62">
        <f t="shared" si="17"/>
        <v>24552</v>
      </c>
      <c r="DP49" s="62">
        <f t="shared" si="17"/>
        <v>24573</v>
      </c>
      <c r="DQ49" s="63">
        <f t="shared" si="17"/>
        <v>24579</v>
      </c>
      <c r="DR49" s="62">
        <f t="shared" si="17"/>
        <v>24595</v>
      </c>
      <c r="DS49" s="62">
        <f t="shared" si="17"/>
        <v>24614</v>
      </c>
      <c r="DT49" s="62">
        <f t="shared" si="17"/>
        <v>24638</v>
      </c>
      <c r="DU49" s="62">
        <f t="shared" si="17"/>
        <v>24640</v>
      </c>
      <c r="DV49" s="62">
        <f t="shared" si="17"/>
        <v>24641</v>
      </c>
      <c r="DW49" s="62">
        <f t="shared" si="17"/>
        <v>24679</v>
      </c>
      <c r="DX49" s="62">
        <f t="shared" si="17"/>
        <v>24695</v>
      </c>
      <c r="DY49" s="62">
        <f t="shared" si="17"/>
        <v>24747</v>
      </c>
      <c r="DZ49" s="62">
        <f t="shared" si="17"/>
        <v>24778</v>
      </c>
      <c r="EA49" s="62">
        <f t="shared" ref="EA49:GL49" si="18">SUM(EA43:EA48)</f>
        <v>24804</v>
      </c>
      <c r="EB49" s="62">
        <f t="shared" si="18"/>
        <v>24822</v>
      </c>
      <c r="EC49" s="63">
        <f t="shared" si="18"/>
        <v>24827</v>
      </c>
      <c r="ED49" s="62">
        <f t="shared" si="18"/>
        <v>24871</v>
      </c>
      <c r="EE49" s="62">
        <f t="shared" si="18"/>
        <v>24885</v>
      </c>
      <c r="EF49" s="62">
        <f t="shared" si="18"/>
        <v>24919</v>
      </c>
      <c r="EG49" s="62">
        <f t="shared" si="18"/>
        <v>24950</v>
      </c>
      <c r="EH49" s="62">
        <f t="shared" si="18"/>
        <v>25003</v>
      </c>
      <c r="EI49" s="62">
        <f t="shared" si="18"/>
        <v>25070</v>
      </c>
      <c r="EJ49" s="62">
        <f t="shared" si="18"/>
        <v>25101</v>
      </c>
      <c r="EK49" s="62">
        <f t="shared" si="18"/>
        <v>25166</v>
      </c>
      <c r="EL49" s="62">
        <f t="shared" si="18"/>
        <v>25270</v>
      </c>
      <c r="EM49" s="62">
        <f t="shared" si="18"/>
        <v>25334</v>
      </c>
      <c r="EN49" s="62">
        <f t="shared" si="18"/>
        <v>25443</v>
      </c>
      <c r="EO49" s="63">
        <f t="shared" si="18"/>
        <v>25487</v>
      </c>
      <c r="EP49" s="62">
        <f t="shared" si="18"/>
        <v>25599</v>
      </c>
      <c r="EQ49" s="62">
        <f t="shared" si="18"/>
        <v>25685</v>
      </c>
      <c r="ER49" s="62">
        <f t="shared" si="18"/>
        <v>25783</v>
      </c>
      <c r="ES49" s="62">
        <f t="shared" si="18"/>
        <v>25868</v>
      </c>
      <c r="ET49" s="62">
        <f t="shared" si="18"/>
        <v>26051</v>
      </c>
      <c r="EU49" s="62">
        <f t="shared" si="18"/>
        <v>26196</v>
      </c>
      <c r="EV49" s="62">
        <f t="shared" si="18"/>
        <v>26332</v>
      </c>
      <c r="EW49" s="62">
        <f t="shared" si="18"/>
        <v>26495</v>
      </c>
      <c r="EX49" s="62">
        <f t="shared" si="18"/>
        <v>26697</v>
      </c>
      <c r="EY49" s="62">
        <f t="shared" si="18"/>
        <v>26890</v>
      </c>
      <c r="EZ49" s="62">
        <f t="shared" si="18"/>
        <v>27141</v>
      </c>
      <c r="FA49" s="63">
        <f t="shared" si="18"/>
        <v>27295</v>
      </c>
      <c r="FB49" s="62">
        <f t="shared" si="18"/>
        <v>27505</v>
      </c>
      <c r="FC49" s="62">
        <f t="shared" si="18"/>
        <v>27686</v>
      </c>
      <c r="FD49" s="62">
        <f t="shared" si="18"/>
        <v>27856</v>
      </c>
      <c r="FE49" s="62">
        <f t="shared" si="18"/>
        <v>27978</v>
      </c>
      <c r="FF49" s="62">
        <f t="shared" si="18"/>
        <v>28145</v>
      </c>
      <c r="FG49" s="62">
        <f t="shared" si="18"/>
        <v>28316</v>
      </c>
      <c r="FH49" s="62">
        <f t="shared" si="18"/>
        <v>28478</v>
      </c>
      <c r="FI49" s="62">
        <f t="shared" si="18"/>
        <v>28672</v>
      </c>
      <c r="FJ49" s="62">
        <f t="shared" si="18"/>
        <v>28854</v>
      </c>
      <c r="FK49" s="158">
        <f t="shared" si="18"/>
        <v>29064</v>
      </c>
      <c r="FL49" s="158">
        <f t="shared" si="18"/>
        <v>29224</v>
      </c>
      <c r="FM49" s="158">
        <f t="shared" si="18"/>
        <v>29329</v>
      </c>
      <c r="FN49" s="122">
        <f t="shared" si="18"/>
        <v>29439</v>
      </c>
      <c r="FO49" s="158">
        <f t="shared" si="18"/>
        <v>29624</v>
      </c>
      <c r="FP49" s="158">
        <f t="shared" si="18"/>
        <v>29709</v>
      </c>
      <c r="FQ49" s="158">
        <f t="shared" si="18"/>
        <v>29914</v>
      </c>
      <c r="FR49" s="158">
        <f t="shared" si="18"/>
        <v>30080</v>
      </c>
      <c r="FS49" s="158">
        <f t="shared" si="18"/>
        <v>30307</v>
      </c>
      <c r="FT49" s="158">
        <f t="shared" si="18"/>
        <v>30486</v>
      </c>
      <c r="FU49" s="158">
        <f t="shared" si="18"/>
        <v>30692</v>
      </c>
      <c r="FV49" s="158">
        <f t="shared" si="18"/>
        <v>30871</v>
      </c>
      <c r="FW49" s="158">
        <f t="shared" si="18"/>
        <v>31104</v>
      </c>
      <c r="FX49" s="158">
        <f t="shared" si="18"/>
        <v>31349</v>
      </c>
      <c r="FY49" s="198">
        <f t="shared" si="18"/>
        <v>31439</v>
      </c>
      <c r="FZ49" s="158">
        <f t="shared" si="18"/>
        <v>31582</v>
      </c>
      <c r="GA49" s="158">
        <f t="shared" si="18"/>
        <v>31756</v>
      </c>
      <c r="GB49" s="158">
        <f t="shared" si="18"/>
        <v>31977</v>
      </c>
      <c r="GC49" s="158">
        <f t="shared" si="18"/>
        <v>32174</v>
      </c>
      <c r="GD49" s="158">
        <f t="shared" si="18"/>
        <v>32532</v>
      </c>
      <c r="GE49" s="158">
        <f t="shared" si="18"/>
        <v>32836</v>
      </c>
      <c r="GF49" s="158">
        <f t="shared" si="18"/>
        <v>33056</v>
      </c>
      <c r="GG49" s="158">
        <f t="shared" si="18"/>
        <v>33307</v>
      </c>
      <c r="GH49" s="158">
        <f t="shared" si="18"/>
        <v>33521</v>
      </c>
      <c r="GI49" s="158">
        <f t="shared" si="18"/>
        <v>33822</v>
      </c>
      <c r="GJ49" s="158">
        <f t="shared" si="18"/>
        <v>34152</v>
      </c>
      <c r="GK49" s="198">
        <f t="shared" si="18"/>
        <v>34309</v>
      </c>
      <c r="GL49" s="158">
        <f t="shared" si="18"/>
        <v>34558</v>
      </c>
      <c r="GM49" s="158">
        <f t="shared" ref="GM49:GN49" si="19">SUM(GM43:GM48)</f>
        <v>34810</v>
      </c>
      <c r="GN49" s="158">
        <f t="shared" si="19"/>
        <v>35138</v>
      </c>
    </row>
    <row r="50" spans="1:196" s="25" customFormat="1" ht="20.149999999999999" customHeight="1" thickTop="1" x14ac:dyDescent="0.35">
      <c r="A50" s="26" t="s">
        <v>269</v>
      </c>
      <c r="B50" s="55"/>
      <c r="C50" s="55"/>
      <c r="D50" s="55"/>
      <c r="E50" s="55"/>
      <c r="F50" s="55"/>
      <c r="G50" s="55"/>
      <c r="H50" s="55"/>
      <c r="I50" s="55"/>
      <c r="J50" s="55"/>
      <c r="K50" s="55"/>
      <c r="L50" s="55"/>
      <c r="M50" s="56"/>
      <c r="N50" s="57"/>
      <c r="O50" s="55"/>
      <c r="P50" s="55"/>
      <c r="Q50" s="55"/>
      <c r="R50" s="55"/>
      <c r="S50" s="55"/>
      <c r="T50" s="55"/>
      <c r="U50" s="55"/>
      <c r="V50" s="55"/>
      <c r="W50" s="55"/>
      <c r="X50" s="55"/>
      <c r="Y50" s="56"/>
      <c r="Z50" s="57"/>
      <c r="AA50" s="55"/>
      <c r="AB50" s="55"/>
      <c r="AC50" s="55"/>
      <c r="AD50" s="55"/>
      <c r="AE50" s="55"/>
      <c r="AF50" s="55"/>
      <c r="AG50" s="55"/>
      <c r="AH50" s="55"/>
      <c r="AI50" s="55"/>
      <c r="AJ50" s="55"/>
      <c r="AK50" s="56"/>
      <c r="AL50" s="57"/>
      <c r="AM50" s="55"/>
      <c r="AN50" s="55"/>
      <c r="AO50" s="55"/>
      <c r="AP50" s="55"/>
      <c r="AQ50" s="55"/>
      <c r="AR50" s="55"/>
      <c r="AS50" s="55"/>
      <c r="AT50" s="55"/>
      <c r="AU50" s="55"/>
      <c r="AV50" s="55"/>
      <c r="AW50" s="56"/>
      <c r="AX50" s="55"/>
      <c r="AY50" s="55"/>
      <c r="AZ50" s="55"/>
      <c r="BA50" s="55"/>
      <c r="BB50" s="55"/>
      <c r="BC50" s="55"/>
      <c r="BD50" s="55"/>
      <c r="BE50" s="55"/>
      <c r="BF50" s="55"/>
      <c r="BG50" s="55"/>
      <c r="BH50" s="55"/>
      <c r="BI50" s="56"/>
      <c r="BJ50" s="55"/>
      <c r="BK50" s="55"/>
      <c r="BL50" s="55"/>
      <c r="BM50" s="55"/>
      <c r="BN50" s="55"/>
      <c r="BO50" s="55"/>
      <c r="BP50" s="55"/>
      <c r="BQ50" s="55"/>
      <c r="BR50" s="55"/>
      <c r="BS50" s="55"/>
      <c r="BT50" s="55"/>
      <c r="BU50" s="56"/>
      <c r="BV50" s="55"/>
      <c r="BW50" s="55"/>
      <c r="BX50" s="55"/>
      <c r="BY50" s="55"/>
      <c r="BZ50" s="55"/>
      <c r="CA50" s="55"/>
      <c r="CB50" s="55"/>
      <c r="CC50" s="55"/>
      <c r="CD50" s="55"/>
      <c r="CE50" s="55"/>
      <c r="CF50" s="55"/>
      <c r="CG50" s="56"/>
      <c r="CH50" s="55"/>
      <c r="CI50" s="55"/>
      <c r="CJ50" s="55"/>
      <c r="CK50" s="55"/>
      <c r="CL50" s="55"/>
      <c r="CM50" s="55"/>
      <c r="CN50" s="55"/>
      <c r="CO50" s="55"/>
      <c r="CP50" s="55"/>
      <c r="CQ50" s="55"/>
      <c r="CR50" s="55"/>
      <c r="CS50" s="56"/>
      <c r="CT50" s="55"/>
      <c r="CU50" s="55"/>
      <c r="CV50" s="55"/>
      <c r="CW50" s="55"/>
      <c r="CX50" s="55"/>
      <c r="CY50" s="55"/>
      <c r="CZ50" s="55"/>
      <c r="DA50" s="55"/>
      <c r="DB50" s="55"/>
      <c r="DC50" s="55"/>
      <c r="DD50" s="55"/>
      <c r="DE50" s="56"/>
      <c r="DF50" s="55"/>
      <c r="DG50" s="55"/>
      <c r="DH50" s="55"/>
      <c r="DI50" s="55"/>
      <c r="DJ50" s="55"/>
      <c r="DK50" s="55"/>
      <c r="DL50" s="55"/>
      <c r="DM50" s="55"/>
      <c r="DN50" s="55"/>
      <c r="DO50" s="55"/>
      <c r="DP50" s="55"/>
      <c r="DQ50" s="56"/>
      <c r="DR50" s="55"/>
      <c r="DS50" s="55"/>
      <c r="DT50" s="55"/>
      <c r="DU50" s="55"/>
      <c r="DV50" s="55"/>
      <c r="DW50" s="55"/>
      <c r="DX50" s="55"/>
      <c r="DY50" s="55"/>
      <c r="DZ50" s="55"/>
      <c r="EA50" s="55"/>
      <c r="EB50" s="55"/>
      <c r="EC50" s="56"/>
      <c r="ED50" s="55"/>
      <c r="EE50" s="55"/>
      <c r="EF50" s="55"/>
      <c r="EG50" s="55"/>
      <c r="EH50" s="55"/>
      <c r="EI50" s="55"/>
      <c r="EJ50" s="55"/>
      <c r="EK50" s="55"/>
      <c r="EL50" s="55"/>
      <c r="EM50" s="55"/>
      <c r="EN50" s="55"/>
      <c r="EO50" s="56"/>
      <c r="EP50" s="55"/>
      <c r="EQ50" s="55"/>
      <c r="ER50" s="55"/>
      <c r="ES50" s="55"/>
      <c r="ET50" s="55"/>
      <c r="EU50" s="55"/>
      <c r="EV50" s="55"/>
      <c r="EW50" s="55"/>
      <c r="EX50" s="55"/>
      <c r="EY50" s="123"/>
      <c r="EZ50" s="123"/>
      <c r="FA50" s="56"/>
      <c r="FB50" s="123"/>
      <c r="FC50" s="123"/>
      <c r="FD50" s="123"/>
      <c r="FE50" s="123"/>
      <c r="FF50" s="123"/>
      <c r="FG50" s="123"/>
      <c r="FH50" s="123"/>
      <c r="FI50" s="123"/>
      <c r="FJ50" s="38"/>
      <c r="FK50" s="38"/>
      <c r="FL50" s="38"/>
      <c r="FM50" s="38"/>
      <c r="FN50" s="167"/>
      <c r="FO50" s="38"/>
      <c r="FP50" s="38"/>
      <c r="FQ50" s="38"/>
      <c r="FR50" s="38"/>
      <c r="FS50" s="38"/>
      <c r="FT50" s="38"/>
      <c r="FU50" s="39"/>
      <c r="FV50" s="39"/>
      <c r="FW50" s="39"/>
      <c r="FX50" s="39"/>
      <c r="FY50" s="197"/>
      <c r="FZ50" s="39"/>
      <c r="GA50" s="39"/>
      <c r="GB50" s="39"/>
      <c r="GC50" s="39"/>
      <c r="GD50" s="39"/>
      <c r="GE50" s="39"/>
      <c r="GF50" s="39"/>
      <c r="GG50" s="39"/>
      <c r="GH50" s="39"/>
      <c r="GI50" s="39"/>
      <c r="GJ50" s="39"/>
      <c r="GK50" s="197"/>
      <c r="GL50" s="39"/>
      <c r="GM50" s="39"/>
      <c r="GN50" s="39"/>
    </row>
    <row r="51" spans="1:196" s="30" customFormat="1" ht="20.149999999999999" customHeight="1" x14ac:dyDescent="0.35">
      <c r="A51" s="31" t="s">
        <v>1623</v>
      </c>
      <c r="B51" s="55">
        <v>4338</v>
      </c>
      <c r="C51" s="55">
        <v>4893</v>
      </c>
      <c r="D51" s="55">
        <v>5866</v>
      </c>
      <c r="E51" s="55">
        <v>6885</v>
      </c>
      <c r="F51" s="55">
        <v>8340</v>
      </c>
      <c r="G51" s="55">
        <v>10197</v>
      </c>
      <c r="H51" s="55">
        <v>12442</v>
      </c>
      <c r="I51" s="55">
        <v>14654</v>
      </c>
      <c r="J51" s="55">
        <v>17415</v>
      </c>
      <c r="K51" s="55">
        <v>20763</v>
      </c>
      <c r="L51" s="55">
        <v>24625</v>
      </c>
      <c r="M51" s="56">
        <v>27597</v>
      </c>
      <c r="N51" s="57">
        <v>31598</v>
      </c>
      <c r="O51" s="55">
        <v>36102</v>
      </c>
      <c r="P51" s="55">
        <v>42948</v>
      </c>
      <c r="Q51" s="55">
        <v>49006</v>
      </c>
      <c r="R51" s="55">
        <v>55952</v>
      </c>
      <c r="S51" s="55">
        <v>64988</v>
      </c>
      <c r="T51" s="55">
        <v>75356</v>
      </c>
      <c r="U51" s="55">
        <v>88383</v>
      </c>
      <c r="V51" s="55">
        <v>104144</v>
      </c>
      <c r="W51" s="55">
        <v>122362</v>
      </c>
      <c r="X51" s="55">
        <v>172517</v>
      </c>
      <c r="Y51" s="56">
        <v>212571</v>
      </c>
      <c r="Z51" s="57">
        <v>220555</v>
      </c>
      <c r="AA51" s="55">
        <v>257558</v>
      </c>
      <c r="AB51" s="55">
        <v>281777</v>
      </c>
      <c r="AC51" s="55">
        <v>286756</v>
      </c>
      <c r="AD51" s="55">
        <v>295532</v>
      </c>
      <c r="AE51" s="55">
        <v>306112</v>
      </c>
      <c r="AF51" s="55">
        <v>325503</v>
      </c>
      <c r="AG51" s="55">
        <v>329026</v>
      </c>
      <c r="AH51" s="55">
        <v>333420</v>
      </c>
      <c r="AI51" s="55">
        <v>341351</v>
      </c>
      <c r="AJ51" s="55">
        <v>346153</v>
      </c>
      <c r="AK51" s="56">
        <v>351004</v>
      </c>
      <c r="AL51" s="57">
        <v>356174</v>
      </c>
      <c r="AM51" s="55">
        <v>361517</v>
      </c>
      <c r="AN51" s="55">
        <v>367395</v>
      </c>
      <c r="AO51" s="55">
        <v>373212</v>
      </c>
      <c r="AP51" s="55">
        <v>379012</v>
      </c>
      <c r="AQ51" s="55">
        <v>386841</v>
      </c>
      <c r="AR51" s="55">
        <v>391726</v>
      </c>
      <c r="AS51" s="55">
        <v>397277</v>
      </c>
      <c r="AT51" s="55">
        <v>402999</v>
      </c>
      <c r="AU51" s="55">
        <v>409136</v>
      </c>
      <c r="AV51" s="55">
        <v>415937</v>
      </c>
      <c r="AW51" s="56">
        <v>421609</v>
      </c>
      <c r="AX51" s="55">
        <v>427148</v>
      </c>
      <c r="AY51" s="55">
        <v>433229</v>
      </c>
      <c r="AZ51" s="55">
        <v>442505</v>
      </c>
      <c r="BA51" s="55">
        <v>448137</v>
      </c>
      <c r="BB51" s="55">
        <v>454139</v>
      </c>
      <c r="BC51" s="55">
        <v>460684</v>
      </c>
      <c r="BD51" s="55">
        <v>468240</v>
      </c>
      <c r="BE51" s="55">
        <v>475548</v>
      </c>
      <c r="BF51" s="55">
        <v>484366</v>
      </c>
      <c r="BG51" s="55">
        <v>493474</v>
      </c>
      <c r="BH51" s="55">
        <v>501887</v>
      </c>
      <c r="BI51" s="56">
        <v>510127</v>
      </c>
      <c r="BJ51" s="55">
        <v>516543</v>
      </c>
      <c r="BK51" s="55">
        <v>524132</v>
      </c>
      <c r="BL51" s="55">
        <v>535402</v>
      </c>
      <c r="BM51" s="55">
        <v>543244</v>
      </c>
      <c r="BN51" s="55">
        <v>551368</v>
      </c>
      <c r="BO51" s="55">
        <v>562747</v>
      </c>
      <c r="BP51" s="55">
        <v>571223</v>
      </c>
      <c r="BQ51" s="55">
        <v>579601</v>
      </c>
      <c r="BR51" s="55">
        <v>593043</v>
      </c>
      <c r="BS51" s="55">
        <v>605498</v>
      </c>
      <c r="BT51" s="55">
        <v>621742</v>
      </c>
      <c r="BU51" s="56">
        <v>639358</v>
      </c>
      <c r="BV51" s="55">
        <v>650629</v>
      </c>
      <c r="BW51" s="55">
        <v>653631</v>
      </c>
      <c r="BX51" s="55">
        <v>657165</v>
      </c>
      <c r="BY51" s="55">
        <v>660014</v>
      </c>
      <c r="BZ51" s="55">
        <v>662811</v>
      </c>
      <c r="CA51" s="55">
        <v>666058</v>
      </c>
      <c r="CB51" s="55">
        <v>668673</v>
      </c>
      <c r="CC51" s="55">
        <v>671057</v>
      </c>
      <c r="CD51" s="55">
        <v>674386</v>
      </c>
      <c r="CE51" s="55">
        <v>676643</v>
      </c>
      <c r="CF51" s="55">
        <v>679456</v>
      </c>
      <c r="CG51" s="55">
        <v>681379</v>
      </c>
      <c r="CH51" s="77">
        <v>683430</v>
      </c>
      <c r="CI51" s="55">
        <v>685713</v>
      </c>
      <c r="CJ51" s="55">
        <v>688709</v>
      </c>
      <c r="CK51" s="55">
        <v>690595</v>
      </c>
      <c r="CL51" s="55">
        <v>693166</v>
      </c>
      <c r="CM51" s="55">
        <v>695638</v>
      </c>
      <c r="CN51" s="55">
        <v>697784</v>
      </c>
      <c r="CO51" s="55">
        <v>700310</v>
      </c>
      <c r="CP51" s="55">
        <v>702837</v>
      </c>
      <c r="CQ51" s="55">
        <v>705284</v>
      </c>
      <c r="CR51" s="55">
        <v>708276</v>
      </c>
      <c r="CS51" s="55">
        <v>710099</v>
      </c>
      <c r="CT51" s="77">
        <v>712315</v>
      </c>
      <c r="CU51" s="55">
        <v>714428</v>
      </c>
      <c r="CV51" s="55">
        <v>716914</v>
      </c>
      <c r="CW51" s="55">
        <v>719204</v>
      </c>
      <c r="CX51" s="55">
        <v>721753</v>
      </c>
      <c r="CY51" s="55">
        <v>724274</v>
      </c>
      <c r="CZ51" s="55">
        <v>726704</v>
      </c>
      <c r="DA51" s="55">
        <v>729540</v>
      </c>
      <c r="DB51" s="55">
        <v>732322</v>
      </c>
      <c r="DC51" s="55">
        <v>735739</v>
      </c>
      <c r="DD51" s="55">
        <v>739290</v>
      </c>
      <c r="DE51" s="55">
        <v>742053</v>
      </c>
      <c r="DF51" s="77">
        <v>745833</v>
      </c>
      <c r="DG51" s="55">
        <v>749960</v>
      </c>
      <c r="DH51" s="55">
        <v>759564</v>
      </c>
      <c r="DI51" s="55">
        <v>761444</v>
      </c>
      <c r="DJ51" s="55">
        <v>763780</v>
      </c>
      <c r="DK51" s="55">
        <v>766257</v>
      </c>
      <c r="DL51" s="55">
        <v>768630</v>
      </c>
      <c r="DM51" s="55">
        <v>771131</v>
      </c>
      <c r="DN51" s="55">
        <v>773755</v>
      </c>
      <c r="DO51" s="55">
        <v>776416</v>
      </c>
      <c r="DP51" s="55">
        <v>779260</v>
      </c>
      <c r="DQ51" s="55">
        <v>781122</v>
      </c>
      <c r="DR51" s="77">
        <v>783472</v>
      </c>
      <c r="DS51" s="55">
        <v>785696</v>
      </c>
      <c r="DT51" s="55">
        <v>787981</v>
      </c>
      <c r="DU51" s="55">
        <v>788310</v>
      </c>
      <c r="DV51" s="55">
        <v>788862</v>
      </c>
      <c r="DW51" s="55">
        <v>790267</v>
      </c>
      <c r="DX51" s="55">
        <v>792460</v>
      </c>
      <c r="DY51" s="55">
        <v>794737</v>
      </c>
      <c r="DZ51" s="55">
        <v>797584</v>
      </c>
      <c r="EA51" s="55">
        <v>800295</v>
      </c>
      <c r="EB51" s="55">
        <v>803282</v>
      </c>
      <c r="EC51" s="55">
        <v>805422</v>
      </c>
      <c r="ED51" s="77">
        <v>808045</v>
      </c>
      <c r="EE51" s="55">
        <v>810462</v>
      </c>
      <c r="EF51" s="55">
        <v>813736</v>
      </c>
      <c r="EG51" s="55">
        <v>817138</v>
      </c>
      <c r="EH51" s="55">
        <v>820597</v>
      </c>
      <c r="EI51" s="55">
        <v>824081</v>
      </c>
      <c r="EJ51" s="55">
        <v>827246</v>
      </c>
      <c r="EK51" s="55">
        <v>830705</v>
      </c>
      <c r="EL51" s="55">
        <v>834540</v>
      </c>
      <c r="EM51" s="55">
        <v>838097</v>
      </c>
      <c r="EN51" s="55">
        <v>842599</v>
      </c>
      <c r="EO51" s="55">
        <v>845894</v>
      </c>
      <c r="EP51" s="77">
        <v>849631</v>
      </c>
      <c r="EQ51" s="55">
        <v>854420</v>
      </c>
      <c r="ER51" s="55">
        <v>860700</v>
      </c>
      <c r="ES51" s="55">
        <v>866567</v>
      </c>
      <c r="ET51" s="55">
        <v>872854</v>
      </c>
      <c r="EU51" s="55">
        <v>879438</v>
      </c>
      <c r="EV51" s="55">
        <v>885329</v>
      </c>
      <c r="EW51" s="55">
        <v>891813</v>
      </c>
      <c r="EX51" s="55">
        <v>899420</v>
      </c>
      <c r="EY51" s="55">
        <v>906208</v>
      </c>
      <c r="EZ51" s="55">
        <v>913756</v>
      </c>
      <c r="FA51" s="83">
        <v>919377</v>
      </c>
      <c r="FB51" s="55">
        <v>926540</v>
      </c>
      <c r="FC51" s="55">
        <v>934321</v>
      </c>
      <c r="FD51" s="55">
        <v>943193</v>
      </c>
      <c r="FE51" s="55">
        <v>950107</v>
      </c>
      <c r="FF51" s="55">
        <v>957768</v>
      </c>
      <c r="FG51" s="55">
        <v>965883</v>
      </c>
      <c r="FH51" s="55">
        <v>972905</v>
      </c>
      <c r="FI51" s="55">
        <v>979851</v>
      </c>
      <c r="FJ51" s="39">
        <v>986869</v>
      </c>
      <c r="FK51" s="39">
        <v>993820</v>
      </c>
      <c r="FL51" s="39">
        <v>1001347</v>
      </c>
      <c r="FM51" s="39">
        <v>1006004</v>
      </c>
      <c r="FN51" s="77">
        <v>1012337</v>
      </c>
      <c r="FO51" s="39">
        <v>1019187</v>
      </c>
      <c r="FP51" s="39">
        <v>1026940</v>
      </c>
      <c r="FQ51" s="39">
        <v>1034547</v>
      </c>
      <c r="FR51" s="39">
        <v>1042788</v>
      </c>
      <c r="FS51" s="39">
        <v>1051346</v>
      </c>
      <c r="FT51" s="39">
        <v>1059950</v>
      </c>
      <c r="FU51" s="38">
        <v>1068592</v>
      </c>
      <c r="FV51" s="38">
        <v>1078458</v>
      </c>
      <c r="FW51" s="38">
        <v>1090367</v>
      </c>
      <c r="FX51" s="38">
        <v>1103760</v>
      </c>
      <c r="FY51" s="196">
        <v>1112346</v>
      </c>
      <c r="FZ51" s="38">
        <v>1122882</v>
      </c>
      <c r="GA51" s="38">
        <v>1135269</v>
      </c>
      <c r="GB51" s="38">
        <v>1150511</v>
      </c>
      <c r="GC51" s="38">
        <v>1162199</v>
      </c>
      <c r="GD51" s="38">
        <v>1175884</v>
      </c>
      <c r="GE51" s="38">
        <v>1190048</v>
      </c>
      <c r="GF51" s="38">
        <v>1202702</v>
      </c>
      <c r="GG51" s="38">
        <v>1214035</v>
      </c>
      <c r="GH51" s="38">
        <v>1227596</v>
      </c>
      <c r="GI51" s="38">
        <v>1243123</v>
      </c>
      <c r="GJ51" s="38">
        <v>1257711</v>
      </c>
      <c r="GK51" s="196">
        <v>1269087</v>
      </c>
      <c r="GL51" s="38">
        <v>1280993</v>
      </c>
      <c r="GM51" s="38">
        <v>1297660</v>
      </c>
      <c r="GN51" s="38">
        <v>1315327</v>
      </c>
    </row>
    <row r="52" spans="1:196" s="1" customFormat="1" ht="20.149999999999999" customHeight="1" x14ac:dyDescent="0.35">
      <c r="A52" s="31" t="s">
        <v>1626</v>
      </c>
      <c r="B52" s="55">
        <v>584</v>
      </c>
      <c r="C52" s="55">
        <v>614</v>
      </c>
      <c r="D52" s="55">
        <v>659</v>
      </c>
      <c r="E52" s="55">
        <v>689</v>
      </c>
      <c r="F52" s="55">
        <v>743</v>
      </c>
      <c r="G52" s="55">
        <v>804</v>
      </c>
      <c r="H52" s="55">
        <v>873</v>
      </c>
      <c r="I52" s="55">
        <v>940</v>
      </c>
      <c r="J52" s="55">
        <v>1019</v>
      </c>
      <c r="K52" s="55">
        <v>1118</v>
      </c>
      <c r="L52" s="55">
        <v>1215</v>
      </c>
      <c r="M52" s="56">
        <v>1282</v>
      </c>
      <c r="N52" s="57">
        <v>1415</v>
      </c>
      <c r="O52" s="55">
        <v>1558</v>
      </c>
      <c r="P52" s="55">
        <v>1780</v>
      </c>
      <c r="Q52" s="55">
        <v>2084</v>
      </c>
      <c r="R52" s="55">
        <v>2449</v>
      </c>
      <c r="S52" s="55">
        <v>2895</v>
      </c>
      <c r="T52" s="55">
        <v>3527</v>
      </c>
      <c r="U52" s="55">
        <v>4637</v>
      </c>
      <c r="V52" s="55">
        <v>6244</v>
      </c>
      <c r="W52" s="55">
        <v>8350</v>
      </c>
      <c r="X52" s="55">
        <v>14649</v>
      </c>
      <c r="Y52" s="56">
        <v>19516</v>
      </c>
      <c r="Z52" s="57">
        <v>20008</v>
      </c>
      <c r="AA52" s="55">
        <v>25870</v>
      </c>
      <c r="AB52" s="55">
        <v>27859</v>
      </c>
      <c r="AC52" s="55">
        <v>28332</v>
      </c>
      <c r="AD52" s="55">
        <v>29896</v>
      </c>
      <c r="AE52" s="55">
        <v>32251</v>
      </c>
      <c r="AF52" s="55">
        <v>38134</v>
      </c>
      <c r="AG52" s="55">
        <v>38557</v>
      </c>
      <c r="AH52" s="55">
        <v>39445</v>
      </c>
      <c r="AI52" s="55">
        <v>42061</v>
      </c>
      <c r="AJ52" s="55">
        <v>43094</v>
      </c>
      <c r="AK52" s="56">
        <v>44297</v>
      </c>
      <c r="AL52" s="57">
        <v>45630</v>
      </c>
      <c r="AM52" s="55">
        <v>47217</v>
      </c>
      <c r="AN52" s="55">
        <v>49256</v>
      </c>
      <c r="AO52" s="55">
        <v>51605</v>
      </c>
      <c r="AP52" s="55">
        <v>54228</v>
      </c>
      <c r="AQ52" s="55">
        <v>58429</v>
      </c>
      <c r="AR52" s="55">
        <v>60357</v>
      </c>
      <c r="AS52" s="55">
        <v>62776</v>
      </c>
      <c r="AT52" s="55">
        <v>65587</v>
      </c>
      <c r="AU52" s="55">
        <v>68593</v>
      </c>
      <c r="AV52" s="55">
        <v>72182</v>
      </c>
      <c r="AW52" s="56">
        <v>75166</v>
      </c>
      <c r="AX52" s="55">
        <v>78027</v>
      </c>
      <c r="AY52" s="55">
        <v>81783</v>
      </c>
      <c r="AZ52" s="55">
        <v>87633</v>
      </c>
      <c r="BA52" s="55">
        <v>90402</v>
      </c>
      <c r="BB52" s="55">
        <v>93619</v>
      </c>
      <c r="BC52" s="55">
        <v>97265</v>
      </c>
      <c r="BD52" s="55">
        <v>101072</v>
      </c>
      <c r="BE52" s="55">
        <v>104706</v>
      </c>
      <c r="BF52" s="55">
        <v>108867</v>
      </c>
      <c r="BG52" s="55">
        <v>113289</v>
      </c>
      <c r="BH52" s="55">
        <v>117681</v>
      </c>
      <c r="BI52" s="56">
        <v>122415</v>
      </c>
      <c r="BJ52" s="55">
        <v>124678</v>
      </c>
      <c r="BK52" s="55">
        <v>127622</v>
      </c>
      <c r="BL52" s="55">
        <v>132724</v>
      </c>
      <c r="BM52" s="55">
        <v>135881</v>
      </c>
      <c r="BN52" s="55">
        <v>139432</v>
      </c>
      <c r="BO52" s="55">
        <v>144577</v>
      </c>
      <c r="BP52" s="55">
        <v>147777</v>
      </c>
      <c r="BQ52" s="55">
        <v>151242</v>
      </c>
      <c r="BR52" s="55">
        <v>157494</v>
      </c>
      <c r="BS52" s="55">
        <v>161515</v>
      </c>
      <c r="BT52" s="55">
        <v>166439</v>
      </c>
      <c r="BU52" s="56">
        <v>172536</v>
      </c>
      <c r="BV52" s="55">
        <v>175572</v>
      </c>
      <c r="BW52" s="55">
        <v>176109</v>
      </c>
      <c r="BX52" s="55">
        <v>176962</v>
      </c>
      <c r="BY52" s="55">
        <v>177695</v>
      </c>
      <c r="BZ52" s="55">
        <v>178440</v>
      </c>
      <c r="CA52" s="55">
        <v>179353</v>
      </c>
      <c r="CB52" s="55">
        <v>180053</v>
      </c>
      <c r="CC52" s="55">
        <v>180819</v>
      </c>
      <c r="CD52" s="55">
        <v>181914</v>
      </c>
      <c r="CE52" s="55">
        <v>182379</v>
      </c>
      <c r="CF52" s="55">
        <v>182912</v>
      </c>
      <c r="CG52" s="55">
        <v>183408</v>
      </c>
      <c r="CH52" s="77">
        <v>183795</v>
      </c>
      <c r="CI52" s="55">
        <v>184218</v>
      </c>
      <c r="CJ52" s="55">
        <v>184884</v>
      </c>
      <c r="CK52" s="55">
        <v>185281</v>
      </c>
      <c r="CL52" s="55">
        <v>185808</v>
      </c>
      <c r="CM52" s="55">
        <v>186417</v>
      </c>
      <c r="CN52" s="55">
        <v>186963</v>
      </c>
      <c r="CO52" s="55">
        <v>187473</v>
      </c>
      <c r="CP52" s="55">
        <v>188115</v>
      </c>
      <c r="CQ52" s="55">
        <v>188675</v>
      </c>
      <c r="CR52" s="55">
        <v>189273</v>
      </c>
      <c r="CS52" s="55">
        <v>189759</v>
      </c>
      <c r="CT52" s="77">
        <v>190189</v>
      </c>
      <c r="CU52" s="55">
        <v>190673</v>
      </c>
      <c r="CV52" s="55">
        <v>191329</v>
      </c>
      <c r="CW52" s="55">
        <v>191918</v>
      </c>
      <c r="CX52" s="55">
        <v>192585</v>
      </c>
      <c r="CY52" s="55">
        <v>193355</v>
      </c>
      <c r="CZ52" s="55">
        <v>194019</v>
      </c>
      <c r="DA52" s="55">
        <v>194719</v>
      </c>
      <c r="DB52" s="55">
        <v>195605</v>
      </c>
      <c r="DC52" s="55">
        <v>196424</v>
      </c>
      <c r="DD52" s="55">
        <v>197524</v>
      </c>
      <c r="DE52" s="55">
        <v>198544</v>
      </c>
      <c r="DF52" s="77">
        <v>199567</v>
      </c>
      <c r="DG52" s="55">
        <v>201111</v>
      </c>
      <c r="DH52" s="55">
        <v>204931</v>
      </c>
      <c r="DI52" s="55">
        <v>205082</v>
      </c>
      <c r="DJ52" s="55">
        <v>205336</v>
      </c>
      <c r="DK52" s="55">
        <v>205662</v>
      </c>
      <c r="DL52" s="55">
        <v>206121</v>
      </c>
      <c r="DM52" s="55">
        <v>206583</v>
      </c>
      <c r="DN52" s="55">
        <v>207230</v>
      </c>
      <c r="DO52" s="55">
        <v>208000</v>
      </c>
      <c r="DP52" s="55">
        <v>208659</v>
      </c>
      <c r="DQ52" s="55">
        <v>209182</v>
      </c>
      <c r="DR52" s="77">
        <v>209840</v>
      </c>
      <c r="DS52" s="55">
        <v>210520</v>
      </c>
      <c r="DT52" s="55">
        <v>211271</v>
      </c>
      <c r="DU52" s="55">
        <v>211554</v>
      </c>
      <c r="DV52" s="55">
        <v>212031</v>
      </c>
      <c r="DW52" s="55">
        <v>212918</v>
      </c>
      <c r="DX52" s="55">
        <v>213872</v>
      </c>
      <c r="DY52" s="55">
        <v>214741</v>
      </c>
      <c r="DZ52" s="55">
        <v>215849</v>
      </c>
      <c r="EA52" s="55">
        <v>216964</v>
      </c>
      <c r="EB52" s="55">
        <v>218136</v>
      </c>
      <c r="EC52" s="55">
        <v>219002</v>
      </c>
      <c r="ED52" s="77">
        <v>219916</v>
      </c>
      <c r="EE52" s="55">
        <v>220917</v>
      </c>
      <c r="EF52" s="55">
        <v>222396</v>
      </c>
      <c r="EG52" s="55">
        <v>223805</v>
      </c>
      <c r="EH52" s="55">
        <v>225231</v>
      </c>
      <c r="EI52" s="55">
        <v>226828</v>
      </c>
      <c r="EJ52" s="55">
        <v>228337</v>
      </c>
      <c r="EK52" s="55">
        <v>229730</v>
      </c>
      <c r="EL52" s="55">
        <v>231614</v>
      </c>
      <c r="EM52" s="55">
        <v>233414</v>
      </c>
      <c r="EN52" s="55">
        <v>235735</v>
      </c>
      <c r="EO52" s="55">
        <v>237443</v>
      </c>
      <c r="EP52" s="77">
        <v>239625</v>
      </c>
      <c r="EQ52" s="55">
        <v>242155</v>
      </c>
      <c r="ER52" s="55">
        <v>245641</v>
      </c>
      <c r="ES52" s="55">
        <v>249374</v>
      </c>
      <c r="ET52" s="55">
        <v>253967</v>
      </c>
      <c r="EU52" s="55">
        <v>258587</v>
      </c>
      <c r="EV52" s="55">
        <v>263643</v>
      </c>
      <c r="EW52" s="55">
        <v>269289</v>
      </c>
      <c r="EX52" s="55">
        <v>275946</v>
      </c>
      <c r="EY52" s="55">
        <v>283119</v>
      </c>
      <c r="EZ52" s="55">
        <v>291533</v>
      </c>
      <c r="FA52" s="83">
        <v>297972</v>
      </c>
      <c r="FB52" s="55">
        <v>306932</v>
      </c>
      <c r="FC52" s="55">
        <v>316279</v>
      </c>
      <c r="FD52" s="55">
        <v>326859</v>
      </c>
      <c r="FE52" s="55">
        <v>335386</v>
      </c>
      <c r="FF52" s="55">
        <v>345085</v>
      </c>
      <c r="FG52" s="55">
        <v>354699</v>
      </c>
      <c r="FH52" s="55">
        <v>362823</v>
      </c>
      <c r="FI52" s="55">
        <v>371260</v>
      </c>
      <c r="FJ52" s="39">
        <v>379233</v>
      </c>
      <c r="FK52" s="39">
        <v>387199</v>
      </c>
      <c r="FL52" s="39">
        <v>395038</v>
      </c>
      <c r="FM52" s="39">
        <v>400164</v>
      </c>
      <c r="FN52" s="77">
        <v>406410</v>
      </c>
      <c r="FO52" s="39">
        <v>412974</v>
      </c>
      <c r="FP52" s="39">
        <v>419598</v>
      </c>
      <c r="FQ52" s="39">
        <v>426756</v>
      </c>
      <c r="FR52" s="39">
        <v>433875</v>
      </c>
      <c r="FS52" s="39">
        <v>440335</v>
      </c>
      <c r="FT52" s="39">
        <v>447314</v>
      </c>
      <c r="FU52" s="39">
        <v>453464</v>
      </c>
      <c r="FV52" s="39">
        <v>459979</v>
      </c>
      <c r="FW52" s="39">
        <v>467296</v>
      </c>
      <c r="FX52" s="39">
        <v>474198</v>
      </c>
      <c r="FY52" s="197">
        <v>479137</v>
      </c>
      <c r="FZ52" s="39">
        <v>485380</v>
      </c>
      <c r="GA52" s="39">
        <v>492468</v>
      </c>
      <c r="GB52" s="39">
        <v>500849</v>
      </c>
      <c r="GC52" s="39">
        <v>508572</v>
      </c>
      <c r="GD52" s="39">
        <v>517043</v>
      </c>
      <c r="GE52" s="39">
        <v>525510</v>
      </c>
      <c r="GF52" s="39">
        <v>534597</v>
      </c>
      <c r="GG52" s="39">
        <v>542674</v>
      </c>
      <c r="GH52" s="39">
        <v>551845</v>
      </c>
      <c r="GI52" s="39">
        <v>561403</v>
      </c>
      <c r="GJ52" s="39">
        <v>569772</v>
      </c>
      <c r="GK52" s="197">
        <v>575851</v>
      </c>
      <c r="GL52" s="39">
        <v>582553</v>
      </c>
      <c r="GM52" s="39">
        <v>587773</v>
      </c>
      <c r="GN52" s="39">
        <v>596020</v>
      </c>
    </row>
    <row r="53" spans="1:196" s="1" customFormat="1" ht="20.149999999999999" customHeight="1" x14ac:dyDescent="0.35">
      <c r="A53" s="31" t="s">
        <v>1625</v>
      </c>
      <c r="B53" s="55">
        <v>153</v>
      </c>
      <c r="C53" s="55">
        <v>159</v>
      </c>
      <c r="D53" s="55">
        <v>176</v>
      </c>
      <c r="E53" s="55">
        <v>187</v>
      </c>
      <c r="F53" s="55">
        <v>205</v>
      </c>
      <c r="G53" s="55">
        <v>218</v>
      </c>
      <c r="H53" s="55">
        <v>228</v>
      </c>
      <c r="I53" s="55">
        <v>242</v>
      </c>
      <c r="J53" s="55">
        <v>269</v>
      </c>
      <c r="K53" s="55">
        <v>290</v>
      </c>
      <c r="L53" s="55">
        <v>315</v>
      </c>
      <c r="M53" s="56">
        <v>328</v>
      </c>
      <c r="N53" s="57">
        <v>355</v>
      </c>
      <c r="O53" s="55">
        <v>393</v>
      </c>
      <c r="P53" s="55">
        <v>432</v>
      </c>
      <c r="Q53" s="55">
        <v>480</v>
      </c>
      <c r="R53" s="55">
        <v>534</v>
      </c>
      <c r="S53" s="55">
        <v>589</v>
      </c>
      <c r="T53" s="55">
        <v>705</v>
      </c>
      <c r="U53" s="55">
        <v>816</v>
      </c>
      <c r="V53" s="55">
        <v>962</v>
      </c>
      <c r="W53" s="55">
        <v>1110</v>
      </c>
      <c r="X53" s="55">
        <v>1887</v>
      </c>
      <c r="Y53" s="56">
        <v>3364</v>
      </c>
      <c r="Z53" s="57">
        <v>3409</v>
      </c>
      <c r="AA53" s="55">
        <v>4586</v>
      </c>
      <c r="AB53" s="55">
        <v>5432</v>
      </c>
      <c r="AC53" s="55">
        <v>5502</v>
      </c>
      <c r="AD53" s="55">
        <v>5664</v>
      </c>
      <c r="AE53" s="55">
        <v>5978</v>
      </c>
      <c r="AF53" s="55">
        <v>7275</v>
      </c>
      <c r="AG53" s="55">
        <v>7340</v>
      </c>
      <c r="AH53" s="55">
        <v>7432</v>
      </c>
      <c r="AI53" s="55">
        <v>7740</v>
      </c>
      <c r="AJ53" s="55">
        <v>7855</v>
      </c>
      <c r="AK53" s="56">
        <v>7981</v>
      </c>
      <c r="AL53" s="57">
        <v>8126</v>
      </c>
      <c r="AM53" s="55">
        <v>8370</v>
      </c>
      <c r="AN53" s="55">
        <v>8706</v>
      </c>
      <c r="AO53" s="55">
        <v>9040</v>
      </c>
      <c r="AP53" s="55">
        <v>9357</v>
      </c>
      <c r="AQ53" s="55">
        <v>10116</v>
      </c>
      <c r="AR53" s="55">
        <v>10306</v>
      </c>
      <c r="AS53" s="55">
        <v>10604</v>
      </c>
      <c r="AT53" s="55">
        <v>10895</v>
      </c>
      <c r="AU53" s="55">
        <v>11160</v>
      </c>
      <c r="AV53" s="55">
        <v>11466</v>
      </c>
      <c r="AW53" s="56">
        <v>11760</v>
      </c>
      <c r="AX53" s="55">
        <v>12057</v>
      </c>
      <c r="AY53" s="55">
        <v>12500</v>
      </c>
      <c r="AZ53" s="55">
        <v>13379</v>
      </c>
      <c r="BA53" s="55">
        <v>13573</v>
      </c>
      <c r="BB53" s="55">
        <v>13847</v>
      </c>
      <c r="BC53" s="55">
        <v>14185</v>
      </c>
      <c r="BD53" s="55">
        <v>14505</v>
      </c>
      <c r="BE53" s="55">
        <v>14824</v>
      </c>
      <c r="BF53" s="55">
        <v>15204</v>
      </c>
      <c r="BG53" s="55">
        <v>15556</v>
      </c>
      <c r="BH53" s="55">
        <v>15927</v>
      </c>
      <c r="BI53" s="56">
        <v>16615</v>
      </c>
      <c r="BJ53" s="55">
        <v>16822</v>
      </c>
      <c r="BK53" s="55">
        <v>17193</v>
      </c>
      <c r="BL53" s="55">
        <v>17827</v>
      </c>
      <c r="BM53" s="55">
        <v>18153</v>
      </c>
      <c r="BN53" s="55">
        <v>18477</v>
      </c>
      <c r="BO53" s="55">
        <v>19005</v>
      </c>
      <c r="BP53" s="55">
        <v>19405</v>
      </c>
      <c r="BQ53" s="55">
        <v>19898</v>
      </c>
      <c r="BR53" s="55">
        <v>21017</v>
      </c>
      <c r="BS53" s="55">
        <v>21495</v>
      </c>
      <c r="BT53" s="55">
        <v>22238</v>
      </c>
      <c r="BU53" s="56">
        <v>24255</v>
      </c>
      <c r="BV53" s="55">
        <v>25213</v>
      </c>
      <c r="BW53" s="55">
        <v>25310</v>
      </c>
      <c r="BX53" s="55">
        <v>25520</v>
      </c>
      <c r="BY53" s="55">
        <v>25656</v>
      </c>
      <c r="BZ53" s="55">
        <v>25802</v>
      </c>
      <c r="CA53" s="55">
        <v>26011</v>
      </c>
      <c r="CB53" s="55">
        <v>26209</v>
      </c>
      <c r="CC53" s="55">
        <v>26478</v>
      </c>
      <c r="CD53" s="55">
        <v>26978</v>
      </c>
      <c r="CE53" s="55">
        <v>27110</v>
      </c>
      <c r="CF53" s="55">
        <v>27260</v>
      </c>
      <c r="CG53" s="55">
        <v>27447</v>
      </c>
      <c r="CH53" s="77">
        <v>27533</v>
      </c>
      <c r="CI53" s="55">
        <v>27648</v>
      </c>
      <c r="CJ53" s="55">
        <v>27899</v>
      </c>
      <c r="CK53" s="55">
        <v>28026</v>
      </c>
      <c r="CL53" s="55">
        <v>28177</v>
      </c>
      <c r="CM53" s="55">
        <v>28364</v>
      </c>
      <c r="CN53" s="55">
        <v>28521</v>
      </c>
      <c r="CO53" s="55">
        <v>28689</v>
      </c>
      <c r="CP53" s="55">
        <v>28888</v>
      </c>
      <c r="CQ53" s="55">
        <v>29053</v>
      </c>
      <c r="CR53" s="55">
        <v>29254</v>
      </c>
      <c r="CS53" s="55">
        <v>29415</v>
      </c>
      <c r="CT53" s="77">
        <v>29580</v>
      </c>
      <c r="CU53" s="55">
        <v>29739</v>
      </c>
      <c r="CV53" s="55">
        <v>29961</v>
      </c>
      <c r="CW53" s="55">
        <v>30104</v>
      </c>
      <c r="CX53" s="55">
        <v>30257</v>
      </c>
      <c r="CY53" s="55">
        <v>30453</v>
      </c>
      <c r="CZ53" s="55">
        <v>30637</v>
      </c>
      <c r="DA53" s="55">
        <v>30847</v>
      </c>
      <c r="DB53" s="55">
        <v>31030</v>
      </c>
      <c r="DC53" s="55">
        <v>31247</v>
      </c>
      <c r="DD53" s="55">
        <v>31462</v>
      </c>
      <c r="DE53" s="55">
        <v>31693</v>
      </c>
      <c r="DF53" s="77">
        <v>31962</v>
      </c>
      <c r="DG53" s="55">
        <v>32367</v>
      </c>
      <c r="DH53" s="55">
        <v>33962</v>
      </c>
      <c r="DI53" s="55">
        <v>34033</v>
      </c>
      <c r="DJ53" s="55">
        <v>34102</v>
      </c>
      <c r="DK53" s="55">
        <v>34201</v>
      </c>
      <c r="DL53" s="55">
        <v>34309</v>
      </c>
      <c r="DM53" s="55">
        <v>34447</v>
      </c>
      <c r="DN53" s="55">
        <v>34585</v>
      </c>
      <c r="DO53" s="55">
        <v>34725</v>
      </c>
      <c r="DP53" s="55">
        <v>34880</v>
      </c>
      <c r="DQ53" s="55">
        <v>34992</v>
      </c>
      <c r="DR53" s="77">
        <v>35151</v>
      </c>
      <c r="DS53" s="55">
        <v>35311</v>
      </c>
      <c r="DT53" s="55">
        <v>35527</v>
      </c>
      <c r="DU53" s="55">
        <v>35579</v>
      </c>
      <c r="DV53" s="55">
        <v>35630</v>
      </c>
      <c r="DW53" s="55">
        <v>35754</v>
      </c>
      <c r="DX53" s="55">
        <v>35902</v>
      </c>
      <c r="DY53" s="55">
        <v>36016</v>
      </c>
      <c r="DZ53" s="55">
        <v>36189</v>
      </c>
      <c r="EA53" s="55">
        <v>36363</v>
      </c>
      <c r="EB53" s="55">
        <v>36552</v>
      </c>
      <c r="EC53" s="55">
        <v>36691</v>
      </c>
      <c r="ED53" s="77">
        <v>36831</v>
      </c>
      <c r="EE53" s="55">
        <v>36993</v>
      </c>
      <c r="EF53" s="55">
        <v>37224</v>
      </c>
      <c r="EG53" s="55">
        <v>37410</v>
      </c>
      <c r="EH53" s="55">
        <v>37591</v>
      </c>
      <c r="EI53" s="55">
        <v>37762</v>
      </c>
      <c r="EJ53" s="55">
        <v>37987</v>
      </c>
      <c r="EK53" s="55">
        <v>38236</v>
      </c>
      <c r="EL53" s="55">
        <v>38476</v>
      </c>
      <c r="EM53" s="55">
        <v>38727</v>
      </c>
      <c r="EN53" s="55">
        <v>39032</v>
      </c>
      <c r="EO53" s="55">
        <v>39201</v>
      </c>
      <c r="EP53" s="77">
        <v>39428</v>
      </c>
      <c r="EQ53" s="55">
        <v>39678</v>
      </c>
      <c r="ER53" s="55">
        <v>40058</v>
      </c>
      <c r="ES53" s="55">
        <v>40341</v>
      </c>
      <c r="ET53" s="55">
        <v>40722</v>
      </c>
      <c r="EU53" s="55">
        <v>41083</v>
      </c>
      <c r="EV53" s="55">
        <v>41457</v>
      </c>
      <c r="EW53" s="55">
        <v>41858</v>
      </c>
      <c r="EX53" s="55">
        <v>42279</v>
      </c>
      <c r="EY53" s="55">
        <v>42740</v>
      </c>
      <c r="EZ53" s="55">
        <v>43285</v>
      </c>
      <c r="FA53" s="83">
        <v>43704</v>
      </c>
      <c r="FB53" s="55">
        <v>44256</v>
      </c>
      <c r="FC53" s="55">
        <v>44982</v>
      </c>
      <c r="FD53" s="55">
        <v>45807</v>
      </c>
      <c r="FE53" s="55">
        <v>46552</v>
      </c>
      <c r="FF53" s="55">
        <v>47474</v>
      </c>
      <c r="FG53" s="55">
        <v>48469</v>
      </c>
      <c r="FH53" s="55">
        <v>49328</v>
      </c>
      <c r="FI53" s="55">
        <v>50169</v>
      </c>
      <c r="FJ53" s="39">
        <v>51107</v>
      </c>
      <c r="FK53" s="39">
        <v>51945</v>
      </c>
      <c r="FL53" s="39">
        <v>52781</v>
      </c>
      <c r="FM53" s="39">
        <v>53311</v>
      </c>
      <c r="FN53" s="77">
        <v>54075</v>
      </c>
      <c r="FO53" s="39">
        <v>54767</v>
      </c>
      <c r="FP53" s="39">
        <v>55545</v>
      </c>
      <c r="FQ53" s="39">
        <v>56374</v>
      </c>
      <c r="FR53" s="39">
        <v>57327</v>
      </c>
      <c r="FS53" s="39">
        <v>58219</v>
      </c>
      <c r="FT53" s="39">
        <v>59190</v>
      </c>
      <c r="FU53" s="39">
        <v>60112</v>
      </c>
      <c r="FV53" s="39">
        <v>61001</v>
      </c>
      <c r="FW53" s="39">
        <v>61950</v>
      </c>
      <c r="FX53" s="39">
        <v>62925</v>
      </c>
      <c r="FY53" s="197">
        <v>63611</v>
      </c>
      <c r="FZ53" s="39">
        <v>64558</v>
      </c>
      <c r="GA53" s="39">
        <v>65656</v>
      </c>
      <c r="GB53" s="39">
        <v>66881</v>
      </c>
      <c r="GC53" s="39">
        <v>68087</v>
      </c>
      <c r="GD53" s="39">
        <v>69434</v>
      </c>
      <c r="GE53" s="39">
        <v>70742</v>
      </c>
      <c r="GF53" s="39">
        <v>72140</v>
      </c>
      <c r="GG53" s="39">
        <v>73403</v>
      </c>
      <c r="GH53" s="39">
        <v>74848</v>
      </c>
      <c r="GI53" s="39">
        <v>76262</v>
      </c>
      <c r="GJ53" s="39">
        <v>77509</v>
      </c>
      <c r="GK53" s="197">
        <v>78612</v>
      </c>
      <c r="GL53" s="39">
        <v>79837</v>
      </c>
      <c r="GM53" s="39">
        <v>80940</v>
      </c>
      <c r="GN53" s="39">
        <v>82601</v>
      </c>
    </row>
    <row r="54" spans="1:196" s="1" customFormat="1" ht="20.149999999999999" customHeight="1" x14ac:dyDescent="0.35">
      <c r="A54" s="31" t="s">
        <v>1627</v>
      </c>
      <c r="B54" s="55">
        <v>17</v>
      </c>
      <c r="C54" s="55">
        <v>17</v>
      </c>
      <c r="D54" s="55">
        <v>17</v>
      </c>
      <c r="E54" s="55">
        <v>17</v>
      </c>
      <c r="F54" s="55">
        <v>19</v>
      </c>
      <c r="G54" s="55">
        <v>21</v>
      </c>
      <c r="H54" s="55">
        <v>23</v>
      </c>
      <c r="I54" s="55">
        <v>23</v>
      </c>
      <c r="J54" s="55">
        <v>23</v>
      </c>
      <c r="K54" s="55">
        <v>27</v>
      </c>
      <c r="L54" s="55">
        <v>28</v>
      </c>
      <c r="M54" s="56">
        <v>30</v>
      </c>
      <c r="N54" s="57">
        <v>30</v>
      </c>
      <c r="O54" s="55">
        <v>33</v>
      </c>
      <c r="P54" s="55">
        <v>36</v>
      </c>
      <c r="Q54" s="55">
        <v>45</v>
      </c>
      <c r="R54" s="55">
        <v>57</v>
      </c>
      <c r="S54" s="55">
        <v>93</v>
      </c>
      <c r="T54" s="55">
        <v>304</v>
      </c>
      <c r="U54" s="55">
        <v>309</v>
      </c>
      <c r="V54" s="55">
        <v>325</v>
      </c>
      <c r="W54" s="55">
        <v>353</v>
      </c>
      <c r="X54" s="55">
        <v>371</v>
      </c>
      <c r="Y54" s="56">
        <v>430</v>
      </c>
      <c r="Z54" s="57">
        <v>432</v>
      </c>
      <c r="AA54" s="55">
        <v>496</v>
      </c>
      <c r="AB54" s="55">
        <v>544</v>
      </c>
      <c r="AC54" s="55">
        <v>550</v>
      </c>
      <c r="AD54" s="55">
        <v>564</v>
      </c>
      <c r="AE54" s="55">
        <v>600</v>
      </c>
      <c r="AF54" s="55">
        <v>811</v>
      </c>
      <c r="AG54" s="55">
        <v>832</v>
      </c>
      <c r="AH54" s="55">
        <v>849</v>
      </c>
      <c r="AI54" s="55">
        <v>896</v>
      </c>
      <c r="AJ54" s="55">
        <v>914</v>
      </c>
      <c r="AK54" s="56">
        <v>935</v>
      </c>
      <c r="AL54" s="57">
        <v>957</v>
      </c>
      <c r="AM54" s="55">
        <v>986</v>
      </c>
      <c r="AN54" s="55">
        <v>1052</v>
      </c>
      <c r="AO54" s="55">
        <v>1170</v>
      </c>
      <c r="AP54" s="55">
        <v>1228</v>
      </c>
      <c r="AQ54" s="55">
        <v>1346</v>
      </c>
      <c r="AR54" s="55">
        <v>1407</v>
      </c>
      <c r="AS54" s="55">
        <v>1482</v>
      </c>
      <c r="AT54" s="55">
        <v>1543</v>
      </c>
      <c r="AU54" s="55">
        <v>1591</v>
      </c>
      <c r="AV54" s="55">
        <v>1664</v>
      </c>
      <c r="AW54" s="56">
        <v>1771</v>
      </c>
      <c r="AX54" s="55">
        <v>1819</v>
      </c>
      <c r="AY54" s="55">
        <v>1887</v>
      </c>
      <c r="AZ54" s="55">
        <v>2084</v>
      </c>
      <c r="BA54" s="55">
        <v>2119</v>
      </c>
      <c r="BB54" s="55">
        <v>2178</v>
      </c>
      <c r="BC54" s="55">
        <v>2323</v>
      </c>
      <c r="BD54" s="55">
        <v>2409</v>
      </c>
      <c r="BE54" s="55">
        <v>2483</v>
      </c>
      <c r="BF54" s="55">
        <v>2606</v>
      </c>
      <c r="BG54" s="55">
        <v>2725</v>
      </c>
      <c r="BH54" s="55">
        <v>2833</v>
      </c>
      <c r="BI54" s="56">
        <v>2994</v>
      </c>
      <c r="BJ54" s="55">
        <v>3067</v>
      </c>
      <c r="BK54" s="55">
        <v>3129</v>
      </c>
      <c r="BL54" s="55">
        <v>3387</v>
      </c>
      <c r="BM54" s="55">
        <v>3466</v>
      </c>
      <c r="BN54" s="55">
        <v>3555</v>
      </c>
      <c r="BO54" s="55">
        <v>3781</v>
      </c>
      <c r="BP54" s="55">
        <v>3892</v>
      </c>
      <c r="BQ54" s="55">
        <v>4018</v>
      </c>
      <c r="BR54" s="55">
        <v>4233</v>
      </c>
      <c r="BS54" s="55">
        <v>4396</v>
      </c>
      <c r="BT54" s="55">
        <v>4632</v>
      </c>
      <c r="BU54" s="56">
        <v>5289</v>
      </c>
      <c r="BV54" s="55">
        <v>5493</v>
      </c>
      <c r="BW54" s="55">
        <v>5552</v>
      </c>
      <c r="BX54" s="55">
        <v>5788</v>
      </c>
      <c r="BY54" s="55">
        <v>5815</v>
      </c>
      <c r="BZ54" s="55">
        <v>5850</v>
      </c>
      <c r="CA54" s="55">
        <v>5909</v>
      </c>
      <c r="CB54" s="55">
        <v>5927</v>
      </c>
      <c r="CC54" s="55">
        <v>5954</v>
      </c>
      <c r="CD54" s="55">
        <v>5995</v>
      </c>
      <c r="CE54" s="55">
        <v>6023</v>
      </c>
      <c r="CF54" s="55">
        <v>6046</v>
      </c>
      <c r="CG54" s="55">
        <v>6085</v>
      </c>
      <c r="CH54" s="77">
        <v>6094</v>
      </c>
      <c r="CI54" s="55">
        <v>6120</v>
      </c>
      <c r="CJ54" s="55">
        <v>6234</v>
      </c>
      <c r="CK54" s="55">
        <v>6254</v>
      </c>
      <c r="CL54" s="55">
        <v>6268</v>
      </c>
      <c r="CM54" s="55">
        <v>6291</v>
      </c>
      <c r="CN54" s="55">
        <v>6309</v>
      </c>
      <c r="CO54" s="55">
        <v>6333</v>
      </c>
      <c r="CP54" s="55">
        <v>6357</v>
      </c>
      <c r="CQ54" s="55">
        <v>6372</v>
      </c>
      <c r="CR54" s="55">
        <v>6390</v>
      </c>
      <c r="CS54" s="55">
        <v>6398</v>
      </c>
      <c r="CT54" s="77">
        <v>6408</v>
      </c>
      <c r="CU54" s="55">
        <v>6416</v>
      </c>
      <c r="CV54" s="55">
        <v>6438</v>
      </c>
      <c r="CW54" s="55">
        <v>6452</v>
      </c>
      <c r="CX54" s="55">
        <v>6465</v>
      </c>
      <c r="CY54" s="55">
        <v>6476</v>
      </c>
      <c r="CZ54" s="55">
        <v>6487</v>
      </c>
      <c r="DA54" s="55">
        <v>6507</v>
      </c>
      <c r="DB54" s="55">
        <v>6524</v>
      </c>
      <c r="DC54" s="55">
        <v>6536</v>
      </c>
      <c r="DD54" s="55">
        <v>6562</v>
      </c>
      <c r="DE54" s="55">
        <v>6593</v>
      </c>
      <c r="DF54" s="77">
        <v>6604</v>
      </c>
      <c r="DG54" s="55">
        <v>6618</v>
      </c>
      <c r="DH54" s="55">
        <v>6654</v>
      </c>
      <c r="DI54" s="55">
        <v>6670</v>
      </c>
      <c r="DJ54" s="55">
        <v>6676</v>
      </c>
      <c r="DK54" s="55">
        <v>6685</v>
      </c>
      <c r="DL54" s="55">
        <v>6695</v>
      </c>
      <c r="DM54" s="55">
        <v>6710</v>
      </c>
      <c r="DN54" s="55">
        <v>6725</v>
      </c>
      <c r="DO54" s="55">
        <v>6735</v>
      </c>
      <c r="DP54" s="55">
        <v>6740</v>
      </c>
      <c r="DQ54" s="55">
        <v>6746</v>
      </c>
      <c r="DR54" s="77">
        <v>6756</v>
      </c>
      <c r="DS54" s="55">
        <v>6761</v>
      </c>
      <c r="DT54" s="55">
        <v>6778</v>
      </c>
      <c r="DU54" s="55">
        <v>6786</v>
      </c>
      <c r="DV54" s="55">
        <v>6789</v>
      </c>
      <c r="DW54" s="55">
        <v>6792</v>
      </c>
      <c r="DX54" s="55">
        <v>6799</v>
      </c>
      <c r="DY54" s="55">
        <v>6813</v>
      </c>
      <c r="DZ54" s="55">
        <v>6823</v>
      </c>
      <c r="EA54" s="55">
        <v>6827</v>
      </c>
      <c r="EB54" s="55">
        <v>6831</v>
      </c>
      <c r="EC54" s="55">
        <v>6840</v>
      </c>
      <c r="ED54" s="77">
        <v>6846</v>
      </c>
      <c r="EE54" s="55">
        <v>6851</v>
      </c>
      <c r="EF54" s="55">
        <v>6859</v>
      </c>
      <c r="EG54" s="55">
        <v>6865</v>
      </c>
      <c r="EH54" s="55">
        <v>6871</v>
      </c>
      <c r="EI54" s="55">
        <v>6880</v>
      </c>
      <c r="EJ54" s="55">
        <v>6891</v>
      </c>
      <c r="EK54" s="55">
        <v>6898</v>
      </c>
      <c r="EL54" s="55">
        <v>6915</v>
      </c>
      <c r="EM54" s="55">
        <v>6929</v>
      </c>
      <c r="EN54" s="55">
        <v>6945</v>
      </c>
      <c r="EO54" s="55">
        <v>6959</v>
      </c>
      <c r="EP54" s="77">
        <v>6976</v>
      </c>
      <c r="EQ54" s="55">
        <v>6990</v>
      </c>
      <c r="ER54" s="55">
        <v>7008</v>
      </c>
      <c r="ES54" s="55">
        <v>7026</v>
      </c>
      <c r="ET54" s="55">
        <v>7047</v>
      </c>
      <c r="EU54" s="55">
        <v>7069</v>
      </c>
      <c r="EV54" s="55">
        <v>7083</v>
      </c>
      <c r="EW54" s="55">
        <v>7096</v>
      </c>
      <c r="EX54" s="55">
        <v>7114</v>
      </c>
      <c r="EY54" s="55">
        <v>7144</v>
      </c>
      <c r="EZ54" s="55">
        <v>7169</v>
      </c>
      <c r="FA54" s="83">
        <v>7189</v>
      </c>
      <c r="FB54" s="55">
        <v>7216</v>
      </c>
      <c r="FC54" s="55">
        <v>7242</v>
      </c>
      <c r="FD54" s="55">
        <v>7297</v>
      </c>
      <c r="FE54" s="55">
        <v>7338</v>
      </c>
      <c r="FF54" s="55">
        <v>7390</v>
      </c>
      <c r="FG54" s="55">
        <v>7448</v>
      </c>
      <c r="FH54" s="55">
        <v>7494</v>
      </c>
      <c r="FI54" s="55">
        <v>7545</v>
      </c>
      <c r="FJ54" s="39">
        <v>7595</v>
      </c>
      <c r="FK54" s="39">
        <v>7644</v>
      </c>
      <c r="FL54" s="39">
        <v>7685</v>
      </c>
      <c r="FM54" s="39">
        <v>7708</v>
      </c>
      <c r="FN54" s="77">
        <v>7743</v>
      </c>
      <c r="FO54" s="39">
        <v>7780</v>
      </c>
      <c r="FP54" s="39">
        <v>7820</v>
      </c>
      <c r="FQ54" s="39">
        <v>7862</v>
      </c>
      <c r="FR54" s="39">
        <v>7906</v>
      </c>
      <c r="FS54" s="39">
        <v>7938</v>
      </c>
      <c r="FT54" s="39">
        <v>7985</v>
      </c>
      <c r="FU54" s="39">
        <v>8022</v>
      </c>
      <c r="FV54" s="39">
        <v>8045</v>
      </c>
      <c r="FW54" s="39">
        <v>8075</v>
      </c>
      <c r="FX54" s="39">
        <v>8114</v>
      </c>
      <c r="FY54" s="197">
        <v>8135</v>
      </c>
      <c r="FZ54" s="39">
        <v>8158</v>
      </c>
      <c r="GA54" s="39">
        <v>8193</v>
      </c>
      <c r="GB54" s="39">
        <v>8221</v>
      </c>
      <c r="GC54" s="39">
        <v>8246</v>
      </c>
      <c r="GD54" s="39">
        <v>8290</v>
      </c>
      <c r="GE54" s="39">
        <v>8325</v>
      </c>
      <c r="GF54" s="39">
        <v>8365</v>
      </c>
      <c r="GG54" s="39">
        <v>8401</v>
      </c>
      <c r="GH54" s="39">
        <v>8444</v>
      </c>
      <c r="GI54" s="39">
        <v>8492</v>
      </c>
      <c r="GJ54" s="39">
        <v>8522</v>
      </c>
      <c r="GK54" s="197">
        <v>8541</v>
      </c>
      <c r="GL54" s="39">
        <v>8558</v>
      </c>
      <c r="GM54" s="39">
        <v>8581</v>
      </c>
      <c r="GN54" s="39">
        <v>8613</v>
      </c>
    </row>
    <row r="55" spans="1:196" s="1" customFormat="1" ht="20.149999999999999" customHeight="1" x14ac:dyDescent="0.35">
      <c r="A55" s="31" t="s">
        <v>1624</v>
      </c>
      <c r="B55" s="55">
        <v>0</v>
      </c>
      <c r="C55" s="55">
        <v>0</v>
      </c>
      <c r="D55" s="55">
        <v>0</v>
      </c>
      <c r="E55" s="55">
        <v>0</v>
      </c>
      <c r="F55" s="55">
        <v>0</v>
      </c>
      <c r="G55" s="55">
        <v>0</v>
      </c>
      <c r="H55" s="55">
        <v>0</v>
      </c>
      <c r="I55" s="55">
        <v>0</v>
      </c>
      <c r="J55" s="55">
        <v>0</v>
      </c>
      <c r="K55" s="55">
        <v>0</v>
      </c>
      <c r="L55" s="55">
        <v>0</v>
      </c>
      <c r="M55" s="56">
        <v>0</v>
      </c>
      <c r="N55" s="57">
        <v>0</v>
      </c>
      <c r="O55" s="55">
        <v>0</v>
      </c>
      <c r="P55" s="55">
        <v>0</v>
      </c>
      <c r="Q55" s="55">
        <v>0</v>
      </c>
      <c r="R55" s="55">
        <v>0</v>
      </c>
      <c r="S55" s="55">
        <v>0</v>
      </c>
      <c r="T55" s="55">
        <v>0</v>
      </c>
      <c r="U55" s="55">
        <v>0</v>
      </c>
      <c r="V55" s="55">
        <v>0</v>
      </c>
      <c r="W55" s="55">
        <v>0</v>
      </c>
      <c r="X55" s="55">
        <v>0</v>
      </c>
      <c r="Y55" s="56">
        <v>0</v>
      </c>
      <c r="Z55" s="57">
        <v>1</v>
      </c>
      <c r="AA55" s="55">
        <v>1</v>
      </c>
      <c r="AB55" s="55">
        <v>1</v>
      </c>
      <c r="AC55" s="55">
        <v>1</v>
      </c>
      <c r="AD55" s="55">
        <v>1</v>
      </c>
      <c r="AE55" s="55">
        <v>1</v>
      </c>
      <c r="AF55" s="55">
        <v>1</v>
      </c>
      <c r="AG55" s="55">
        <v>1</v>
      </c>
      <c r="AH55" s="55">
        <v>1</v>
      </c>
      <c r="AI55" s="55">
        <v>1</v>
      </c>
      <c r="AJ55" s="55">
        <v>1</v>
      </c>
      <c r="AK55" s="56">
        <v>1</v>
      </c>
      <c r="AL55" s="57">
        <v>1</v>
      </c>
      <c r="AM55" s="55">
        <v>7</v>
      </c>
      <c r="AN55" s="55">
        <v>41</v>
      </c>
      <c r="AO55" s="55">
        <v>41</v>
      </c>
      <c r="AP55" s="55">
        <v>44</v>
      </c>
      <c r="AQ55" s="55">
        <v>51</v>
      </c>
      <c r="AR55" s="55">
        <v>51</v>
      </c>
      <c r="AS55" s="55">
        <v>54</v>
      </c>
      <c r="AT55" s="55">
        <v>54</v>
      </c>
      <c r="AU55" s="55">
        <v>54</v>
      </c>
      <c r="AV55" s="55">
        <v>58</v>
      </c>
      <c r="AW55" s="56">
        <v>60</v>
      </c>
      <c r="AX55" s="55">
        <v>68</v>
      </c>
      <c r="AY55" s="55">
        <v>72</v>
      </c>
      <c r="AZ55" s="55">
        <v>144</v>
      </c>
      <c r="BA55" s="55">
        <v>145</v>
      </c>
      <c r="BB55" s="55">
        <v>149</v>
      </c>
      <c r="BC55" s="55">
        <v>154</v>
      </c>
      <c r="BD55" s="55">
        <v>161</v>
      </c>
      <c r="BE55" s="55">
        <v>162</v>
      </c>
      <c r="BF55" s="55">
        <v>170</v>
      </c>
      <c r="BG55" s="55">
        <v>175</v>
      </c>
      <c r="BH55" s="55">
        <v>181</v>
      </c>
      <c r="BI55" s="56">
        <v>190</v>
      </c>
      <c r="BJ55" s="55">
        <v>196</v>
      </c>
      <c r="BK55" s="55">
        <v>206</v>
      </c>
      <c r="BL55" s="55">
        <v>335</v>
      </c>
      <c r="BM55" s="55">
        <v>335</v>
      </c>
      <c r="BN55" s="55">
        <v>335</v>
      </c>
      <c r="BO55" s="55">
        <v>336</v>
      </c>
      <c r="BP55" s="55">
        <v>337</v>
      </c>
      <c r="BQ55" s="55">
        <v>341</v>
      </c>
      <c r="BR55" s="55">
        <v>341</v>
      </c>
      <c r="BS55" s="55">
        <v>344</v>
      </c>
      <c r="BT55" s="55">
        <v>348</v>
      </c>
      <c r="BU55" s="56">
        <v>356</v>
      </c>
      <c r="BV55" s="55">
        <v>360</v>
      </c>
      <c r="BW55" s="55">
        <v>362</v>
      </c>
      <c r="BX55" s="55">
        <v>387</v>
      </c>
      <c r="BY55" s="55">
        <v>389</v>
      </c>
      <c r="BZ55" s="55">
        <v>389</v>
      </c>
      <c r="CA55" s="55">
        <v>397</v>
      </c>
      <c r="CB55" s="55">
        <v>398</v>
      </c>
      <c r="CC55" s="55">
        <v>400</v>
      </c>
      <c r="CD55" s="55">
        <v>400</v>
      </c>
      <c r="CE55" s="55">
        <v>401</v>
      </c>
      <c r="CF55" s="55">
        <v>401</v>
      </c>
      <c r="CG55" s="55">
        <v>406</v>
      </c>
      <c r="CH55" s="77">
        <v>409</v>
      </c>
      <c r="CI55" s="55">
        <v>412</v>
      </c>
      <c r="CJ55" s="55">
        <v>433</v>
      </c>
      <c r="CK55" s="55">
        <v>433</v>
      </c>
      <c r="CL55" s="55">
        <v>433</v>
      </c>
      <c r="CM55" s="55">
        <v>433</v>
      </c>
      <c r="CN55" s="55">
        <v>434</v>
      </c>
      <c r="CO55" s="55">
        <v>434</v>
      </c>
      <c r="CP55" s="55">
        <v>434</v>
      </c>
      <c r="CQ55" s="55">
        <v>435</v>
      </c>
      <c r="CR55" s="55">
        <v>435</v>
      </c>
      <c r="CS55" s="55">
        <v>437</v>
      </c>
      <c r="CT55" s="77">
        <v>437</v>
      </c>
      <c r="CU55" s="55">
        <v>438</v>
      </c>
      <c r="CV55" s="55">
        <v>439</v>
      </c>
      <c r="CW55" s="55">
        <v>440</v>
      </c>
      <c r="CX55" s="55">
        <v>441</v>
      </c>
      <c r="CY55" s="55">
        <v>441</v>
      </c>
      <c r="CZ55" s="55">
        <v>441</v>
      </c>
      <c r="DA55" s="55">
        <v>441</v>
      </c>
      <c r="DB55" s="55">
        <v>441</v>
      </c>
      <c r="DC55" s="55">
        <v>442</v>
      </c>
      <c r="DD55" s="55">
        <v>442</v>
      </c>
      <c r="DE55" s="55">
        <v>443</v>
      </c>
      <c r="DF55" s="77">
        <v>444</v>
      </c>
      <c r="DG55" s="55">
        <v>444</v>
      </c>
      <c r="DH55" s="55">
        <v>444</v>
      </c>
      <c r="DI55" s="55">
        <v>444</v>
      </c>
      <c r="DJ55" s="55">
        <v>444</v>
      </c>
      <c r="DK55" s="55">
        <v>444</v>
      </c>
      <c r="DL55" s="55">
        <v>445</v>
      </c>
      <c r="DM55" s="55">
        <v>445</v>
      </c>
      <c r="DN55" s="55">
        <v>446</v>
      </c>
      <c r="DO55" s="55">
        <v>446</v>
      </c>
      <c r="DP55" s="55">
        <v>446</v>
      </c>
      <c r="DQ55" s="55">
        <v>446</v>
      </c>
      <c r="DR55" s="77">
        <v>448</v>
      </c>
      <c r="DS55" s="55">
        <v>449</v>
      </c>
      <c r="DT55" s="55">
        <v>449</v>
      </c>
      <c r="DU55" s="55">
        <v>449</v>
      </c>
      <c r="DV55" s="55">
        <v>450</v>
      </c>
      <c r="DW55" s="55">
        <v>450</v>
      </c>
      <c r="DX55" s="55">
        <v>450</v>
      </c>
      <c r="DY55" s="55">
        <v>451</v>
      </c>
      <c r="DZ55" s="55">
        <v>451</v>
      </c>
      <c r="EA55" s="55">
        <v>451</v>
      </c>
      <c r="EB55" s="55">
        <v>451</v>
      </c>
      <c r="EC55" s="55">
        <v>452</v>
      </c>
      <c r="ED55" s="77">
        <v>453</v>
      </c>
      <c r="EE55" s="55">
        <v>453</v>
      </c>
      <c r="EF55" s="55">
        <v>454</v>
      </c>
      <c r="EG55" s="55">
        <v>454</v>
      </c>
      <c r="EH55" s="55">
        <v>455</v>
      </c>
      <c r="EI55" s="55">
        <v>457</v>
      </c>
      <c r="EJ55" s="55">
        <v>457</v>
      </c>
      <c r="EK55" s="55">
        <v>457</v>
      </c>
      <c r="EL55" s="55">
        <v>457</v>
      </c>
      <c r="EM55" s="55">
        <v>457</v>
      </c>
      <c r="EN55" s="55">
        <v>457</v>
      </c>
      <c r="EO55" s="55">
        <v>457</v>
      </c>
      <c r="EP55" s="77">
        <v>460</v>
      </c>
      <c r="EQ55" s="55">
        <v>460</v>
      </c>
      <c r="ER55" s="55">
        <v>461</v>
      </c>
      <c r="ES55" s="55">
        <v>461</v>
      </c>
      <c r="ET55" s="55">
        <v>461</v>
      </c>
      <c r="EU55" s="55">
        <v>461</v>
      </c>
      <c r="EV55" s="55">
        <v>462</v>
      </c>
      <c r="EW55" s="55">
        <v>462</v>
      </c>
      <c r="EX55" s="55">
        <v>463</v>
      </c>
      <c r="EY55" s="55">
        <v>463</v>
      </c>
      <c r="EZ55" s="55">
        <v>463</v>
      </c>
      <c r="FA55" s="83">
        <v>464</v>
      </c>
      <c r="FB55" s="55">
        <v>467</v>
      </c>
      <c r="FC55" s="55">
        <v>468</v>
      </c>
      <c r="FD55" s="55">
        <v>471</v>
      </c>
      <c r="FE55" s="55">
        <v>472</v>
      </c>
      <c r="FF55" s="55">
        <v>472</v>
      </c>
      <c r="FG55" s="55">
        <v>472</v>
      </c>
      <c r="FH55" s="55">
        <v>472</v>
      </c>
      <c r="FI55" s="55">
        <v>472</v>
      </c>
      <c r="FJ55" s="39">
        <v>473</v>
      </c>
      <c r="FK55" s="39">
        <v>477</v>
      </c>
      <c r="FL55" s="39">
        <v>478</v>
      </c>
      <c r="FM55" s="39">
        <v>478</v>
      </c>
      <c r="FN55" s="77">
        <v>482</v>
      </c>
      <c r="FO55" s="39">
        <v>482</v>
      </c>
      <c r="FP55" s="39">
        <v>487</v>
      </c>
      <c r="FQ55" s="39">
        <v>490</v>
      </c>
      <c r="FR55" s="39">
        <v>490</v>
      </c>
      <c r="FS55" s="39">
        <v>492</v>
      </c>
      <c r="FT55" s="39">
        <v>492</v>
      </c>
      <c r="FU55" s="39">
        <v>492</v>
      </c>
      <c r="FV55" s="39">
        <v>492</v>
      </c>
      <c r="FW55" s="39">
        <v>493</v>
      </c>
      <c r="FX55" s="39">
        <v>493</v>
      </c>
      <c r="FY55" s="197">
        <v>495</v>
      </c>
      <c r="FZ55" s="39">
        <v>498</v>
      </c>
      <c r="GA55" s="39">
        <v>499</v>
      </c>
      <c r="GB55" s="39">
        <v>499</v>
      </c>
      <c r="GC55" s="39">
        <v>499</v>
      </c>
      <c r="GD55" s="39">
        <v>499</v>
      </c>
      <c r="GE55" s="39">
        <v>501</v>
      </c>
      <c r="GF55" s="39">
        <v>501</v>
      </c>
      <c r="GG55" s="39">
        <v>502</v>
      </c>
      <c r="GH55" s="39">
        <v>502</v>
      </c>
      <c r="GI55" s="39">
        <v>503</v>
      </c>
      <c r="GJ55" s="39">
        <v>503</v>
      </c>
      <c r="GK55" s="197">
        <v>503</v>
      </c>
      <c r="GL55" s="39">
        <v>503</v>
      </c>
      <c r="GM55" s="39">
        <v>503</v>
      </c>
      <c r="GN55" s="39">
        <v>503</v>
      </c>
    </row>
    <row r="56" spans="1:196" s="1" customFormat="1" ht="20.149999999999999" customHeight="1" x14ac:dyDescent="0.4">
      <c r="A56" s="31" t="s">
        <v>1628</v>
      </c>
      <c r="B56" s="58">
        <v>0</v>
      </c>
      <c r="C56" s="58">
        <v>0</v>
      </c>
      <c r="D56" s="58">
        <v>0</v>
      </c>
      <c r="E56" s="58">
        <v>0</v>
      </c>
      <c r="F56" s="58">
        <v>0</v>
      </c>
      <c r="G56" s="58">
        <v>0</v>
      </c>
      <c r="H56" s="58">
        <v>0</v>
      </c>
      <c r="I56" s="58">
        <v>0</v>
      </c>
      <c r="J56" s="58">
        <v>0</v>
      </c>
      <c r="K56" s="58">
        <v>0</v>
      </c>
      <c r="L56" s="58">
        <v>0</v>
      </c>
      <c r="M56" s="59">
        <v>0</v>
      </c>
      <c r="N56" s="60">
        <v>0</v>
      </c>
      <c r="O56" s="58">
        <v>0</v>
      </c>
      <c r="P56" s="58">
        <v>0</v>
      </c>
      <c r="Q56" s="58">
        <v>0</v>
      </c>
      <c r="R56" s="58">
        <v>0</v>
      </c>
      <c r="S56" s="58">
        <v>0</v>
      </c>
      <c r="T56" s="58">
        <v>0</v>
      </c>
      <c r="U56" s="58">
        <v>0</v>
      </c>
      <c r="V56" s="58">
        <v>0</v>
      </c>
      <c r="W56" s="58">
        <v>0</v>
      </c>
      <c r="X56" s="58">
        <v>0</v>
      </c>
      <c r="Y56" s="59">
        <v>0</v>
      </c>
      <c r="Z56" s="60">
        <v>0</v>
      </c>
      <c r="AA56" s="58">
        <v>0</v>
      </c>
      <c r="AB56" s="58">
        <v>0</v>
      </c>
      <c r="AC56" s="58">
        <v>0</v>
      </c>
      <c r="AD56" s="58">
        <v>0</v>
      </c>
      <c r="AE56" s="58">
        <v>0</v>
      </c>
      <c r="AF56" s="58">
        <v>0</v>
      </c>
      <c r="AG56" s="58">
        <v>0</v>
      </c>
      <c r="AH56" s="58">
        <v>0</v>
      </c>
      <c r="AI56" s="58">
        <v>0</v>
      </c>
      <c r="AJ56" s="58">
        <v>0</v>
      </c>
      <c r="AK56" s="59">
        <v>0</v>
      </c>
      <c r="AL56" s="60">
        <v>0</v>
      </c>
      <c r="AM56" s="58">
        <v>0</v>
      </c>
      <c r="AN56" s="58">
        <v>1</v>
      </c>
      <c r="AO56" s="58">
        <v>1</v>
      </c>
      <c r="AP56" s="58">
        <v>1</v>
      </c>
      <c r="AQ56" s="58">
        <v>1</v>
      </c>
      <c r="AR56" s="58">
        <v>1</v>
      </c>
      <c r="AS56" s="58">
        <v>1</v>
      </c>
      <c r="AT56" s="58">
        <v>1</v>
      </c>
      <c r="AU56" s="58">
        <v>1</v>
      </c>
      <c r="AV56" s="58">
        <v>1</v>
      </c>
      <c r="AW56" s="59">
        <v>1</v>
      </c>
      <c r="AX56" s="58">
        <v>1</v>
      </c>
      <c r="AY56" s="58">
        <v>2</v>
      </c>
      <c r="AZ56" s="58">
        <v>3</v>
      </c>
      <c r="BA56" s="58">
        <v>4</v>
      </c>
      <c r="BB56" s="58">
        <v>4</v>
      </c>
      <c r="BC56" s="58">
        <v>4</v>
      </c>
      <c r="BD56" s="58">
        <v>5</v>
      </c>
      <c r="BE56" s="58">
        <v>5</v>
      </c>
      <c r="BF56" s="58">
        <v>7</v>
      </c>
      <c r="BG56" s="58">
        <v>9</v>
      </c>
      <c r="BH56" s="58">
        <v>9</v>
      </c>
      <c r="BI56" s="59">
        <v>11</v>
      </c>
      <c r="BJ56" s="58">
        <v>11</v>
      </c>
      <c r="BK56" s="58">
        <v>11</v>
      </c>
      <c r="BL56" s="58">
        <v>29</v>
      </c>
      <c r="BM56" s="58">
        <v>29</v>
      </c>
      <c r="BN56" s="58">
        <v>29</v>
      </c>
      <c r="BO56" s="58">
        <v>29</v>
      </c>
      <c r="BP56" s="58">
        <v>29</v>
      </c>
      <c r="BQ56" s="58">
        <v>29</v>
      </c>
      <c r="BR56" s="58">
        <v>29</v>
      </c>
      <c r="BS56" s="58">
        <v>29</v>
      </c>
      <c r="BT56" s="58">
        <v>29</v>
      </c>
      <c r="BU56" s="59">
        <v>29</v>
      </c>
      <c r="BV56" s="55">
        <v>30</v>
      </c>
      <c r="BW56" s="55">
        <v>30</v>
      </c>
      <c r="BX56" s="55">
        <v>39</v>
      </c>
      <c r="BY56" s="55">
        <v>39</v>
      </c>
      <c r="BZ56" s="55">
        <v>39</v>
      </c>
      <c r="CA56" s="55">
        <v>39</v>
      </c>
      <c r="CB56" s="55">
        <v>39</v>
      </c>
      <c r="CC56" s="55">
        <v>39</v>
      </c>
      <c r="CD56" s="55">
        <v>39</v>
      </c>
      <c r="CE56" s="55">
        <v>39</v>
      </c>
      <c r="CF56" s="55">
        <v>39</v>
      </c>
      <c r="CG56" s="55">
        <v>39</v>
      </c>
      <c r="CH56" s="77">
        <v>39</v>
      </c>
      <c r="CI56" s="55">
        <v>39</v>
      </c>
      <c r="CJ56" s="55">
        <v>40</v>
      </c>
      <c r="CK56" s="55">
        <v>40</v>
      </c>
      <c r="CL56" s="55">
        <v>40</v>
      </c>
      <c r="CM56" s="55">
        <v>40</v>
      </c>
      <c r="CN56" s="55">
        <v>40</v>
      </c>
      <c r="CO56" s="55">
        <v>40</v>
      </c>
      <c r="CP56" s="55">
        <v>40</v>
      </c>
      <c r="CQ56" s="55">
        <v>40</v>
      </c>
      <c r="CR56" s="55">
        <v>40</v>
      </c>
      <c r="CS56" s="55">
        <v>40</v>
      </c>
      <c r="CT56" s="77">
        <v>41</v>
      </c>
      <c r="CU56" s="55">
        <v>41</v>
      </c>
      <c r="CV56" s="55">
        <v>41</v>
      </c>
      <c r="CW56" s="55">
        <v>41</v>
      </c>
      <c r="CX56" s="55">
        <v>41</v>
      </c>
      <c r="CY56" s="55">
        <v>41</v>
      </c>
      <c r="CZ56" s="55">
        <v>41</v>
      </c>
      <c r="DA56" s="55">
        <v>41</v>
      </c>
      <c r="DB56" s="55">
        <v>41</v>
      </c>
      <c r="DC56" s="55">
        <v>41</v>
      </c>
      <c r="DD56" s="55">
        <v>41</v>
      </c>
      <c r="DE56" s="55">
        <v>41</v>
      </c>
      <c r="DF56" s="77">
        <v>42</v>
      </c>
      <c r="DG56" s="55">
        <v>42</v>
      </c>
      <c r="DH56" s="55">
        <v>42</v>
      </c>
      <c r="DI56" s="55">
        <v>42</v>
      </c>
      <c r="DJ56" s="55">
        <v>42</v>
      </c>
      <c r="DK56" s="55">
        <v>42</v>
      </c>
      <c r="DL56" s="55">
        <v>42</v>
      </c>
      <c r="DM56" s="55">
        <v>42</v>
      </c>
      <c r="DN56" s="55">
        <v>42</v>
      </c>
      <c r="DO56" s="55">
        <v>42</v>
      </c>
      <c r="DP56" s="55">
        <v>42</v>
      </c>
      <c r="DQ56" s="55">
        <v>43</v>
      </c>
      <c r="DR56" s="77">
        <v>43</v>
      </c>
      <c r="DS56" s="55">
        <v>43</v>
      </c>
      <c r="DT56" s="55">
        <v>43</v>
      </c>
      <c r="DU56" s="55">
        <v>43</v>
      </c>
      <c r="DV56" s="55">
        <v>43</v>
      </c>
      <c r="DW56" s="55">
        <v>43</v>
      </c>
      <c r="DX56" s="55">
        <v>43</v>
      </c>
      <c r="DY56" s="55">
        <v>44</v>
      </c>
      <c r="DZ56" s="55">
        <v>44</v>
      </c>
      <c r="EA56" s="55">
        <v>44</v>
      </c>
      <c r="EB56" s="55">
        <v>44</v>
      </c>
      <c r="EC56" s="55">
        <v>44</v>
      </c>
      <c r="ED56" s="77">
        <v>45</v>
      </c>
      <c r="EE56" s="55">
        <v>45</v>
      </c>
      <c r="EF56" s="55">
        <v>47</v>
      </c>
      <c r="EG56" s="55">
        <v>48</v>
      </c>
      <c r="EH56" s="55">
        <v>48</v>
      </c>
      <c r="EI56" s="55">
        <v>48</v>
      </c>
      <c r="EJ56" s="55">
        <v>48</v>
      </c>
      <c r="EK56" s="55">
        <v>48</v>
      </c>
      <c r="EL56" s="55">
        <v>48</v>
      </c>
      <c r="EM56" s="55">
        <v>49</v>
      </c>
      <c r="EN56" s="55">
        <v>49</v>
      </c>
      <c r="EO56" s="55">
        <v>49</v>
      </c>
      <c r="EP56" s="77">
        <v>49</v>
      </c>
      <c r="EQ56" s="55">
        <v>49</v>
      </c>
      <c r="ER56" s="55">
        <v>49</v>
      </c>
      <c r="ES56" s="55">
        <v>50</v>
      </c>
      <c r="ET56" s="55">
        <v>50</v>
      </c>
      <c r="EU56" s="55">
        <v>50</v>
      </c>
      <c r="EV56" s="55">
        <v>50</v>
      </c>
      <c r="EW56" s="55">
        <v>50</v>
      </c>
      <c r="EX56" s="55">
        <v>50</v>
      </c>
      <c r="EY56" s="55">
        <v>50</v>
      </c>
      <c r="EZ56" s="55">
        <v>50</v>
      </c>
      <c r="FA56" s="83">
        <v>51</v>
      </c>
      <c r="FB56" s="160">
        <v>52</v>
      </c>
      <c r="FC56" s="160">
        <v>53</v>
      </c>
      <c r="FD56" s="160">
        <v>55</v>
      </c>
      <c r="FE56" s="160">
        <v>55</v>
      </c>
      <c r="FF56" s="160">
        <v>55</v>
      </c>
      <c r="FG56" s="160">
        <v>55</v>
      </c>
      <c r="FH56" s="160">
        <v>55</v>
      </c>
      <c r="FI56" s="160">
        <v>55</v>
      </c>
      <c r="FJ56" s="160">
        <v>56</v>
      </c>
      <c r="FK56" s="160">
        <v>56</v>
      </c>
      <c r="FL56" s="160">
        <v>56</v>
      </c>
      <c r="FM56" s="39">
        <v>56</v>
      </c>
      <c r="FN56" s="77">
        <v>62</v>
      </c>
      <c r="FO56" s="39">
        <v>64</v>
      </c>
      <c r="FP56" s="39">
        <v>66</v>
      </c>
      <c r="FQ56" s="39">
        <v>68</v>
      </c>
      <c r="FR56" s="39">
        <v>70</v>
      </c>
      <c r="FS56" s="39">
        <v>72</v>
      </c>
      <c r="FT56" s="39">
        <v>74</v>
      </c>
      <c r="FU56" s="39">
        <v>74</v>
      </c>
      <c r="FV56" s="39">
        <v>74</v>
      </c>
      <c r="FW56" s="39">
        <v>80</v>
      </c>
      <c r="FX56" s="39">
        <v>81</v>
      </c>
      <c r="FY56" s="197">
        <v>82</v>
      </c>
      <c r="FZ56" s="39">
        <v>87</v>
      </c>
      <c r="GA56" s="39">
        <v>89</v>
      </c>
      <c r="GB56" s="39">
        <v>92</v>
      </c>
      <c r="GC56" s="39">
        <v>95</v>
      </c>
      <c r="GD56" s="39">
        <v>97</v>
      </c>
      <c r="GE56" s="39">
        <v>99</v>
      </c>
      <c r="GF56" s="39">
        <v>102</v>
      </c>
      <c r="GG56" s="39">
        <v>104</v>
      </c>
      <c r="GH56" s="39">
        <v>106</v>
      </c>
      <c r="GI56" s="39">
        <v>108</v>
      </c>
      <c r="GJ56" s="39">
        <v>108</v>
      </c>
      <c r="GK56" s="197">
        <v>108</v>
      </c>
      <c r="GL56" s="39">
        <v>109</v>
      </c>
      <c r="GM56" s="39">
        <v>109</v>
      </c>
      <c r="GN56" s="39">
        <v>109</v>
      </c>
    </row>
    <row r="57" spans="1:196" s="1" customFormat="1" ht="20.149999999999999" customHeight="1" thickBot="1" x14ac:dyDescent="0.4">
      <c r="A57" s="32" t="s">
        <v>267</v>
      </c>
      <c r="B57" s="64">
        <f>SUM(B51:B56)</f>
        <v>5092</v>
      </c>
      <c r="C57" s="65">
        <f t="shared" ref="C57:BN57" si="20">SUM(C51:C56)</f>
        <v>5683</v>
      </c>
      <c r="D57" s="65">
        <f t="shared" si="20"/>
        <v>6718</v>
      </c>
      <c r="E57" s="65">
        <f t="shared" si="20"/>
        <v>7778</v>
      </c>
      <c r="F57" s="65">
        <f t="shared" si="20"/>
        <v>9307</v>
      </c>
      <c r="G57" s="65">
        <f t="shared" si="20"/>
        <v>11240</v>
      </c>
      <c r="H57" s="65">
        <f t="shared" si="20"/>
        <v>13566</v>
      </c>
      <c r="I57" s="65">
        <f t="shared" si="20"/>
        <v>15859</v>
      </c>
      <c r="J57" s="65">
        <f t="shared" si="20"/>
        <v>18726</v>
      </c>
      <c r="K57" s="65">
        <f t="shared" si="20"/>
        <v>22198</v>
      </c>
      <c r="L57" s="65">
        <f t="shared" si="20"/>
        <v>26183</v>
      </c>
      <c r="M57" s="65">
        <f t="shared" si="20"/>
        <v>29237</v>
      </c>
      <c r="N57" s="64">
        <f t="shared" si="20"/>
        <v>33398</v>
      </c>
      <c r="O57" s="65">
        <f t="shared" si="20"/>
        <v>38086</v>
      </c>
      <c r="P57" s="65">
        <f t="shared" si="20"/>
        <v>45196</v>
      </c>
      <c r="Q57" s="65">
        <f t="shared" si="20"/>
        <v>51615</v>
      </c>
      <c r="R57" s="65">
        <f t="shared" si="20"/>
        <v>58992</v>
      </c>
      <c r="S57" s="65">
        <f t="shared" si="20"/>
        <v>68565</v>
      </c>
      <c r="T57" s="65">
        <f t="shared" si="20"/>
        <v>79892</v>
      </c>
      <c r="U57" s="65">
        <f t="shared" si="20"/>
        <v>94145</v>
      </c>
      <c r="V57" s="65">
        <f t="shared" si="20"/>
        <v>111675</v>
      </c>
      <c r="W57" s="65">
        <f t="shared" si="20"/>
        <v>132175</v>
      </c>
      <c r="X57" s="65">
        <f t="shared" si="20"/>
        <v>189424</v>
      </c>
      <c r="Y57" s="65">
        <f t="shared" si="20"/>
        <v>235881</v>
      </c>
      <c r="Z57" s="64">
        <f t="shared" si="20"/>
        <v>244405</v>
      </c>
      <c r="AA57" s="65">
        <f t="shared" si="20"/>
        <v>288511</v>
      </c>
      <c r="AB57" s="65">
        <f t="shared" si="20"/>
        <v>315613</v>
      </c>
      <c r="AC57" s="65">
        <f t="shared" si="20"/>
        <v>321141</v>
      </c>
      <c r="AD57" s="65">
        <f t="shared" si="20"/>
        <v>331657</v>
      </c>
      <c r="AE57" s="65">
        <f t="shared" si="20"/>
        <v>344942</v>
      </c>
      <c r="AF57" s="65">
        <f t="shared" si="20"/>
        <v>371724</v>
      </c>
      <c r="AG57" s="65">
        <f t="shared" si="20"/>
        <v>375756</v>
      </c>
      <c r="AH57" s="65">
        <f t="shared" si="20"/>
        <v>381147</v>
      </c>
      <c r="AI57" s="65">
        <f t="shared" si="20"/>
        <v>392049</v>
      </c>
      <c r="AJ57" s="65">
        <f t="shared" si="20"/>
        <v>398017</v>
      </c>
      <c r="AK57" s="65">
        <f t="shared" si="20"/>
        <v>404218</v>
      </c>
      <c r="AL57" s="64">
        <f t="shared" si="20"/>
        <v>410888</v>
      </c>
      <c r="AM57" s="65">
        <f t="shared" si="20"/>
        <v>418097</v>
      </c>
      <c r="AN57" s="65">
        <f t="shared" si="20"/>
        <v>426451</v>
      </c>
      <c r="AO57" s="65">
        <f t="shared" si="20"/>
        <v>435069</v>
      </c>
      <c r="AP57" s="65">
        <f t="shared" si="20"/>
        <v>443870</v>
      </c>
      <c r="AQ57" s="65">
        <f t="shared" si="20"/>
        <v>456784</v>
      </c>
      <c r="AR57" s="65">
        <f t="shared" si="20"/>
        <v>463848</v>
      </c>
      <c r="AS57" s="65">
        <f t="shared" si="20"/>
        <v>472194</v>
      </c>
      <c r="AT57" s="65">
        <f t="shared" si="20"/>
        <v>481079</v>
      </c>
      <c r="AU57" s="65">
        <f t="shared" si="20"/>
        <v>490535</v>
      </c>
      <c r="AV57" s="65">
        <f t="shared" si="20"/>
        <v>501308</v>
      </c>
      <c r="AW57" s="66">
        <f t="shared" si="20"/>
        <v>510367</v>
      </c>
      <c r="AX57" s="65">
        <f t="shared" si="20"/>
        <v>519120</v>
      </c>
      <c r="AY57" s="65">
        <f t="shared" si="20"/>
        <v>529473</v>
      </c>
      <c r="AZ57" s="65">
        <f t="shared" si="20"/>
        <v>545748</v>
      </c>
      <c r="BA57" s="65">
        <f t="shared" si="20"/>
        <v>554380</v>
      </c>
      <c r="BB57" s="65">
        <f t="shared" si="20"/>
        <v>563936</v>
      </c>
      <c r="BC57" s="65">
        <f t="shared" si="20"/>
        <v>574615</v>
      </c>
      <c r="BD57" s="65">
        <f t="shared" si="20"/>
        <v>586392</v>
      </c>
      <c r="BE57" s="65">
        <f t="shared" si="20"/>
        <v>597728</v>
      </c>
      <c r="BF57" s="65">
        <f t="shared" si="20"/>
        <v>611220</v>
      </c>
      <c r="BG57" s="65">
        <f t="shared" si="20"/>
        <v>625228</v>
      </c>
      <c r="BH57" s="65">
        <f t="shared" si="20"/>
        <v>638518</v>
      </c>
      <c r="BI57" s="66">
        <f t="shared" si="20"/>
        <v>652352</v>
      </c>
      <c r="BJ57" s="65">
        <f t="shared" si="20"/>
        <v>661317</v>
      </c>
      <c r="BK57" s="65">
        <f t="shared" si="20"/>
        <v>672293</v>
      </c>
      <c r="BL57" s="65">
        <f t="shared" si="20"/>
        <v>689704</v>
      </c>
      <c r="BM57" s="65">
        <f t="shared" si="20"/>
        <v>701108</v>
      </c>
      <c r="BN57" s="65">
        <f t="shared" si="20"/>
        <v>713196</v>
      </c>
      <c r="BO57" s="65">
        <f t="shared" ref="BO57:DZ57" si="21">SUM(BO51:BO56)</f>
        <v>730475</v>
      </c>
      <c r="BP57" s="65">
        <f t="shared" si="21"/>
        <v>742663</v>
      </c>
      <c r="BQ57" s="65">
        <f t="shared" si="21"/>
        <v>755129</v>
      </c>
      <c r="BR57" s="65">
        <f t="shared" si="21"/>
        <v>776157</v>
      </c>
      <c r="BS57" s="65">
        <f t="shared" si="21"/>
        <v>793277</v>
      </c>
      <c r="BT57" s="65">
        <f t="shared" si="21"/>
        <v>815428</v>
      </c>
      <c r="BU57" s="66">
        <f t="shared" si="21"/>
        <v>841823</v>
      </c>
      <c r="BV57" s="65">
        <f t="shared" si="21"/>
        <v>857297</v>
      </c>
      <c r="BW57" s="65">
        <f t="shared" si="21"/>
        <v>860994</v>
      </c>
      <c r="BX57" s="65">
        <f t="shared" si="21"/>
        <v>865861</v>
      </c>
      <c r="BY57" s="65">
        <f t="shared" si="21"/>
        <v>869608</v>
      </c>
      <c r="BZ57" s="65">
        <f t="shared" si="21"/>
        <v>873331</v>
      </c>
      <c r="CA57" s="65">
        <f t="shared" si="21"/>
        <v>877767</v>
      </c>
      <c r="CB57" s="65">
        <f t="shared" si="21"/>
        <v>881299</v>
      </c>
      <c r="CC57" s="65">
        <f t="shared" si="21"/>
        <v>884747</v>
      </c>
      <c r="CD57" s="65">
        <f t="shared" si="21"/>
        <v>889712</v>
      </c>
      <c r="CE57" s="65">
        <f t="shared" si="21"/>
        <v>892595</v>
      </c>
      <c r="CF57" s="65">
        <f t="shared" si="21"/>
        <v>896114</v>
      </c>
      <c r="CG57" s="65">
        <f t="shared" si="21"/>
        <v>898764</v>
      </c>
      <c r="CH57" s="78">
        <f t="shared" si="21"/>
        <v>901300</v>
      </c>
      <c r="CI57" s="65">
        <f t="shared" si="21"/>
        <v>904150</v>
      </c>
      <c r="CJ57" s="65">
        <f t="shared" si="21"/>
        <v>908199</v>
      </c>
      <c r="CK57" s="65">
        <f t="shared" si="21"/>
        <v>910629</v>
      </c>
      <c r="CL57" s="65">
        <f t="shared" si="21"/>
        <v>913892</v>
      </c>
      <c r="CM57" s="65">
        <f t="shared" si="21"/>
        <v>917183</v>
      </c>
      <c r="CN57" s="65">
        <f t="shared" si="21"/>
        <v>920051</v>
      </c>
      <c r="CO57" s="65">
        <f t="shared" si="21"/>
        <v>923279</v>
      </c>
      <c r="CP57" s="65">
        <f t="shared" si="21"/>
        <v>926671</v>
      </c>
      <c r="CQ57" s="65">
        <f t="shared" si="21"/>
        <v>929859</v>
      </c>
      <c r="CR57" s="65">
        <f t="shared" si="21"/>
        <v>933668</v>
      </c>
      <c r="CS57" s="65">
        <f t="shared" si="21"/>
        <v>936148</v>
      </c>
      <c r="CT57" s="78">
        <f t="shared" si="21"/>
        <v>938970</v>
      </c>
      <c r="CU57" s="65">
        <f t="shared" si="21"/>
        <v>941735</v>
      </c>
      <c r="CV57" s="65">
        <f t="shared" si="21"/>
        <v>945122</v>
      </c>
      <c r="CW57" s="65">
        <f t="shared" si="21"/>
        <v>948159</v>
      </c>
      <c r="CX57" s="65">
        <f t="shared" si="21"/>
        <v>951542</v>
      </c>
      <c r="CY57" s="65">
        <f t="shared" si="21"/>
        <v>955040</v>
      </c>
      <c r="CZ57" s="65">
        <f t="shared" si="21"/>
        <v>958329</v>
      </c>
      <c r="DA57" s="65">
        <f t="shared" si="21"/>
        <v>962095</v>
      </c>
      <c r="DB57" s="65">
        <f t="shared" si="21"/>
        <v>965963</v>
      </c>
      <c r="DC57" s="65">
        <f t="shared" si="21"/>
        <v>970429</v>
      </c>
      <c r="DD57" s="65">
        <f t="shared" si="21"/>
        <v>975321</v>
      </c>
      <c r="DE57" s="65">
        <f t="shared" si="21"/>
        <v>979367</v>
      </c>
      <c r="DF57" s="78">
        <f t="shared" si="21"/>
        <v>984452</v>
      </c>
      <c r="DG57" s="65">
        <f t="shared" si="21"/>
        <v>990542</v>
      </c>
      <c r="DH57" s="65">
        <f t="shared" si="21"/>
        <v>1005597</v>
      </c>
      <c r="DI57" s="65">
        <f t="shared" si="21"/>
        <v>1007715</v>
      </c>
      <c r="DJ57" s="65">
        <f t="shared" si="21"/>
        <v>1010380</v>
      </c>
      <c r="DK57" s="65">
        <f t="shared" si="21"/>
        <v>1013291</v>
      </c>
      <c r="DL57" s="65">
        <f t="shared" si="21"/>
        <v>1016242</v>
      </c>
      <c r="DM57" s="65">
        <f t="shared" si="21"/>
        <v>1019358</v>
      </c>
      <c r="DN57" s="65">
        <f t="shared" si="21"/>
        <v>1022783</v>
      </c>
      <c r="DO57" s="65">
        <f t="shared" si="21"/>
        <v>1026364</v>
      </c>
      <c r="DP57" s="65">
        <f t="shared" si="21"/>
        <v>1030027</v>
      </c>
      <c r="DQ57" s="65">
        <f t="shared" si="21"/>
        <v>1032531</v>
      </c>
      <c r="DR57" s="78">
        <f t="shared" si="21"/>
        <v>1035710</v>
      </c>
      <c r="DS57" s="65">
        <f t="shared" si="21"/>
        <v>1038780</v>
      </c>
      <c r="DT57" s="65">
        <f t="shared" si="21"/>
        <v>1042049</v>
      </c>
      <c r="DU57" s="65">
        <f t="shared" si="21"/>
        <v>1042721</v>
      </c>
      <c r="DV57" s="65">
        <f t="shared" si="21"/>
        <v>1043805</v>
      </c>
      <c r="DW57" s="65">
        <f t="shared" si="21"/>
        <v>1046224</v>
      </c>
      <c r="DX57" s="65">
        <f t="shared" si="21"/>
        <v>1049526</v>
      </c>
      <c r="DY57" s="65">
        <f t="shared" si="21"/>
        <v>1052802</v>
      </c>
      <c r="DZ57" s="65">
        <f t="shared" si="21"/>
        <v>1056940</v>
      </c>
      <c r="EA57" s="65">
        <f t="shared" ref="EA57:GL57" si="22">SUM(EA51:EA56)</f>
        <v>1060944</v>
      </c>
      <c r="EB57" s="65">
        <f t="shared" si="22"/>
        <v>1065296</v>
      </c>
      <c r="EC57" s="65">
        <f t="shared" si="22"/>
        <v>1068451</v>
      </c>
      <c r="ED57" s="78">
        <f t="shared" si="22"/>
        <v>1072136</v>
      </c>
      <c r="EE57" s="65">
        <f t="shared" si="22"/>
        <v>1075721</v>
      </c>
      <c r="EF57" s="65">
        <f t="shared" si="22"/>
        <v>1080716</v>
      </c>
      <c r="EG57" s="65">
        <f t="shared" si="22"/>
        <v>1085720</v>
      </c>
      <c r="EH57" s="65">
        <f t="shared" si="22"/>
        <v>1090793</v>
      </c>
      <c r="EI57" s="65">
        <f t="shared" si="22"/>
        <v>1096056</v>
      </c>
      <c r="EJ57" s="65">
        <f t="shared" si="22"/>
        <v>1100966</v>
      </c>
      <c r="EK57" s="65">
        <f t="shared" si="22"/>
        <v>1106074</v>
      </c>
      <c r="EL57" s="65">
        <f t="shared" si="22"/>
        <v>1112050</v>
      </c>
      <c r="EM57" s="65">
        <f t="shared" si="22"/>
        <v>1117673</v>
      </c>
      <c r="EN57" s="65">
        <f t="shared" si="22"/>
        <v>1124817</v>
      </c>
      <c r="EO57" s="65">
        <f t="shared" si="22"/>
        <v>1130003</v>
      </c>
      <c r="EP57" s="78">
        <f t="shared" si="22"/>
        <v>1136169</v>
      </c>
      <c r="EQ57" s="65">
        <f t="shared" si="22"/>
        <v>1143752</v>
      </c>
      <c r="ER57" s="65">
        <f t="shared" si="22"/>
        <v>1153917</v>
      </c>
      <c r="ES57" s="65">
        <f t="shared" si="22"/>
        <v>1163819</v>
      </c>
      <c r="ET57" s="65">
        <f t="shared" si="22"/>
        <v>1175101</v>
      </c>
      <c r="EU57" s="65">
        <f t="shared" si="22"/>
        <v>1186688</v>
      </c>
      <c r="EV57" s="65">
        <f t="shared" si="22"/>
        <v>1198024</v>
      </c>
      <c r="EW57" s="65">
        <f t="shared" si="22"/>
        <v>1210568</v>
      </c>
      <c r="EX57" s="65">
        <f t="shared" si="22"/>
        <v>1225272</v>
      </c>
      <c r="EY57" s="65">
        <f t="shared" si="22"/>
        <v>1239724</v>
      </c>
      <c r="EZ57" s="65">
        <f t="shared" si="22"/>
        <v>1256256</v>
      </c>
      <c r="FA57" s="84">
        <f t="shared" si="22"/>
        <v>1268757</v>
      </c>
      <c r="FB57" s="65">
        <f t="shared" si="22"/>
        <v>1285463</v>
      </c>
      <c r="FC57" s="65">
        <f t="shared" si="22"/>
        <v>1303345</v>
      </c>
      <c r="FD57" s="65">
        <f t="shared" si="22"/>
        <v>1323682</v>
      </c>
      <c r="FE57" s="65">
        <f t="shared" si="22"/>
        <v>1339910</v>
      </c>
      <c r="FF57" s="65">
        <f t="shared" si="22"/>
        <v>1358244</v>
      </c>
      <c r="FG57" s="65">
        <f t="shared" si="22"/>
        <v>1377026</v>
      </c>
      <c r="FH57" s="65">
        <f t="shared" si="22"/>
        <v>1393077</v>
      </c>
      <c r="FI57" s="65">
        <f t="shared" si="22"/>
        <v>1409352</v>
      </c>
      <c r="FJ57" s="65">
        <f t="shared" si="22"/>
        <v>1425333</v>
      </c>
      <c r="FK57" s="159">
        <f t="shared" si="22"/>
        <v>1441141</v>
      </c>
      <c r="FL57" s="159">
        <f t="shared" si="22"/>
        <v>1457385</v>
      </c>
      <c r="FM57" s="159">
        <f t="shared" si="22"/>
        <v>1467721</v>
      </c>
      <c r="FN57" s="78">
        <f t="shared" si="22"/>
        <v>1481109</v>
      </c>
      <c r="FO57" s="159">
        <f t="shared" si="22"/>
        <v>1495254</v>
      </c>
      <c r="FP57" s="159">
        <f t="shared" si="22"/>
        <v>1510456</v>
      </c>
      <c r="FQ57" s="159">
        <f t="shared" si="22"/>
        <v>1526097</v>
      </c>
      <c r="FR57" s="159">
        <f t="shared" si="22"/>
        <v>1542456</v>
      </c>
      <c r="FS57" s="159">
        <f t="shared" si="22"/>
        <v>1558402</v>
      </c>
      <c r="FT57" s="159">
        <f t="shared" si="22"/>
        <v>1575005</v>
      </c>
      <c r="FU57" s="159">
        <f t="shared" si="22"/>
        <v>1590756</v>
      </c>
      <c r="FV57" s="159">
        <f t="shared" si="22"/>
        <v>1608049</v>
      </c>
      <c r="FW57" s="159">
        <f t="shared" si="22"/>
        <v>1628261</v>
      </c>
      <c r="FX57" s="159">
        <f t="shared" si="22"/>
        <v>1649571</v>
      </c>
      <c r="FY57" s="199">
        <f t="shared" si="22"/>
        <v>1663806</v>
      </c>
      <c r="FZ57" s="159">
        <f t="shared" si="22"/>
        <v>1681563</v>
      </c>
      <c r="GA57" s="159">
        <f t="shared" si="22"/>
        <v>1702174</v>
      </c>
      <c r="GB57" s="159">
        <f t="shared" si="22"/>
        <v>1727053</v>
      </c>
      <c r="GC57" s="159">
        <f t="shared" si="22"/>
        <v>1747698</v>
      </c>
      <c r="GD57" s="159">
        <f t="shared" si="22"/>
        <v>1771247</v>
      </c>
      <c r="GE57" s="159">
        <f t="shared" si="22"/>
        <v>1795225</v>
      </c>
      <c r="GF57" s="159">
        <f t="shared" si="22"/>
        <v>1818407</v>
      </c>
      <c r="GG57" s="159">
        <f t="shared" si="22"/>
        <v>1839119</v>
      </c>
      <c r="GH57" s="159">
        <f t="shared" si="22"/>
        <v>1863341</v>
      </c>
      <c r="GI57" s="159">
        <f t="shared" si="22"/>
        <v>1889891</v>
      </c>
      <c r="GJ57" s="159">
        <f t="shared" si="22"/>
        <v>1914125</v>
      </c>
      <c r="GK57" s="199">
        <f t="shared" si="22"/>
        <v>1932702</v>
      </c>
      <c r="GL57" s="159">
        <f t="shared" si="22"/>
        <v>1952553</v>
      </c>
      <c r="GM57" s="159">
        <f t="shared" ref="GM57:GN57" si="23">SUM(GM51:GM56)</f>
        <v>1975566</v>
      </c>
      <c r="GN57" s="159">
        <f t="shared" si="23"/>
        <v>2003173</v>
      </c>
    </row>
    <row r="58" spans="1:196" s="25" customFormat="1" ht="20.149999999999999" customHeight="1" thickTop="1" x14ac:dyDescent="0.35">
      <c r="A58" s="90" t="s">
        <v>271</v>
      </c>
      <c r="B58" s="128">
        <v>4454</v>
      </c>
      <c r="C58" s="128">
        <v>5031</v>
      </c>
      <c r="D58" s="128">
        <v>6038</v>
      </c>
      <c r="E58" s="128">
        <v>7074</v>
      </c>
      <c r="F58" s="128">
        <v>8576</v>
      </c>
      <c r="G58" s="128">
        <v>10453</v>
      </c>
      <c r="H58" s="128">
        <v>12728</v>
      </c>
      <c r="I58" s="128">
        <v>14976</v>
      </c>
      <c r="J58" s="128">
        <v>17796</v>
      </c>
      <c r="K58" s="128">
        <v>21220</v>
      </c>
      <c r="L58" s="128">
        <v>25130</v>
      </c>
      <c r="M58" s="130">
        <v>28127</v>
      </c>
      <c r="N58" s="128">
        <v>32191</v>
      </c>
      <c r="O58" s="128">
        <v>36790</v>
      </c>
      <c r="P58" s="128">
        <v>43745</v>
      </c>
      <c r="Q58" s="128">
        <v>49989</v>
      </c>
      <c r="R58" s="128">
        <v>57190</v>
      </c>
      <c r="S58" s="128">
        <v>66508</v>
      </c>
      <c r="T58" s="128">
        <v>77415</v>
      </c>
      <c r="U58" s="128">
        <v>91361</v>
      </c>
      <c r="V58" s="128">
        <v>108550</v>
      </c>
      <c r="W58" s="128">
        <v>128648</v>
      </c>
      <c r="X58" s="128">
        <v>184293</v>
      </c>
      <c r="Y58" s="130">
        <v>228592</v>
      </c>
      <c r="Z58" s="128">
        <v>237030</v>
      </c>
      <c r="AA58" s="128">
        <v>279429</v>
      </c>
      <c r="AB58" s="128">
        <v>305522</v>
      </c>
      <c r="AC58" s="128">
        <v>310908</v>
      </c>
      <c r="AD58" s="128">
        <v>321163</v>
      </c>
      <c r="AE58" s="128">
        <v>334031</v>
      </c>
      <c r="AF58" s="128">
        <v>359447</v>
      </c>
      <c r="AG58" s="128">
        <v>363387</v>
      </c>
      <c r="AH58" s="128">
        <v>368662</v>
      </c>
      <c r="AI58" s="128">
        <v>379202</v>
      </c>
      <c r="AJ58" s="128">
        <v>385071</v>
      </c>
      <c r="AK58" s="130">
        <v>391150</v>
      </c>
      <c r="AL58" s="128">
        <v>397665</v>
      </c>
      <c r="AM58" s="128">
        <v>404652</v>
      </c>
      <c r="AN58" s="128">
        <v>412640</v>
      </c>
      <c r="AO58" s="128">
        <v>420895</v>
      </c>
      <c r="AP58" s="128">
        <v>429350</v>
      </c>
      <c r="AQ58" s="128">
        <v>441566</v>
      </c>
      <c r="AR58" s="128">
        <v>448394</v>
      </c>
      <c r="AS58" s="128">
        <v>456464</v>
      </c>
      <c r="AT58" s="128">
        <v>465074</v>
      </c>
      <c r="AU58" s="128">
        <v>474285</v>
      </c>
      <c r="AV58" s="128">
        <v>484793</v>
      </c>
      <c r="AW58" s="130">
        <v>493566</v>
      </c>
      <c r="AX58" s="128">
        <v>502081</v>
      </c>
      <c r="AY58" s="128">
        <v>512175</v>
      </c>
      <c r="AZ58" s="128">
        <v>527583</v>
      </c>
      <c r="BA58" s="128">
        <v>536049</v>
      </c>
      <c r="BB58" s="128">
        <v>545355</v>
      </c>
      <c r="BC58" s="128">
        <v>555632</v>
      </c>
      <c r="BD58" s="128">
        <v>567097</v>
      </c>
      <c r="BE58" s="128">
        <v>578104</v>
      </c>
      <c r="BF58" s="128">
        <v>591123</v>
      </c>
      <c r="BG58" s="128">
        <v>604710</v>
      </c>
      <c r="BH58" s="128">
        <v>617625</v>
      </c>
      <c r="BI58" s="130">
        <v>630898</v>
      </c>
      <c r="BJ58" s="128">
        <v>639640</v>
      </c>
      <c r="BK58" s="128">
        <v>650358</v>
      </c>
      <c r="BL58" s="128">
        <v>666805</v>
      </c>
      <c r="BM58" s="128">
        <v>677872</v>
      </c>
      <c r="BN58" s="128">
        <v>689623</v>
      </c>
      <c r="BO58" s="128">
        <v>706289</v>
      </c>
      <c r="BP58" s="128">
        <v>718044</v>
      </c>
      <c r="BQ58" s="128">
        <v>730040</v>
      </c>
      <c r="BR58" s="128">
        <v>750065</v>
      </c>
      <c r="BS58" s="128">
        <v>766553</v>
      </c>
      <c r="BT58" s="128">
        <v>786746</v>
      </c>
      <c r="BU58" s="130">
        <v>810030</v>
      </c>
      <c r="BV58" s="128">
        <v>823392</v>
      </c>
      <c r="BW58" s="128">
        <v>826272</v>
      </c>
      <c r="BX58" s="128">
        <v>829926</v>
      </c>
      <c r="BY58" s="128">
        <v>832874</v>
      </c>
      <c r="BZ58" s="128">
        <v>835877</v>
      </c>
      <c r="CA58" s="128">
        <v>839402</v>
      </c>
      <c r="CB58" s="128">
        <v>842196</v>
      </c>
      <c r="CC58" s="128">
        <v>844898</v>
      </c>
      <c r="CD58" s="128">
        <v>848605</v>
      </c>
      <c r="CE58" s="128">
        <v>850832</v>
      </c>
      <c r="CF58" s="128">
        <v>853474</v>
      </c>
      <c r="CG58" s="130">
        <v>855516</v>
      </c>
      <c r="CH58" s="128">
        <v>857335</v>
      </c>
      <c r="CI58" s="128">
        <v>859440</v>
      </c>
      <c r="CJ58" s="128">
        <v>862361</v>
      </c>
      <c r="CK58" s="128">
        <v>864171</v>
      </c>
      <c r="CL58" s="128">
        <v>866450</v>
      </c>
      <c r="CM58" s="128">
        <v>868754</v>
      </c>
      <c r="CN58" s="128">
        <v>870887</v>
      </c>
      <c r="CO58" s="128">
        <v>873315</v>
      </c>
      <c r="CP58" s="128">
        <v>875781</v>
      </c>
      <c r="CQ58" s="128">
        <v>878028</v>
      </c>
      <c r="CR58" s="128">
        <v>880675</v>
      </c>
      <c r="CS58" s="130">
        <v>882486</v>
      </c>
      <c r="CT58" s="128">
        <v>884490</v>
      </c>
      <c r="CU58" s="128">
        <v>886385</v>
      </c>
      <c r="CV58" s="128">
        <v>888759</v>
      </c>
      <c r="CW58" s="128">
        <v>890921</v>
      </c>
      <c r="CX58" s="128">
        <v>893351</v>
      </c>
      <c r="CY58" s="128">
        <v>895802</v>
      </c>
      <c r="CZ58" s="128">
        <v>898078</v>
      </c>
      <c r="DA58" s="128">
        <v>900726</v>
      </c>
      <c r="DB58" s="128">
        <v>903587</v>
      </c>
      <c r="DC58" s="128">
        <v>906787</v>
      </c>
      <c r="DD58" s="128">
        <v>910332</v>
      </c>
      <c r="DE58" s="130">
        <v>913398</v>
      </c>
      <c r="DF58" s="128">
        <v>917467</v>
      </c>
      <c r="DG58" s="128">
        <v>922220</v>
      </c>
      <c r="DH58" s="128">
        <v>933433</v>
      </c>
      <c r="DI58" s="128">
        <v>934205</v>
      </c>
      <c r="DJ58" s="128">
        <v>935232</v>
      </c>
      <c r="DK58" s="128">
        <v>936316</v>
      </c>
      <c r="DL58" s="128">
        <v>937680</v>
      </c>
      <c r="DM58" s="128">
        <v>939124</v>
      </c>
      <c r="DN58" s="128">
        <v>940750</v>
      </c>
      <c r="DO58" s="128">
        <v>942532</v>
      </c>
      <c r="DP58" s="128">
        <v>944212</v>
      </c>
      <c r="DQ58" s="130">
        <v>945402</v>
      </c>
      <c r="DR58" s="128">
        <v>947092</v>
      </c>
      <c r="DS58" s="128">
        <v>948761</v>
      </c>
      <c r="DT58" s="128">
        <v>950481</v>
      </c>
      <c r="DU58" s="128">
        <v>950981</v>
      </c>
      <c r="DV58" s="128">
        <v>951801</v>
      </c>
      <c r="DW58" s="128">
        <v>953326</v>
      </c>
      <c r="DX58" s="128">
        <v>955226</v>
      </c>
      <c r="DY58" s="128">
        <v>957029</v>
      </c>
      <c r="DZ58" s="128">
        <v>959272</v>
      </c>
      <c r="EA58" s="128">
        <v>961519</v>
      </c>
      <c r="EB58" s="128">
        <v>964167</v>
      </c>
      <c r="EC58" s="130">
        <v>966612</v>
      </c>
      <c r="ED58" s="128">
        <v>969773</v>
      </c>
      <c r="EE58" s="128">
        <v>972574</v>
      </c>
      <c r="EF58" s="128">
        <v>976651</v>
      </c>
      <c r="EG58" s="128">
        <v>980765</v>
      </c>
      <c r="EH58" s="128">
        <v>984954</v>
      </c>
      <c r="EI58" s="128">
        <v>988933</v>
      </c>
      <c r="EJ58" s="128">
        <v>992462</v>
      </c>
      <c r="EK58" s="128">
        <v>996175</v>
      </c>
      <c r="EL58" s="128">
        <v>1000463</v>
      </c>
      <c r="EM58" s="128">
        <v>1004415</v>
      </c>
      <c r="EN58" s="128">
        <v>1009440</v>
      </c>
      <c r="EO58" s="129">
        <v>1013066</v>
      </c>
      <c r="EP58" s="128">
        <v>1017625</v>
      </c>
      <c r="EQ58" s="128">
        <v>1023252</v>
      </c>
      <c r="ER58" s="128">
        <v>1030999</v>
      </c>
      <c r="ES58" s="128">
        <v>1038699</v>
      </c>
      <c r="ET58" s="128">
        <v>1047806</v>
      </c>
      <c r="EU58" s="128">
        <v>1057137</v>
      </c>
      <c r="EV58" s="128">
        <v>1066307</v>
      </c>
      <c r="EW58" s="128">
        <v>1076624</v>
      </c>
      <c r="EX58" s="128">
        <v>1089095</v>
      </c>
      <c r="EY58" s="128">
        <v>1101141</v>
      </c>
      <c r="EZ58" s="128">
        <v>1114940</v>
      </c>
      <c r="FA58" s="130">
        <v>1125374</v>
      </c>
      <c r="FB58" s="128">
        <v>1140039</v>
      </c>
      <c r="FC58" s="128">
        <v>1155444</v>
      </c>
      <c r="FD58" s="128">
        <v>1172971</v>
      </c>
      <c r="FE58" s="128">
        <v>1186886</v>
      </c>
      <c r="FF58" s="128">
        <v>1202119</v>
      </c>
      <c r="FG58" s="128">
        <v>1217807</v>
      </c>
      <c r="FH58" s="128">
        <v>1231176</v>
      </c>
      <c r="FI58" s="128">
        <v>1244691</v>
      </c>
      <c r="FJ58" s="156">
        <v>1258103</v>
      </c>
      <c r="FK58" s="156">
        <v>1271039</v>
      </c>
      <c r="FL58" s="156">
        <v>1284229</v>
      </c>
      <c r="FM58" s="156">
        <v>1292711</v>
      </c>
      <c r="FN58" s="168">
        <v>1303889</v>
      </c>
      <c r="FO58" s="156">
        <v>1315611</v>
      </c>
      <c r="FP58" s="156">
        <v>1328170</v>
      </c>
      <c r="FQ58" s="156">
        <v>1341060</v>
      </c>
      <c r="FR58" s="156">
        <v>1354127</v>
      </c>
      <c r="FS58" s="156">
        <v>1366556</v>
      </c>
      <c r="FT58" s="156">
        <v>1379265</v>
      </c>
      <c r="FU58" s="156">
        <v>1391229</v>
      </c>
      <c r="FV58" s="156">
        <v>1404100</v>
      </c>
      <c r="FW58" s="156">
        <v>1418914</v>
      </c>
      <c r="FX58" s="156">
        <v>1433660</v>
      </c>
      <c r="FY58" s="200">
        <v>1443957</v>
      </c>
      <c r="FZ58" s="156">
        <v>1457411</v>
      </c>
      <c r="GA58" s="156">
        <v>1472119</v>
      </c>
      <c r="GB58" s="156">
        <v>1489334</v>
      </c>
      <c r="GC58" s="156">
        <v>1503392</v>
      </c>
      <c r="GD58" s="156">
        <v>1519011</v>
      </c>
      <c r="GE58" s="156">
        <v>1534569</v>
      </c>
      <c r="GF58" s="156">
        <v>1550934</v>
      </c>
      <c r="GG58" s="156">
        <v>1565275</v>
      </c>
      <c r="GH58" s="156">
        <v>1581603</v>
      </c>
      <c r="GI58" s="156">
        <v>1599003</v>
      </c>
      <c r="GJ58" s="156">
        <v>1614271</v>
      </c>
      <c r="GK58" s="200">
        <v>1626193</v>
      </c>
      <c r="GL58" s="156">
        <v>1639538</v>
      </c>
      <c r="GM58" s="156">
        <v>1654976</v>
      </c>
      <c r="GN58" s="156">
        <v>1673109</v>
      </c>
    </row>
    <row r="59" spans="1:196" s="1" customFormat="1" ht="20.149999999999999" customHeight="1" x14ac:dyDescent="0.3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42"/>
      <c r="BA59" s="42"/>
      <c r="BB59" s="42"/>
      <c r="BC59" s="42"/>
      <c r="BD59" s="42"/>
      <c r="BE59" s="42"/>
      <c r="BF59" s="42"/>
      <c r="BG59" s="42"/>
      <c r="BH59" s="42"/>
      <c r="BI59" s="42"/>
      <c r="BJ59" s="42"/>
      <c r="BK59" s="42"/>
      <c r="BL59" s="42"/>
      <c r="BM59" s="42"/>
      <c r="BN59" s="42"/>
      <c r="BO59" s="42"/>
      <c r="BP59" s="42"/>
      <c r="BQ59" s="42"/>
      <c r="BR59" s="42"/>
      <c r="BS59" s="42"/>
      <c r="BT59" s="42"/>
      <c r="BU59" s="42"/>
      <c r="BV59" s="42"/>
      <c r="BW59" s="42"/>
      <c r="BX59" s="42"/>
      <c r="BY59" s="42"/>
      <c r="BZ59" s="42"/>
      <c r="CA59" s="42"/>
      <c r="CB59" s="42"/>
      <c r="CC59" s="42"/>
      <c r="CD59" s="42"/>
      <c r="CE59" s="42"/>
      <c r="CF59" s="42"/>
      <c r="CG59" s="42"/>
      <c r="CH59" s="42"/>
      <c r="CI59" s="42"/>
      <c r="CJ59" s="42"/>
      <c r="CK59" s="42"/>
      <c r="CL59" s="42"/>
      <c r="CM59" s="42"/>
      <c r="CN59" s="42"/>
      <c r="CO59" s="42"/>
      <c r="CP59" s="42"/>
      <c r="CQ59" s="42"/>
      <c r="CR59" s="42"/>
      <c r="CS59" s="42"/>
      <c r="CT59" s="42"/>
      <c r="CU59" s="42"/>
      <c r="CV59" s="42"/>
      <c r="CW59" s="42"/>
      <c r="CX59" s="42"/>
      <c r="CY59" s="42"/>
      <c r="CZ59" s="42"/>
      <c r="DA59" s="42"/>
      <c r="DB59" s="42"/>
      <c r="DC59" s="42"/>
      <c r="DD59" s="42"/>
      <c r="DE59" s="42"/>
      <c r="DF59" s="42"/>
      <c r="DG59" s="42"/>
      <c r="DH59" s="42"/>
      <c r="DI59" s="42"/>
      <c r="DJ59" s="41"/>
      <c r="DK59" s="41"/>
      <c r="DL59" s="41"/>
      <c r="DM59" s="41"/>
      <c r="DN59" s="41"/>
      <c r="DO59" s="41"/>
      <c r="DP59" s="41"/>
      <c r="DQ59" s="41"/>
      <c r="DR59" s="41"/>
      <c r="DS59" s="41"/>
      <c r="DT59" s="41"/>
      <c r="DU59" s="41"/>
      <c r="DV59" s="41"/>
      <c r="DW59" s="41"/>
      <c r="DX59" s="41"/>
      <c r="DY59" s="41"/>
      <c r="DZ59" s="41"/>
      <c r="EA59" s="41"/>
      <c r="EB59" s="41"/>
      <c r="EC59" s="41"/>
      <c r="ED59" s="70"/>
      <c r="EE59" s="70"/>
      <c r="EF59" s="70"/>
      <c r="EG59" s="70"/>
      <c r="EH59" s="70"/>
      <c r="EI59" s="70"/>
      <c r="EJ59" s="70"/>
      <c r="EK59" s="70"/>
      <c r="EL59" s="70"/>
      <c r="EM59" s="70"/>
      <c r="EN59" s="70"/>
      <c r="EO59" s="70"/>
      <c r="EP59" s="70"/>
      <c r="EQ59" s="70"/>
      <c r="ER59" s="70"/>
      <c r="ES59" s="70"/>
      <c r="ET59" s="70"/>
      <c r="EU59" s="70"/>
      <c r="EV59" s="70"/>
      <c r="EW59" s="70"/>
      <c r="EX59" s="70"/>
      <c r="EY59" s="70"/>
      <c r="EZ59" s="70"/>
      <c r="FA59" s="70"/>
    </row>
    <row r="60" spans="1:196" s="1" customFormat="1" ht="20.149999999999999" customHeight="1" x14ac:dyDescent="0.35">
      <c r="A60" s="6"/>
      <c r="B60" s="70"/>
      <c r="C60" s="160"/>
      <c r="D60" s="160"/>
      <c r="E60" s="160"/>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0"/>
      <c r="BB60" s="160"/>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0"/>
      <c r="CA60" s="160"/>
      <c r="CB60" s="160"/>
      <c r="CC60" s="160"/>
      <c r="CD60" s="160"/>
      <c r="CE60" s="160"/>
      <c r="CF60" s="160"/>
      <c r="CG60" s="160"/>
      <c r="CH60" s="160"/>
      <c r="CI60" s="160"/>
      <c r="CJ60" s="160"/>
      <c r="CK60" s="160"/>
      <c r="CL60" s="160"/>
      <c r="CM60" s="160"/>
      <c r="CN60" s="160"/>
      <c r="CO60" s="160"/>
      <c r="CP60" s="160"/>
      <c r="CQ60" s="160"/>
      <c r="CR60" s="160"/>
      <c r="CS60" s="160"/>
      <c r="CT60" s="160"/>
      <c r="CU60" s="160"/>
      <c r="CV60" s="160"/>
      <c r="CW60" s="160"/>
      <c r="CX60" s="160"/>
      <c r="CY60" s="160"/>
      <c r="CZ60" s="160"/>
      <c r="DA60" s="160"/>
      <c r="DB60" s="160"/>
      <c r="DC60" s="160"/>
      <c r="DD60" s="160"/>
      <c r="DE60" s="160"/>
      <c r="DF60" s="160"/>
      <c r="DG60" s="160"/>
      <c r="DH60" s="160"/>
      <c r="DI60" s="160"/>
      <c r="DJ60" s="160"/>
      <c r="DK60" s="160"/>
      <c r="DL60" s="160"/>
      <c r="DM60" s="160"/>
      <c r="DN60" s="160"/>
      <c r="DO60" s="160"/>
      <c r="DP60" s="160"/>
      <c r="DQ60" s="160"/>
      <c r="DR60" s="160"/>
      <c r="DS60" s="160"/>
      <c r="DT60" s="160"/>
      <c r="DU60" s="160"/>
      <c r="DV60" s="160"/>
      <c r="DW60" s="160"/>
      <c r="DX60" s="160"/>
      <c r="DY60" s="160"/>
      <c r="DZ60" s="160"/>
      <c r="EA60" s="160"/>
      <c r="EB60" s="160"/>
      <c r="EC60" s="160"/>
      <c r="ED60" s="160"/>
      <c r="EE60" s="160"/>
      <c r="EF60" s="160"/>
      <c r="EG60" s="160"/>
      <c r="EH60" s="160"/>
      <c r="EI60" s="160"/>
      <c r="EJ60" s="160"/>
      <c r="EK60" s="160"/>
      <c r="EL60" s="160"/>
      <c r="EM60" s="160"/>
      <c r="EN60" s="160"/>
      <c r="EO60" s="160"/>
      <c r="EP60" s="160"/>
      <c r="EQ60" s="160"/>
      <c r="ER60" s="160"/>
      <c r="ES60" s="160"/>
      <c r="ET60" s="160"/>
      <c r="EU60" s="160"/>
      <c r="EV60" s="160"/>
      <c r="EW60" s="160"/>
      <c r="EX60" s="160"/>
      <c r="EY60" s="160"/>
      <c r="EZ60" s="160"/>
      <c r="FA60" s="160"/>
      <c r="FB60" s="160"/>
      <c r="FC60" s="160"/>
      <c r="FD60" s="160"/>
      <c r="FE60" s="160"/>
      <c r="FF60" s="160"/>
      <c r="FG60" s="160"/>
      <c r="FH60" s="160"/>
      <c r="FI60" s="160"/>
      <c r="FJ60" s="160"/>
      <c r="FK60" s="160"/>
      <c r="FL60" s="160"/>
      <c r="FM60" s="160"/>
      <c r="FN60" s="160"/>
      <c r="FO60" s="160"/>
      <c r="FP60" s="160"/>
      <c r="FQ60" s="160"/>
      <c r="FR60" s="160"/>
      <c r="FS60" s="160"/>
      <c r="FT60" s="160"/>
      <c r="FU60" s="160"/>
      <c r="FV60" s="160"/>
      <c r="FW60" s="160"/>
      <c r="FX60" s="160"/>
      <c r="FY60" s="160"/>
      <c r="GA60" s="160"/>
    </row>
    <row r="61" spans="1:196" s="1" customFormat="1" ht="20.149999999999999" customHeight="1" x14ac:dyDescent="0.35">
      <c r="A61" s="6"/>
      <c r="B61" s="6"/>
      <c r="C61" s="70"/>
      <c r="D61" s="70"/>
      <c r="E61" s="70"/>
      <c r="F61" s="70"/>
      <c r="G61" s="70"/>
      <c r="H61" s="70"/>
      <c r="I61" s="70"/>
      <c r="J61" s="70"/>
      <c r="K61" s="70"/>
      <c r="L61" s="70"/>
      <c r="M61" s="70"/>
      <c r="N61" s="70"/>
      <c r="O61" s="70"/>
      <c r="P61" s="70"/>
      <c r="Q61" s="70"/>
      <c r="R61" s="70"/>
      <c r="S61" s="70"/>
      <c r="T61" s="70"/>
      <c r="U61" s="70"/>
      <c r="V61" s="70"/>
      <c r="W61" s="70"/>
      <c r="X61" s="70"/>
      <c r="Y61" s="70"/>
      <c r="Z61" s="70"/>
      <c r="AA61" s="70"/>
      <c r="AB61" s="70"/>
      <c r="AC61" s="70"/>
      <c r="AD61" s="70"/>
      <c r="AE61" s="70"/>
      <c r="AF61" s="70"/>
      <c r="AG61" s="70"/>
      <c r="AH61" s="70"/>
      <c r="AI61" s="70"/>
      <c r="AJ61" s="70"/>
      <c r="AK61" s="70"/>
      <c r="AL61" s="70"/>
      <c r="AM61" s="70"/>
      <c r="AN61" s="70"/>
      <c r="AO61" s="70"/>
      <c r="AP61" s="70"/>
      <c r="AQ61" s="70"/>
      <c r="AR61" s="70"/>
      <c r="AS61" s="70"/>
      <c r="AT61" s="70"/>
      <c r="AU61" s="70"/>
      <c r="AV61" s="70"/>
      <c r="AW61" s="70"/>
      <c r="AX61" s="70"/>
      <c r="AY61" s="70"/>
      <c r="AZ61" s="70"/>
      <c r="BA61" s="70"/>
      <c r="BB61" s="70"/>
      <c r="BC61" s="70"/>
      <c r="BD61" s="70"/>
      <c r="BE61" s="70"/>
      <c r="BF61" s="70"/>
      <c r="BG61" s="70"/>
      <c r="BH61" s="70"/>
      <c r="BI61" s="70"/>
      <c r="BJ61" s="70"/>
      <c r="BK61" s="70"/>
      <c r="BL61" s="70"/>
      <c r="BM61" s="70"/>
      <c r="BN61" s="70"/>
      <c r="BO61" s="70"/>
      <c r="BP61" s="70"/>
      <c r="BQ61" s="70"/>
      <c r="BR61" s="70"/>
      <c r="BS61" s="70"/>
      <c r="BT61" s="70"/>
      <c r="BU61" s="70"/>
      <c r="BV61" s="70"/>
      <c r="BW61" s="70"/>
      <c r="BX61" s="70"/>
      <c r="BY61" s="70"/>
      <c r="BZ61" s="70"/>
      <c r="CA61" s="70"/>
      <c r="CB61" s="70"/>
      <c r="CC61" s="70"/>
      <c r="CD61" s="70"/>
      <c r="CE61" s="70"/>
      <c r="CF61" s="70"/>
      <c r="CG61" s="70"/>
      <c r="CH61" s="153"/>
      <c r="CI61" s="153"/>
      <c r="CJ61" s="153"/>
      <c r="CK61" s="153"/>
      <c r="CL61" s="153"/>
      <c r="CM61" s="153"/>
      <c r="CN61" s="153"/>
      <c r="CO61" s="153"/>
      <c r="CP61" s="153"/>
      <c r="CQ61" s="153"/>
      <c r="CR61" s="153"/>
      <c r="CS61" s="153"/>
      <c r="CT61" s="153"/>
      <c r="CU61" s="153"/>
      <c r="CV61" s="153"/>
      <c r="CW61" s="153"/>
      <c r="CX61" s="153"/>
      <c r="CY61" s="153"/>
      <c r="CZ61" s="153"/>
      <c r="DA61" s="153"/>
      <c r="DB61" s="153"/>
      <c r="DC61" s="153"/>
      <c r="DD61" s="153"/>
      <c r="DE61" s="153"/>
      <c r="DF61" s="153"/>
      <c r="DG61" s="153"/>
      <c r="DH61" s="153"/>
      <c r="DI61" s="153"/>
      <c r="DJ61" s="153"/>
      <c r="DK61" s="153"/>
      <c r="DL61" s="153"/>
      <c r="DM61" s="153"/>
      <c r="DN61" s="153"/>
      <c r="DO61" s="153"/>
      <c r="DP61" s="153"/>
      <c r="DQ61" s="153"/>
      <c r="DR61" s="153"/>
      <c r="DS61" s="153"/>
      <c r="DT61" s="153"/>
      <c r="DU61" s="153"/>
      <c r="DV61" s="153"/>
      <c r="DW61" s="153"/>
      <c r="DX61" s="153"/>
      <c r="DY61" s="153"/>
      <c r="DZ61" s="153"/>
      <c r="EA61" s="153"/>
      <c r="EB61" s="153"/>
      <c r="EC61" s="153"/>
      <c r="ED61" s="153"/>
      <c r="EE61" s="153"/>
      <c r="EF61" s="153"/>
      <c r="EG61" s="153"/>
      <c r="EH61" s="153"/>
      <c r="EI61" s="153"/>
      <c r="EJ61" s="153"/>
      <c r="EK61" s="153"/>
      <c r="EL61" s="153"/>
      <c r="EM61" s="153"/>
      <c r="EN61" s="153"/>
      <c r="EO61" s="153"/>
      <c r="EP61" s="153"/>
      <c r="EQ61" s="160"/>
      <c r="ER61" s="160"/>
      <c r="ES61" s="160"/>
      <c r="ET61" s="160"/>
      <c r="EU61" s="160"/>
      <c r="EV61" s="160"/>
      <c r="EW61" s="160"/>
      <c r="EX61" s="160"/>
      <c r="EY61" s="160"/>
      <c r="EZ61" s="160"/>
      <c r="FA61" s="160"/>
      <c r="FB61" s="160"/>
      <c r="FC61" s="160"/>
      <c r="FD61" s="160"/>
      <c r="FE61" s="160"/>
      <c r="FF61" s="160"/>
      <c r="FG61" s="160"/>
      <c r="FH61" s="160"/>
      <c r="FI61" s="160"/>
      <c r="FJ61" s="160"/>
      <c r="FK61" s="160"/>
      <c r="FL61" s="160"/>
      <c r="FM61" s="160"/>
      <c r="FN61" s="160"/>
      <c r="FO61" s="160"/>
      <c r="FP61" s="160"/>
      <c r="FQ61" s="160"/>
      <c r="FY61" s="120"/>
    </row>
    <row r="62" spans="1:196" s="1" customFormat="1" ht="20.149999999999999" customHeight="1" x14ac:dyDescent="0.35">
      <c r="A62" s="6"/>
      <c r="B62" s="6"/>
      <c r="C62" s="6"/>
      <c r="D62" s="6"/>
      <c r="E62" s="119"/>
      <c r="F62" s="119"/>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c r="CF62" s="119"/>
      <c r="CG62" s="119"/>
      <c r="CH62" s="154"/>
      <c r="CI62" s="154"/>
      <c r="CJ62" s="154"/>
      <c r="CK62" s="154"/>
      <c r="CL62" s="154"/>
      <c r="CM62" s="154"/>
      <c r="CN62" s="154"/>
      <c r="CO62" s="154"/>
      <c r="CP62" s="154"/>
      <c r="CQ62" s="154"/>
      <c r="CR62" s="154"/>
      <c r="CS62" s="154"/>
      <c r="CT62" s="154"/>
      <c r="CU62" s="154"/>
      <c r="CV62" s="154"/>
      <c r="CW62" s="154"/>
      <c r="CX62" s="154"/>
      <c r="CY62" s="154"/>
      <c r="CZ62" s="154"/>
      <c r="DA62" s="154"/>
      <c r="DB62" s="154"/>
      <c r="DC62" s="154"/>
      <c r="DD62" s="154"/>
      <c r="DE62" s="154"/>
      <c r="DF62" s="154"/>
      <c r="DG62" s="154"/>
      <c r="DH62" s="154"/>
      <c r="DI62" s="154"/>
      <c r="DJ62" s="154"/>
      <c r="DK62" s="154"/>
      <c r="DL62" s="154"/>
      <c r="DM62" s="154"/>
      <c r="DN62" s="154"/>
      <c r="DO62" s="154"/>
      <c r="DP62" s="154"/>
      <c r="DQ62" s="154"/>
      <c r="DR62" s="154"/>
      <c r="DS62" s="154"/>
      <c r="DT62" s="154"/>
      <c r="DU62" s="154"/>
      <c r="DV62" s="154"/>
      <c r="DW62" s="154"/>
      <c r="DX62" s="154"/>
      <c r="DY62" s="154"/>
      <c r="DZ62" s="154"/>
      <c r="EA62" s="154"/>
      <c r="EB62" s="154"/>
      <c r="EC62" s="154"/>
      <c r="ED62" s="154"/>
      <c r="EE62" s="154"/>
      <c r="EF62" s="154"/>
      <c r="EG62" s="154"/>
      <c r="EH62" s="154"/>
      <c r="EI62" s="154"/>
      <c r="EJ62" s="154"/>
      <c r="EK62" s="154"/>
      <c r="EL62" s="154"/>
      <c r="EM62" s="154"/>
      <c r="EN62" s="154"/>
      <c r="EO62" s="154"/>
      <c r="EP62" s="154"/>
      <c r="EQ62" s="154"/>
      <c r="ER62" s="154"/>
      <c r="ES62" s="154"/>
      <c r="ET62" s="154"/>
      <c r="EU62" s="154"/>
      <c r="EV62" s="154"/>
      <c r="EW62" s="154"/>
      <c r="EX62" s="154"/>
      <c r="EY62" s="154"/>
      <c r="EZ62" s="154"/>
      <c r="FA62" s="160"/>
      <c r="FB62" s="160"/>
      <c r="FC62" s="160"/>
      <c r="FD62" s="160"/>
      <c r="FE62" s="160"/>
      <c r="FF62" s="160"/>
      <c r="FG62" s="160"/>
      <c r="FH62" s="160"/>
      <c r="FI62" s="160"/>
      <c r="FJ62" s="160"/>
      <c r="FK62" s="160"/>
      <c r="FL62" s="160"/>
      <c r="FM62" s="160"/>
      <c r="FQ62" s="160"/>
    </row>
    <row r="63" spans="1:196" s="1" customFormat="1" ht="20.149999999999999" customHeight="1" x14ac:dyDescent="0.35">
      <c r="A63" s="6"/>
      <c r="B63" s="6"/>
      <c r="C63" s="6"/>
      <c r="D63" s="6"/>
      <c r="E63" s="6"/>
      <c r="F63" s="6"/>
      <c r="G63" s="6"/>
      <c r="H63" s="6"/>
      <c r="I63" s="6"/>
      <c r="J63" s="6"/>
      <c r="K63" s="6"/>
      <c r="L63" s="6"/>
      <c r="M63" s="6"/>
      <c r="FC63" s="160"/>
      <c r="FD63" s="120"/>
    </row>
    <row r="64" spans="1:196" s="1" customFormat="1" ht="20.149999999999999" customHeight="1" x14ac:dyDescent="0.35">
      <c r="A64" s="6"/>
      <c r="B64" s="6"/>
      <c r="C64" s="6"/>
      <c r="D64" s="6"/>
      <c r="E64" s="6"/>
      <c r="F64" s="6"/>
      <c r="G64" s="6"/>
      <c r="H64" s="6"/>
      <c r="I64" s="6"/>
      <c r="J64" s="6"/>
      <c r="K64" s="6"/>
      <c r="L64" s="6"/>
      <c r="M64" s="160"/>
      <c r="N64" s="6"/>
      <c r="O64" s="6"/>
      <c r="P64" s="6"/>
      <c r="Q64" s="6"/>
      <c r="R64" s="6"/>
      <c r="S64" s="6"/>
      <c r="T64" s="6"/>
      <c r="U64" s="6"/>
      <c r="V64" s="6"/>
      <c r="W64" s="6"/>
      <c r="X64" s="6"/>
      <c r="Y64" s="160"/>
      <c r="Z64" s="6"/>
      <c r="AA64" s="6"/>
      <c r="AB64" s="6"/>
      <c r="AC64" s="6"/>
      <c r="AD64" s="6"/>
      <c r="AE64" s="6"/>
      <c r="AF64" s="6"/>
      <c r="AG64" s="6"/>
      <c r="AH64" s="6"/>
      <c r="AI64" s="6"/>
      <c r="AJ64" s="6"/>
      <c r="AK64" s="160"/>
      <c r="AL64" s="6"/>
      <c r="AM64" s="6"/>
      <c r="AN64" s="6"/>
      <c r="AO64" s="6"/>
      <c r="AP64" s="6"/>
      <c r="AQ64" s="6"/>
      <c r="AR64" s="6"/>
      <c r="AS64" s="6"/>
      <c r="AT64" s="6"/>
      <c r="AU64" s="6"/>
      <c r="AV64" s="6"/>
      <c r="AW64" s="160"/>
      <c r="AX64" s="6"/>
      <c r="AY64" s="6"/>
      <c r="AZ64" s="6"/>
      <c r="BA64" s="6"/>
      <c r="BB64" s="6"/>
      <c r="BC64" s="6"/>
      <c r="BD64" s="6"/>
      <c r="BE64" s="6"/>
      <c r="BF64" s="6"/>
      <c r="BG64" s="6"/>
      <c r="BH64" s="6"/>
      <c r="BI64" s="160"/>
      <c r="BJ64" s="6"/>
      <c r="BK64" s="6"/>
      <c r="BL64" s="6"/>
      <c r="BM64" s="6"/>
      <c r="BN64" s="6"/>
      <c r="BO64" s="6"/>
      <c r="BP64" s="6"/>
      <c r="BQ64" s="6"/>
      <c r="BR64" s="6"/>
      <c r="BS64" s="6"/>
      <c r="BT64" s="6"/>
      <c r="BU64" s="160"/>
      <c r="BV64" s="6"/>
      <c r="BW64" s="6"/>
      <c r="BX64" s="6"/>
      <c r="BY64" s="6"/>
      <c r="BZ64" s="6"/>
      <c r="CA64" s="6"/>
      <c r="CB64" s="6"/>
      <c r="CC64" s="6"/>
      <c r="CD64" s="6"/>
      <c r="CE64" s="6"/>
      <c r="CF64" s="6"/>
      <c r="CG64" s="160"/>
      <c r="CH64" s="6"/>
      <c r="CI64" s="6"/>
      <c r="CJ64" s="6"/>
      <c r="CK64" s="40"/>
      <c r="CL64" s="6"/>
      <c r="CM64" s="6"/>
      <c r="CN64" s="6"/>
      <c r="CO64" s="6"/>
      <c r="CP64" s="6"/>
      <c r="CQ64" s="6"/>
      <c r="CR64" s="6"/>
      <c r="CS64" s="160"/>
      <c r="CT64" s="6"/>
      <c r="CU64" s="6"/>
      <c r="CV64" s="6"/>
      <c r="CW64" s="6"/>
      <c r="CX64" s="6"/>
      <c r="CY64" s="6"/>
      <c r="CZ64" s="6"/>
      <c r="DA64" s="6"/>
      <c r="DB64" s="6"/>
      <c r="DC64" s="6"/>
      <c r="DD64" s="6"/>
      <c r="DE64" s="160"/>
      <c r="DF64" s="6"/>
      <c r="DG64" s="6"/>
      <c r="DH64" s="6"/>
      <c r="DI64" s="6"/>
      <c r="DJ64" s="6"/>
      <c r="DK64" s="6"/>
      <c r="DL64" s="6"/>
      <c r="DM64" s="6"/>
      <c r="DN64" s="6"/>
      <c r="DO64" s="6"/>
      <c r="DP64" s="6"/>
      <c r="DQ64" s="160"/>
      <c r="DR64" s="6"/>
      <c r="DS64" s="6"/>
      <c r="DT64" s="6"/>
      <c r="DU64" s="6"/>
      <c r="DV64" s="6"/>
      <c r="DW64" s="6"/>
      <c r="DX64" s="6"/>
      <c r="DY64" s="6"/>
      <c r="DZ64" s="6"/>
      <c r="EA64" s="6"/>
      <c r="EB64" s="6"/>
      <c r="EC64" s="160"/>
      <c r="ED64" s="6"/>
      <c r="EE64" s="6"/>
      <c r="EF64" s="6"/>
      <c r="EG64" s="6"/>
      <c r="EH64" s="6"/>
      <c r="EI64" s="6"/>
      <c r="EJ64" s="6"/>
      <c r="EK64" s="6"/>
      <c r="EL64" s="6"/>
      <c r="EM64" s="6"/>
      <c r="EO64" s="160"/>
      <c r="FA64" s="160"/>
      <c r="FM64" s="160"/>
    </row>
    <row r="65" spans="1:181" s="1" customFormat="1" ht="20.149999999999999" customHeight="1" x14ac:dyDescent="0.3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40"/>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row>
    <row r="66" spans="1:181" s="1" customFormat="1" ht="20.149999999999999" customHeight="1" x14ac:dyDescent="0.35">
      <c r="CK66" s="40"/>
      <c r="CL66" s="6"/>
      <c r="CM66" s="6"/>
      <c r="CN66" s="6"/>
      <c r="CO66" s="6"/>
      <c r="CP66" s="6"/>
      <c r="CQ66" s="6"/>
      <c r="CR66" s="6"/>
      <c r="CS66" s="6"/>
      <c r="CT66" s="6"/>
      <c r="CU66" s="6"/>
    </row>
    <row r="67" spans="1:181" s="1" customFormat="1" ht="20.149999999999999" customHeight="1" x14ac:dyDescent="0.35">
      <c r="CK67" s="40"/>
      <c r="CL67" s="6"/>
      <c r="CM67" s="6"/>
      <c r="CN67" s="6"/>
      <c r="CO67" s="6"/>
      <c r="CP67" s="6"/>
      <c r="CQ67" s="6"/>
      <c r="CR67" s="6"/>
      <c r="CS67" s="6"/>
      <c r="CT67" s="6"/>
      <c r="CU67" s="6"/>
      <c r="FY67" s="160"/>
    </row>
    <row r="68" spans="1:181" s="1" customFormat="1" ht="20.149999999999999" customHeight="1" x14ac:dyDescent="0.35">
      <c r="CK68" s="40"/>
      <c r="CL68" s="6"/>
      <c r="CM68" s="6"/>
      <c r="CN68" s="6"/>
      <c r="CO68" s="6"/>
      <c r="CP68" s="6"/>
      <c r="CQ68" s="6"/>
      <c r="CR68" s="6"/>
      <c r="CS68" s="6"/>
      <c r="CT68" s="6"/>
      <c r="CU68" s="6"/>
    </row>
    <row r="69" spans="1:181" s="1" customFormat="1" ht="20.149999999999999" customHeight="1" x14ac:dyDescent="0.35">
      <c r="CK69" s="40"/>
      <c r="CL69" s="6"/>
      <c r="CM69" s="6"/>
      <c r="CN69" s="6"/>
      <c r="CO69" s="6"/>
      <c r="CP69" s="6"/>
      <c r="CQ69" s="6"/>
      <c r="CR69" s="6"/>
      <c r="CS69" s="6"/>
      <c r="CT69" s="6"/>
      <c r="CU69" s="6"/>
    </row>
    <row r="70" spans="1:181" s="1" customFormat="1" ht="20.149999999999999" customHeight="1" x14ac:dyDescent="0.3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row>
    <row r="72" spans="1:181" ht="20.149999999999999"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42"/>
      <c r="CL72" s="36"/>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row>
    <row r="73" spans="1:181" s="1" customFormat="1" ht="20.149999999999999" customHeight="1" x14ac:dyDescent="0.35">
      <c r="CK73" s="42"/>
      <c r="CL73" s="36"/>
      <c r="CM73" s="6"/>
      <c r="CN73" s="6"/>
      <c r="CO73" s="6"/>
      <c r="CP73" s="6"/>
      <c r="CQ73" s="6"/>
      <c r="CR73" s="6"/>
      <c r="CS73" s="6"/>
      <c r="CT73" s="6"/>
      <c r="CU73" s="6"/>
    </row>
    <row r="74" spans="1:181" s="1" customFormat="1" ht="20.149999999999999" customHeight="1" x14ac:dyDescent="0.35">
      <c r="CK74" s="42"/>
      <c r="CL74" s="36"/>
      <c r="CM74" s="6"/>
      <c r="CN74" s="6"/>
      <c r="CO74" s="6"/>
      <c r="CP74" s="6"/>
      <c r="CQ74" s="6"/>
      <c r="CR74" s="6"/>
      <c r="CS74" s="6"/>
      <c r="CT74" s="6"/>
      <c r="CU74" s="6"/>
    </row>
    <row r="75" spans="1:181" s="1" customFormat="1" ht="20.149999999999999" customHeight="1" x14ac:dyDescent="0.35">
      <c r="CK75" s="42"/>
      <c r="CL75" s="36"/>
      <c r="CM75" s="6"/>
      <c r="CN75" s="6"/>
      <c r="CO75" s="6"/>
      <c r="CP75" s="6"/>
      <c r="CQ75" s="6"/>
      <c r="CR75" s="6"/>
      <c r="CS75" s="6"/>
      <c r="CT75" s="6"/>
      <c r="CU75" s="6"/>
    </row>
    <row r="76" spans="1:181" s="1" customFormat="1" ht="20.149999999999999" customHeight="1" x14ac:dyDescent="0.35">
      <c r="CK76" s="42"/>
      <c r="CL76" s="36"/>
      <c r="CM76" s="6"/>
      <c r="CN76" s="6"/>
      <c r="CO76" s="6"/>
      <c r="CP76" s="6"/>
      <c r="CQ76" s="6"/>
      <c r="CR76" s="6"/>
      <c r="CS76" s="6"/>
      <c r="CT76" s="6"/>
      <c r="CU76" s="6"/>
    </row>
    <row r="77" spans="1:181" s="1" customFormat="1" ht="20.149999999999999" customHeight="1" x14ac:dyDescent="0.35">
      <c r="CK77" s="42"/>
      <c r="CL77" s="36"/>
      <c r="CM77" s="6"/>
      <c r="CN77" s="6"/>
      <c r="CO77" s="6"/>
      <c r="CP77" s="6"/>
      <c r="CQ77" s="6"/>
      <c r="CR77" s="6"/>
      <c r="CS77" s="6"/>
      <c r="CT77" s="6"/>
      <c r="CU77" s="6"/>
    </row>
    <row r="78" spans="1:181" s="1" customFormat="1" ht="20.149999999999999" customHeight="1" x14ac:dyDescent="0.35">
      <c r="CK78" s="42"/>
      <c r="CL78" s="36"/>
      <c r="CM78" s="6"/>
      <c r="CN78" s="6"/>
      <c r="CO78" s="6"/>
      <c r="CP78" s="6"/>
      <c r="CQ78" s="6"/>
      <c r="CR78" s="6"/>
      <c r="CS78" s="6"/>
      <c r="CT78" s="6"/>
      <c r="CU78" s="6"/>
    </row>
    <row r="79" spans="1:181" s="1" customFormat="1" ht="20.149999999999999" customHeight="1" x14ac:dyDescent="0.35">
      <c r="CK79" s="42"/>
      <c r="CL79" s="6"/>
      <c r="CM79" s="6"/>
      <c r="CN79" s="6"/>
      <c r="CO79" s="6"/>
      <c r="CP79" s="6"/>
      <c r="CQ79" s="6"/>
      <c r="CR79" s="6"/>
      <c r="CS79" s="6"/>
      <c r="CT79" s="6"/>
      <c r="CU79" s="6"/>
    </row>
    <row r="80" spans="1:181" s="1" customFormat="1" ht="20.149999999999999" customHeight="1" x14ac:dyDescent="0.3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row>
  </sheetData>
  <pageMargins left="0.23622047244094502" right="0.23622047244094502" top="0.74803149606299213" bottom="0.74803149606299213" header="0.31496062992126012" footer="0.31496062992126012"/>
  <pageSetup paperSize="9" fitToWidth="0" orientation="landscape" r:id="rId1"/>
  <headerFooter>
    <oddHeader>&amp;LSolar Deployment Table&amp;RTable 1</oddHeader>
    <oddFooter>&amp;Lhttps://www.gov.uk/government/statistics/solar-photovoltaics-deployment</oddFooter>
  </headerFooter>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972A1-C1A3-4604-84D5-F87CB9F2321D}">
  <sheetPr>
    <pageSetUpPr fitToPage="1"/>
  </sheetPr>
  <dimension ref="A1:GR49"/>
  <sheetViews>
    <sheetView showGridLines="0" zoomScaleNormal="100" workbookViewId="0">
      <pane xSplit="1" topLeftCell="B1" activePane="topRight" state="frozen"/>
      <selection activeCell="B17" sqref="B17"/>
      <selection pane="topRight" activeCell="B1" sqref="B1"/>
    </sheetView>
  </sheetViews>
  <sheetFormatPr defaultColWidth="8.81640625" defaultRowHeight="20.149999999999999" customHeight="1" x14ac:dyDescent="0.35"/>
  <cols>
    <col min="1" max="1" width="42.54296875" style="6" customWidth="1"/>
    <col min="2" max="174" width="11.453125" style="6" customWidth="1"/>
    <col min="175" max="175" width="10.453125" style="6" customWidth="1"/>
    <col min="176" max="178" width="10.1796875" style="6" customWidth="1"/>
    <col min="179" max="181" width="11.453125" style="6" bestFit="1" customWidth="1"/>
    <col min="182" max="188" width="11.81640625" style="6" bestFit="1" customWidth="1"/>
    <col min="189" max="191" width="11.26953125" style="6" bestFit="1" customWidth="1"/>
    <col min="192" max="192" width="10.26953125" style="6" bestFit="1" customWidth="1"/>
    <col min="193" max="193" width="11.26953125" style="6" bestFit="1" customWidth="1"/>
    <col min="194" max="195" width="10.26953125" style="6" bestFit="1" customWidth="1"/>
    <col min="196" max="196" width="9.6328125" style="6" bestFit="1" customWidth="1"/>
    <col min="197" max="197" width="9.54296875" style="6" bestFit="1" customWidth="1"/>
    <col min="198" max="198" width="10.1796875" style="6" bestFit="1" customWidth="1"/>
    <col min="199" max="199" width="11.26953125" style="6" bestFit="1" customWidth="1"/>
    <col min="200" max="200" width="10.26953125" style="6" bestFit="1" customWidth="1"/>
    <col min="201" max="16384" width="8.81640625" style="6"/>
  </cols>
  <sheetData>
    <row r="1" spans="1:198" s="18" customFormat="1" ht="45" customHeight="1" x14ac:dyDescent="0.6">
      <c r="A1" s="17" t="s">
        <v>274</v>
      </c>
    </row>
    <row r="2" spans="1:198" s="19" customFormat="1" ht="20.149999999999999" customHeight="1" x14ac:dyDescent="0.35">
      <c r="A2" s="19" t="s">
        <v>72</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row>
    <row r="3" spans="1:198" s="19" customFormat="1" ht="20.149999999999999" customHeight="1" x14ac:dyDescent="0.35">
      <c r="A3" s="19" t="s">
        <v>73</v>
      </c>
    </row>
    <row r="4" spans="1:198" s="19" customFormat="1" ht="20.149999999999999" customHeight="1" x14ac:dyDescent="0.35">
      <c r="A4" s="19" t="s">
        <v>74</v>
      </c>
    </row>
    <row r="5" spans="1:198" s="25" customFormat="1" ht="30" customHeight="1" x14ac:dyDescent="0.35">
      <c r="A5" s="144" t="s">
        <v>75</v>
      </c>
      <c r="B5" s="145" t="s">
        <v>76</v>
      </c>
      <c r="C5" s="43" t="s">
        <v>77</v>
      </c>
      <c r="D5" s="43" t="s">
        <v>78</v>
      </c>
      <c r="E5" s="43" t="s">
        <v>79</v>
      </c>
      <c r="F5" s="43" t="s">
        <v>80</v>
      </c>
      <c r="G5" s="43" t="s">
        <v>81</v>
      </c>
      <c r="H5" s="43" t="s">
        <v>82</v>
      </c>
      <c r="I5" s="43" t="s">
        <v>83</v>
      </c>
      <c r="J5" s="43" t="s">
        <v>84</v>
      </c>
      <c r="K5" s="43" t="s">
        <v>85</v>
      </c>
      <c r="L5" s="43" t="s">
        <v>86</v>
      </c>
      <c r="M5" s="43" t="s">
        <v>87</v>
      </c>
      <c r="N5" s="145" t="s">
        <v>88</v>
      </c>
      <c r="O5" s="43" t="s">
        <v>89</v>
      </c>
      <c r="P5" s="43" t="s">
        <v>90</v>
      </c>
      <c r="Q5" s="43" t="s">
        <v>91</v>
      </c>
      <c r="R5" s="43" t="s">
        <v>92</v>
      </c>
      <c r="S5" s="43" t="s">
        <v>93</v>
      </c>
      <c r="T5" s="43" t="s">
        <v>94</v>
      </c>
      <c r="U5" s="43" t="s">
        <v>95</v>
      </c>
      <c r="V5" s="43" t="s">
        <v>96</v>
      </c>
      <c r="W5" s="43" t="s">
        <v>97</v>
      </c>
      <c r="X5" s="43" t="s">
        <v>98</v>
      </c>
      <c r="Y5" s="146" t="s">
        <v>99</v>
      </c>
      <c r="Z5" s="43" t="s">
        <v>100</v>
      </c>
      <c r="AA5" s="43" t="s">
        <v>101</v>
      </c>
      <c r="AB5" s="43" t="s">
        <v>102</v>
      </c>
      <c r="AC5" s="43" t="s">
        <v>103</v>
      </c>
      <c r="AD5" s="43" t="s">
        <v>104</v>
      </c>
      <c r="AE5" s="43" t="s">
        <v>105</v>
      </c>
      <c r="AF5" s="43" t="s">
        <v>106</v>
      </c>
      <c r="AG5" s="43" t="s">
        <v>107</v>
      </c>
      <c r="AH5" s="43" t="s">
        <v>108</v>
      </c>
      <c r="AI5" s="43" t="s">
        <v>109</v>
      </c>
      <c r="AJ5" s="43" t="s">
        <v>110</v>
      </c>
      <c r="AK5" s="146" t="s">
        <v>111</v>
      </c>
      <c r="AL5" s="43" t="s">
        <v>112</v>
      </c>
      <c r="AM5" s="43" t="s">
        <v>113</v>
      </c>
      <c r="AN5" s="43" t="s">
        <v>114</v>
      </c>
      <c r="AO5" s="43" t="s">
        <v>115</v>
      </c>
      <c r="AP5" s="43" t="s">
        <v>116</v>
      </c>
      <c r="AQ5" s="43" t="s">
        <v>117</v>
      </c>
      <c r="AR5" s="43" t="s">
        <v>118</v>
      </c>
      <c r="AS5" s="43" t="s">
        <v>119</v>
      </c>
      <c r="AT5" s="43" t="s">
        <v>120</v>
      </c>
      <c r="AU5" s="43" t="s">
        <v>121</v>
      </c>
      <c r="AV5" s="43" t="s">
        <v>122</v>
      </c>
      <c r="AW5" s="146" t="s">
        <v>123</v>
      </c>
      <c r="AX5" s="43" t="s">
        <v>124</v>
      </c>
      <c r="AY5" s="43" t="s">
        <v>125</v>
      </c>
      <c r="AZ5" s="43" t="s">
        <v>126</v>
      </c>
      <c r="BA5" s="43" t="s">
        <v>127</v>
      </c>
      <c r="BB5" s="43" t="s">
        <v>128</v>
      </c>
      <c r="BC5" s="43" t="s">
        <v>129</v>
      </c>
      <c r="BD5" s="43" t="s">
        <v>130</v>
      </c>
      <c r="BE5" s="43" t="s">
        <v>131</v>
      </c>
      <c r="BF5" s="43" t="s">
        <v>132</v>
      </c>
      <c r="BG5" s="43" t="s">
        <v>133</v>
      </c>
      <c r="BH5" s="43" t="s">
        <v>134</v>
      </c>
      <c r="BI5" s="146" t="s">
        <v>135</v>
      </c>
      <c r="BJ5" s="43" t="s">
        <v>136</v>
      </c>
      <c r="BK5" s="43" t="s">
        <v>137</v>
      </c>
      <c r="BL5" s="43" t="s">
        <v>138</v>
      </c>
      <c r="BM5" s="43" t="s">
        <v>139</v>
      </c>
      <c r="BN5" s="43" t="s">
        <v>140</v>
      </c>
      <c r="BO5" s="43" t="s">
        <v>141</v>
      </c>
      <c r="BP5" s="43" t="s">
        <v>142</v>
      </c>
      <c r="BQ5" s="43" t="s">
        <v>143</v>
      </c>
      <c r="BR5" s="43" t="s">
        <v>144</v>
      </c>
      <c r="BS5" s="43" t="s">
        <v>145</v>
      </c>
      <c r="BT5" s="43" t="s">
        <v>146</v>
      </c>
      <c r="BU5" s="146" t="s">
        <v>147</v>
      </c>
      <c r="BV5" s="43" t="s">
        <v>148</v>
      </c>
      <c r="BW5" s="43" t="s">
        <v>149</v>
      </c>
      <c r="BX5" s="43" t="s">
        <v>150</v>
      </c>
      <c r="BY5" s="43" t="s">
        <v>151</v>
      </c>
      <c r="BZ5" s="43" t="s">
        <v>152</v>
      </c>
      <c r="CA5" s="43" t="s">
        <v>153</v>
      </c>
      <c r="CB5" s="43" t="s">
        <v>154</v>
      </c>
      <c r="CC5" s="43" t="s">
        <v>155</v>
      </c>
      <c r="CD5" s="43" t="s">
        <v>156</v>
      </c>
      <c r="CE5" s="43" t="s">
        <v>157</v>
      </c>
      <c r="CF5" s="43" t="s">
        <v>158</v>
      </c>
      <c r="CG5" s="146" t="s">
        <v>159</v>
      </c>
      <c r="CH5" s="43" t="s">
        <v>160</v>
      </c>
      <c r="CI5" s="43" t="s">
        <v>161</v>
      </c>
      <c r="CJ5" s="43" t="s">
        <v>162</v>
      </c>
      <c r="CK5" s="43" t="s">
        <v>163</v>
      </c>
      <c r="CL5" s="43" t="s">
        <v>164</v>
      </c>
      <c r="CM5" s="43" t="s">
        <v>165</v>
      </c>
      <c r="CN5" s="43" t="s">
        <v>166</v>
      </c>
      <c r="CO5" s="43" t="s">
        <v>167</v>
      </c>
      <c r="CP5" s="43" t="s">
        <v>168</v>
      </c>
      <c r="CQ5" s="43" t="s">
        <v>169</v>
      </c>
      <c r="CR5" s="43" t="s">
        <v>170</v>
      </c>
      <c r="CS5" s="146" t="s">
        <v>171</v>
      </c>
      <c r="CT5" s="43" t="s">
        <v>172</v>
      </c>
      <c r="CU5" s="43" t="s">
        <v>173</v>
      </c>
      <c r="CV5" s="43" t="s">
        <v>174</v>
      </c>
      <c r="CW5" s="43" t="s">
        <v>175</v>
      </c>
      <c r="CX5" s="43" t="s">
        <v>176</v>
      </c>
      <c r="CY5" s="43" t="s">
        <v>177</v>
      </c>
      <c r="CZ5" s="43" t="s">
        <v>178</v>
      </c>
      <c r="DA5" s="43" t="s">
        <v>179</v>
      </c>
      <c r="DB5" s="43" t="s">
        <v>180</v>
      </c>
      <c r="DC5" s="43" t="s">
        <v>181</v>
      </c>
      <c r="DD5" s="43" t="s">
        <v>182</v>
      </c>
      <c r="DE5" s="146" t="s">
        <v>183</v>
      </c>
      <c r="DF5" s="43" t="s">
        <v>184</v>
      </c>
      <c r="DG5" s="43" t="s">
        <v>185</v>
      </c>
      <c r="DH5" s="43" t="s">
        <v>186</v>
      </c>
      <c r="DI5" s="43" t="s">
        <v>187</v>
      </c>
      <c r="DJ5" s="43" t="s">
        <v>188</v>
      </c>
      <c r="DK5" s="43" t="s">
        <v>189</v>
      </c>
      <c r="DL5" s="43" t="s">
        <v>190</v>
      </c>
      <c r="DM5" s="43" t="s">
        <v>191</v>
      </c>
      <c r="DN5" s="43" t="s">
        <v>192</v>
      </c>
      <c r="DO5" s="43" t="s">
        <v>193</v>
      </c>
      <c r="DP5" s="43" t="s">
        <v>194</v>
      </c>
      <c r="DQ5" s="146" t="s">
        <v>195</v>
      </c>
      <c r="DR5" s="43" t="s">
        <v>196</v>
      </c>
      <c r="DS5" s="43" t="s">
        <v>197</v>
      </c>
      <c r="DT5" s="43" t="s">
        <v>198</v>
      </c>
      <c r="DU5" s="43" t="s">
        <v>199</v>
      </c>
      <c r="DV5" s="43" t="s">
        <v>200</v>
      </c>
      <c r="DW5" s="43" t="s">
        <v>201</v>
      </c>
      <c r="DX5" s="43" t="s">
        <v>202</v>
      </c>
      <c r="DY5" s="43" t="s">
        <v>203</v>
      </c>
      <c r="DZ5" s="43" t="s">
        <v>204</v>
      </c>
      <c r="EA5" s="43" t="s">
        <v>205</v>
      </c>
      <c r="EB5" s="43" t="s">
        <v>206</v>
      </c>
      <c r="EC5" s="146" t="s">
        <v>207</v>
      </c>
      <c r="ED5" s="43" t="s">
        <v>208</v>
      </c>
      <c r="EE5" s="43" t="s">
        <v>209</v>
      </c>
      <c r="EF5" s="43" t="s">
        <v>210</v>
      </c>
      <c r="EG5" s="43" t="s">
        <v>211</v>
      </c>
      <c r="EH5" s="43" t="s">
        <v>212</v>
      </c>
      <c r="EI5" s="43" t="s">
        <v>213</v>
      </c>
      <c r="EJ5" s="43" t="s">
        <v>275</v>
      </c>
      <c r="EK5" s="43" t="s">
        <v>215</v>
      </c>
      <c r="EL5" s="43" t="s">
        <v>216</v>
      </c>
      <c r="EM5" s="43" t="s">
        <v>217</v>
      </c>
      <c r="EN5" s="43" t="s">
        <v>218</v>
      </c>
      <c r="EO5" s="43" t="s">
        <v>219</v>
      </c>
      <c r="EP5" s="147" t="s">
        <v>220</v>
      </c>
      <c r="EQ5" s="43" t="s">
        <v>221</v>
      </c>
      <c r="ER5" s="43" t="s">
        <v>222</v>
      </c>
      <c r="ES5" s="43" t="s">
        <v>223</v>
      </c>
      <c r="ET5" s="43" t="s">
        <v>224</v>
      </c>
      <c r="EU5" s="43" t="s">
        <v>225</v>
      </c>
      <c r="EV5" s="43" t="s">
        <v>226</v>
      </c>
      <c r="EW5" s="43" t="s">
        <v>276</v>
      </c>
      <c r="EX5" s="43" t="s">
        <v>228</v>
      </c>
      <c r="EY5" s="43" t="s">
        <v>229</v>
      </c>
      <c r="EZ5" s="43" t="s">
        <v>230</v>
      </c>
      <c r="FA5" s="141" t="s">
        <v>231</v>
      </c>
      <c r="FB5" s="43" t="s">
        <v>232</v>
      </c>
      <c r="FC5" s="43" t="s">
        <v>233</v>
      </c>
      <c r="FD5" s="43" t="s">
        <v>234</v>
      </c>
      <c r="FE5" s="43" t="s">
        <v>235</v>
      </c>
      <c r="FF5" s="43" t="s">
        <v>236</v>
      </c>
      <c r="FG5" s="43" t="s">
        <v>237</v>
      </c>
      <c r="FH5" s="43" t="s">
        <v>238</v>
      </c>
      <c r="FI5" s="43" t="s">
        <v>239</v>
      </c>
      <c r="FJ5" s="43" t="s">
        <v>240</v>
      </c>
      <c r="FK5" s="43" t="s">
        <v>241</v>
      </c>
      <c r="FL5" s="43" t="s">
        <v>242</v>
      </c>
      <c r="FM5" s="43" t="s">
        <v>243</v>
      </c>
      <c r="FN5" s="147" t="s">
        <v>244</v>
      </c>
      <c r="FO5" s="43" t="s">
        <v>245</v>
      </c>
      <c r="FP5" s="43" t="s">
        <v>246</v>
      </c>
      <c r="FQ5" s="43" t="s">
        <v>247</v>
      </c>
      <c r="FR5" s="43" t="s">
        <v>248</v>
      </c>
      <c r="FS5" s="43" t="s">
        <v>249</v>
      </c>
      <c r="FT5" s="43" t="s">
        <v>250</v>
      </c>
      <c r="FU5" s="43" t="s">
        <v>251</v>
      </c>
      <c r="FV5" s="43" t="s">
        <v>252</v>
      </c>
      <c r="FW5" s="43" t="s">
        <v>253</v>
      </c>
      <c r="FX5" s="43" t="s">
        <v>254</v>
      </c>
      <c r="FY5" s="43" t="s">
        <v>255</v>
      </c>
      <c r="FZ5" s="147" t="s">
        <v>256</v>
      </c>
      <c r="GA5" s="43" t="s">
        <v>257</v>
      </c>
      <c r="GB5" s="43" t="s">
        <v>258</v>
      </c>
      <c r="GC5" s="43" t="s">
        <v>259</v>
      </c>
      <c r="GD5" s="43" t="s">
        <v>260</v>
      </c>
      <c r="GE5" s="43" t="s">
        <v>261</v>
      </c>
      <c r="GF5" s="43" t="s">
        <v>262</v>
      </c>
      <c r="GG5" s="43" t="s">
        <v>263</v>
      </c>
      <c r="GH5" s="43" t="s">
        <v>264</v>
      </c>
      <c r="GI5" s="43" t="s">
        <v>265</v>
      </c>
      <c r="GJ5" s="43" t="s">
        <v>1622</v>
      </c>
      <c r="GK5" s="43" t="s">
        <v>1629</v>
      </c>
      <c r="GL5" s="147" t="s">
        <v>1630</v>
      </c>
      <c r="GM5" s="43" t="s">
        <v>1635</v>
      </c>
      <c r="GN5" s="43" t="s">
        <v>1638</v>
      </c>
      <c r="GO5" s="43" t="s">
        <v>1645</v>
      </c>
      <c r="GP5" s="43" t="s">
        <v>1649</v>
      </c>
    </row>
    <row r="6" spans="1:198" s="30" customFormat="1" ht="20.149999999999999" customHeight="1" x14ac:dyDescent="0.35">
      <c r="A6" s="26" t="s">
        <v>266</v>
      </c>
      <c r="B6" s="27"/>
      <c r="C6" s="27"/>
      <c r="D6" s="27"/>
      <c r="E6" s="27"/>
      <c r="F6" s="27"/>
      <c r="G6" s="27"/>
      <c r="H6" s="27"/>
      <c r="I6" s="27"/>
      <c r="J6" s="27"/>
      <c r="K6" s="27"/>
      <c r="L6" s="27"/>
      <c r="M6" s="28"/>
      <c r="N6" s="29"/>
      <c r="O6" s="27"/>
      <c r="P6" s="27"/>
      <c r="Q6" s="27"/>
      <c r="R6" s="27"/>
      <c r="S6" s="27"/>
      <c r="T6" s="27"/>
      <c r="U6" s="27"/>
      <c r="V6" s="27"/>
      <c r="W6" s="27"/>
      <c r="X6" s="27"/>
      <c r="Y6" s="28"/>
      <c r="Z6" s="27"/>
      <c r="AA6" s="27"/>
      <c r="AB6" s="27"/>
      <c r="AC6" s="27"/>
      <c r="AD6" s="27"/>
      <c r="AE6" s="27"/>
      <c r="AF6" s="27"/>
      <c r="AG6" s="27"/>
      <c r="AH6" s="27"/>
      <c r="AI6" s="27"/>
      <c r="AJ6" s="27"/>
      <c r="AK6" s="28"/>
      <c r="AL6" s="27"/>
      <c r="AM6" s="27"/>
      <c r="AN6" s="27"/>
      <c r="AO6" s="27"/>
      <c r="AP6" s="27"/>
      <c r="AQ6" s="27"/>
      <c r="AR6" s="27"/>
      <c r="AS6" s="27"/>
      <c r="AT6" s="27"/>
      <c r="AU6" s="27"/>
      <c r="AV6" s="27"/>
      <c r="AW6" s="28"/>
      <c r="AX6" s="27"/>
      <c r="AY6" s="27"/>
      <c r="AZ6" s="27"/>
      <c r="BA6" s="27"/>
      <c r="BB6" s="27"/>
      <c r="BC6" s="27"/>
      <c r="BD6" s="27"/>
      <c r="BE6" s="27"/>
      <c r="BF6" s="27"/>
      <c r="BG6" s="27"/>
      <c r="BH6" s="27"/>
      <c r="BI6" s="28"/>
      <c r="BJ6" s="27"/>
      <c r="BK6" s="27"/>
      <c r="BL6" s="27"/>
      <c r="BM6" s="27"/>
      <c r="BN6" s="27"/>
      <c r="BO6" s="27"/>
      <c r="BP6" s="27"/>
      <c r="BQ6" s="27"/>
      <c r="BR6" s="27"/>
      <c r="BS6" s="27"/>
      <c r="BT6" s="27"/>
      <c r="BU6" s="28"/>
      <c r="BV6" s="27"/>
      <c r="BW6" s="27"/>
      <c r="BX6" s="27"/>
      <c r="BY6" s="27"/>
      <c r="BZ6" s="27"/>
      <c r="CA6" s="27"/>
      <c r="CB6" s="27"/>
      <c r="CC6" s="27"/>
      <c r="CD6" s="27"/>
      <c r="CE6" s="27"/>
      <c r="CF6" s="27"/>
      <c r="CG6" s="28"/>
      <c r="CH6" s="27"/>
      <c r="CI6" s="27"/>
      <c r="CJ6" s="27"/>
      <c r="CK6" s="27"/>
      <c r="CL6" s="27"/>
      <c r="CM6" s="27"/>
      <c r="CN6" s="27"/>
      <c r="CO6" s="27"/>
      <c r="CP6" s="27"/>
      <c r="CQ6" s="27"/>
      <c r="CR6" s="27"/>
      <c r="CS6" s="28"/>
      <c r="CT6" s="27"/>
      <c r="CU6" s="27"/>
      <c r="CV6" s="27"/>
      <c r="CW6" s="27"/>
      <c r="CX6" s="27"/>
      <c r="CY6" s="27"/>
      <c r="CZ6" s="27"/>
      <c r="DA6" s="27"/>
      <c r="DB6" s="27"/>
      <c r="DC6" s="27"/>
      <c r="DD6" s="27"/>
      <c r="DE6" s="79"/>
      <c r="DF6" s="71"/>
      <c r="DG6" s="27"/>
      <c r="DH6" s="27"/>
      <c r="DI6" s="27"/>
      <c r="DJ6" s="27"/>
      <c r="DK6" s="27"/>
      <c r="DL6" s="27"/>
      <c r="DM6" s="27"/>
      <c r="DN6" s="27"/>
      <c r="DO6" s="27"/>
      <c r="DP6" s="27"/>
      <c r="DQ6" s="79"/>
      <c r="DR6" s="71"/>
      <c r="DS6" s="27"/>
      <c r="DT6" s="27"/>
      <c r="DU6" s="27"/>
      <c r="DV6" s="27"/>
      <c r="DW6" s="27"/>
      <c r="DX6" s="27"/>
      <c r="DY6" s="27"/>
      <c r="DZ6" s="27"/>
      <c r="EA6" s="27"/>
      <c r="EB6" s="27"/>
      <c r="EC6" s="79"/>
      <c r="ED6" s="71"/>
      <c r="EE6" s="27"/>
      <c r="EF6" s="27"/>
      <c r="EG6" s="27"/>
      <c r="EH6" s="27"/>
      <c r="EI6" s="27"/>
      <c r="EJ6" s="27"/>
      <c r="EK6" s="27"/>
      <c r="EL6" s="142"/>
      <c r="EM6" s="142"/>
      <c r="EN6" s="142"/>
      <c r="EO6" s="142"/>
      <c r="EP6" s="143"/>
      <c r="EQ6" s="142"/>
      <c r="ER6" s="68"/>
      <c r="ES6" s="68"/>
      <c r="ET6" s="68"/>
      <c r="EU6" s="68"/>
      <c r="EV6" s="68"/>
      <c r="EW6" s="68"/>
      <c r="EX6" s="68"/>
      <c r="EY6" s="68"/>
      <c r="EZ6" s="68"/>
      <c r="FA6" s="131"/>
      <c r="FB6" s="68"/>
      <c r="FC6" s="68"/>
      <c r="FD6" s="68"/>
      <c r="FE6" s="68"/>
      <c r="FF6" s="68"/>
      <c r="FG6" s="68"/>
      <c r="FH6" s="68"/>
      <c r="FI6" s="68"/>
      <c r="FJ6" s="68"/>
      <c r="FK6" s="68"/>
      <c r="FL6" s="68"/>
      <c r="FM6" s="68"/>
      <c r="FN6" s="171"/>
      <c r="FO6" s="68"/>
      <c r="FP6" s="68"/>
      <c r="FQ6" s="68"/>
      <c r="FR6" s="68"/>
      <c r="FS6" s="68"/>
      <c r="FT6" s="68"/>
      <c r="FU6" s="68"/>
      <c r="FV6" s="68"/>
      <c r="FW6" s="126"/>
      <c r="FX6" s="126"/>
      <c r="FY6" s="126"/>
      <c r="FZ6" s="171"/>
      <c r="GA6" s="126"/>
      <c r="GB6" s="126"/>
      <c r="GC6" s="126"/>
      <c r="GD6" s="126"/>
      <c r="GE6" s="126"/>
      <c r="GF6" s="126"/>
      <c r="GG6" s="126"/>
      <c r="GH6" s="126"/>
      <c r="GI6" s="126"/>
      <c r="GJ6" s="126"/>
      <c r="GK6" s="126"/>
      <c r="GL6" s="171"/>
      <c r="GM6" s="126"/>
      <c r="GN6" s="126"/>
      <c r="GO6" s="126"/>
      <c r="GP6" s="126"/>
    </row>
    <row r="7" spans="1:198" s="1" customFormat="1" ht="20.149999999999999" customHeight="1" x14ac:dyDescent="0.35">
      <c r="A7" s="31" t="s">
        <v>277</v>
      </c>
      <c r="B7" s="45">
        <v>5.0000000000000001E-3</v>
      </c>
      <c r="C7" s="45">
        <v>5.0000000000000001E-3</v>
      </c>
      <c r="D7" s="45">
        <v>5.0000000000000001E-3</v>
      </c>
      <c r="E7" s="45">
        <v>1.2E-2</v>
      </c>
      <c r="F7" s="45">
        <v>2.3E-2</v>
      </c>
      <c r="G7" s="45">
        <v>0.78700000000000003</v>
      </c>
      <c r="H7" s="45">
        <v>0.78900000000000003</v>
      </c>
      <c r="I7" s="45">
        <v>0.81799999999999995</v>
      </c>
      <c r="J7" s="45">
        <v>0.83199999999999996</v>
      </c>
      <c r="K7" s="45">
        <v>0.84199999999999997</v>
      </c>
      <c r="L7" s="45">
        <v>0.872</v>
      </c>
      <c r="M7" s="49">
        <v>0.93300000000000005</v>
      </c>
      <c r="N7" s="50">
        <v>0.93700000000000006</v>
      </c>
      <c r="O7" s="45">
        <v>0.95</v>
      </c>
      <c r="P7" s="45">
        <v>1.01</v>
      </c>
      <c r="Q7" s="45">
        <v>1.077</v>
      </c>
      <c r="R7" s="45">
        <v>1.1200000000000001</v>
      </c>
      <c r="S7" s="45">
        <v>1.7909999999999999</v>
      </c>
      <c r="T7" s="45">
        <v>86.438000000000002</v>
      </c>
      <c r="U7" s="45">
        <v>87.072999999999993</v>
      </c>
      <c r="V7" s="45">
        <v>92.716999999999999</v>
      </c>
      <c r="W7" s="45">
        <v>104.771</v>
      </c>
      <c r="X7" s="45">
        <v>105.297</v>
      </c>
      <c r="Y7" s="49">
        <v>105.98</v>
      </c>
      <c r="Z7" s="45">
        <v>105.98</v>
      </c>
      <c r="AA7" s="45">
        <v>106.392</v>
      </c>
      <c r="AB7" s="45">
        <v>111.581</v>
      </c>
      <c r="AC7" s="45">
        <v>111.581</v>
      </c>
      <c r="AD7" s="45">
        <v>111.64100000000001</v>
      </c>
      <c r="AE7" s="45">
        <v>121.617</v>
      </c>
      <c r="AF7" s="45">
        <v>177.93899999999999</v>
      </c>
      <c r="AG7" s="45">
        <v>177.93899999999999</v>
      </c>
      <c r="AH7" s="45">
        <v>177.93899999999999</v>
      </c>
      <c r="AI7" s="45">
        <v>177.94200000000001</v>
      </c>
      <c r="AJ7" s="45">
        <v>181.327</v>
      </c>
      <c r="AK7" s="49">
        <v>181.327</v>
      </c>
      <c r="AL7" s="45">
        <v>181.327</v>
      </c>
      <c r="AM7" s="45">
        <v>181.327</v>
      </c>
      <c r="AN7" s="45">
        <v>186.166</v>
      </c>
      <c r="AO7" s="45">
        <v>192.941</v>
      </c>
      <c r="AP7" s="45">
        <v>192.947</v>
      </c>
      <c r="AQ7" s="45">
        <v>194.19200000000001</v>
      </c>
      <c r="AR7" s="45">
        <v>198.096</v>
      </c>
      <c r="AS7" s="45">
        <v>202.75</v>
      </c>
      <c r="AT7" s="45">
        <v>203.86</v>
      </c>
      <c r="AU7" s="45">
        <v>210.44800000000001</v>
      </c>
      <c r="AV7" s="45">
        <v>210.452</v>
      </c>
      <c r="AW7" s="49">
        <v>213.83199999999999</v>
      </c>
      <c r="AX7" s="45">
        <v>213.83199999999999</v>
      </c>
      <c r="AY7" s="45">
        <v>219.64500000000001</v>
      </c>
      <c r="AZ7" s="45">
        <v>229.172</v>
      </c>
      <c r="BA7" s="45">
        <v>234.166</v>
      </c>
      <c r="BB7" s="45">
        <v>245.434</v>
      </c>
      <c r="BC7" s="45">
        <v>255.26</v>
      </c>
      <c r="BD7" s="45">
        <v>260.18299999999999</v>
      </c>
      <c r="BE7" s="45">
        <v>263.80099999999999</v>
      </c>
      <c r="BF7" s="45">
        <v>265.58800000000002</v>
      </c>
      <c r="BG7" s="45">
        <v>265.87599999999998</v>
      </c>
      <c r="BH7" s="45">
        <v>268.85500000000002</v>
      </c>
      <c r="BI7" s="49">
        <v>285.61500000000001</v>
      </c>
      <c r="BJ7" s="45">
        <v>285.61500000000001</v>
      </c>
      <c r="BK7" s="45">
        <v>289.358</v>
      </c>
      <c r="BL7" s="45">
        <v>326.36799999999999</v>
      </c>
      <c r="BM7" s="45">
        <v>328.20800000000003</v>
      </c>
      <c r="BN7" s="45">
        <v>332.11399999999998</v>
      </c>
      <c r="BO7" s="45">
        <v>364.01100000000002</v>
      </c>
      <c r="BP7" s="45">
        <v>373.15499999999997</v>
      </c>
      <c r="BQ7" s="45">
        <v>382.76600000000002</v>
      </c>
      <c r="BR7" s="45">
        <v>404.47800000000001</v>
      </c>
      <c r="BS7" s="45">
        <v>438.08</v>
      </c>
      <c r="BT7" s="45">
        <v>478.149</v>
      </c>
      <c r="BU7" s="49">
        <v>786.798</v>
      </c>
      <c r="BV7" s="45">
        <v>787.06500000000005</v>
      </c>
      <c r="BW7" s="45">
        <v>792.495</v>
      </c>
      <c r="BX7" s="45">
        <v>803.65800000000002</v>
      </c>
      <c r="BY7" s="45">
        <v>803.65800000000002</v>
      </c>
      <c r="BZ7" s="45">
        <v>818.64200000000005</v>
      </c>
      <c r="CA7" s="45">
        <v>946.69299999999998</v>
      </c>
      <c r="CB7" s="45">
        <v>946.69299999999998</v>
      </c>
      <c r="CC7" s="45">
        <v>956.18</v>
      </c>
      <c r="CD7" s="45">
        <v>965.89499999999998</v>
      </c>
      <c r="CE7" s="45">
        <v>965.89499999999998</v>
      </c>
      <c r="CF7" s="45">
        <v>970.7</v>
      </c>
      <c r="CG7" s="124">
        <v>970.7</v>
      </c>
      <c r="CH7" s="69">
        <v>970.70399999999995</v>
      </c>
      <c r="CI7" s="45">
        <v>970.70399999999995</v>
      </c>
      <c r="CJ7" s="45">
        <v>975.71400000000006</v>
      </c>
      <c r="CK7" s="45">
        <v>975.71400000000006</v>
      </c>
      <c r="CL7" s="45">
        <v>975.71799999999996</v>
      </c>
      <c r="CM7" s="45">
        <v>975.71799999999996</v>
      </c>
      <c r="CN7" s="45">
        <v>975.71799999999996</v>
      </c>
      <c r="CO7" s="45">
        <v>975.71799999999996</v>
      </c>
      <c r="CP7" s="45">
        <v>975.71799999999996</v>
      </c>
      <c r="CQ7" s="45">
        <v>975.71799999999996</v>
      </c>
      <c r="CR7" s="45">
        <v>975.71799999999996</v>
      </c>
      <c r="CS7" s="124">
        <v>975.71799999999996</v>
      </c>
      <c r="CT7" s="69">
        <v>975.72199999999998</v>
      </c>
      <c r="CU7" s="45">
        <v>975.72199999999998</v>
      </c>
      <c r="CV7" s="45">
        <v>975.72199999999998</v>
      </c>
      <c r="CW7" s="45">
        <v>975.72199999999998</v>
      </c>
      <c r="CX7" s="45">
        <v>975.72199999999998</v>
      </c>
      <c r="CY7" s="45">
        <v>975.72199999999998</v>
      </c>
      <c r="CZ7" s="45">
        <v>975.72199999999998</v>
      </c>
      <c r="DA7" s="45">
        <v>975.72199999999998</v>
      </c>
      <c r="DB7" s="45">
        <v>975.72199999999998</v>
      </c>
      <c r="DC7" s="45">
        <v>975.72199999999998</v>
      </c>
      <c r="DD7" s="45">
        <v>975.72199999999998</v>
      </c>
      <c r="DE7" s="124">
        <v>975.72199999999998</v>
      </c>
      <c r="DF7" s="69">
        <v>975.72199999999998</v>
      </c>
      <c r="DG7" s="45">
        <v>975.72199999999998</v>
      </c>
      <c r="DH7" s="45">
        <v>975.72199999999998</v>
      </c>
      <c r="DI7" s="45">
        <v>975.72199999999998</v>
      </c>
      <c r="DJ7" s="45">
        <v>975.72199999999998</v>
      </c>
      <c r="DK7" s="45">
        <v>975.72199999999998</v>
      </c>
      <c r="DL7" s="45">
        <v>975.72199999999998</v>
      </c>
      <c r="DM7" s="45">
        <v>975.72199999999998</v>
      </c>
      <c r="DN7" s="45">
        <v>975.72199999999998</v>
      </c>
      <c r="DO7" s="45">
        <v>975.72199999999998</v>
      </c>
      <c r="DP7" s="45">
        <v>975.72199999999998</v>
      </c>
      <c r="DQ7" s="124">
        <v>975.72199999999998</v>
      </c>
      <c r="DR7" s="69">
        <v>975.72199999999998</v>
      </c>
      <c r="DS7" s="45">
        <v>975.72199999999998</v>
      </c>
      <c r="DT7" s="45">
        <v>975.72199999999998</v>
      </c>
      <c r="DU7" s="45">
        <v>975.72199999999998</v>
      </c>
      <c r="DV7" s="45">
        <v>975.72199999999998</v>
      </c>
      <c r="DW7" s="45">
        <v>975.72199999999998</v>
      </c>
      <c r="DX7" s="45">
        <v>975.72199999999998</v>
      </c>
      <c r="DY7" s="45">
        <v>975.72199999999998</v>
      </c>
      <c r="DZ7" s="45">
        <v>975.72199999999998</v>
      </c>
      <c r="EA7" s="45">
        <v>975.72199999999998</v>
      </c>
      <c r="EB7" s="45">
        <v>975.72199999999998</v>
      </c>
      <c r="EC7" s="45">
        <v>975.72199999999998</v>
      </c>
      <c r="ED7" s="69">
        <v>975.72199999999998</v>
      </c>
      <c r="EE7" s="45">
        <v>975.72199999999998</v>
      </c>
      <c r="EF7" s="45">
        <v>975.72199999999998</v>
      </c>
      <c r="EG7" s="45">
        <v>975.72199999999998</v>
      </c>
      <c r="EH7" s="45">
        <v>975.72199999999998</v>
      </c>
      <c r="EI7" s="45">
        <v>975.72199999999998</v>
      </c>
      <c r="EJ7" s="45">
        <v>975.72199999999998</v>
      </c>
      <c r="EK7" s="45">
        <v>975.72199999999998</v>
      </c>
      <c r="EL7" s="45">
        <v>975.72199999999998</v>
      </c>
      <c r="EM7" s="45">
        <v>975.72199999999998</v>
      </c>
      <c r="EN7" s="45">
        <v>975.72199999999998</v>
      </c>
      <c r="EO7" s="45">
        <v>975.72199999999998</v>
      </c>
      <c r="EP7" s="69">
        <v>975.72199999999998</v>
      </c>
      <c r="EQ7" s="45">
        <v>975.72199999999998</v>
      </c>
      <c r="ER7" s="45">
        <v>975.72199999999998</v>
      </c>
      <c r="ES7" s="45">
        <v>975.72199999999998</v>
      </c>
      <c r="ET7" s="45">
        <v>975.72199999999998</v>
      </c>
      <c r="EU7" s="45">
        <v>975.72199999999998</v>
      </c>
      <c r="EV7" s="45">
        <v>975.72199999999998</v>
      </c>
      <c r="EW7" s="45">
        <v>975.72199999999998</v>
      </c>
      <c r="EX7" s="45">
        <v>975.72199999999998</v>
      </c>
      <c r="EY7" s="45">
        <v>975.72199999999998</v>
      </c>
      <c r="EZ7" s="45">
        <v>975.72199999999998</v>
      </c>
      <c r="FA7" s="82">
        <v>975.72199999999998</v>
      </c>
      <c r="FB7" s="45">
        <v>975.72199999999998</v>
      </c>
      <c r="FC7" s="45">
        <v>975.72199999999998</v>
      </c>
      <c r="FD7" s="45">
        <v>975.72199999999998</v>
      </c>
      <c r="FE7" s="45">
        <v>975.72199999999998</v>
      </c>
      <c r="FF7" s="45">
        <v>975.72199999999998</v>
      </c>
      <c r="FG7" s="45">
        <v>975.72199999999998</v>
      </c>
      <c r="FH7" s="45">
        <v>975.72199999999998</v>
      </c>
      <c r="FI7" s="45">
        <v>975.72199999999998</v>
      </c>
      <c r="FJ7" s="45">
        <v>975.72199999999998</v>
      </c>
      <c r="FK7" s="45">
        <v>975.72199999999998</v>
      </c>
      <c r="FL7" s="45">
        <v>975.72199999999998</v>
      </c>
      <c r="FM7" s="45">
        <v>975.72199999999998</v>
      </c>
      <c r="FN7" s="69">
        <v>975.72199999999998</v>
      </c>
      <c r="FO7" s="45">
        <v>975.72199999999998</v>
      </c>
      <c r="FP7" s="45">
        <v>975.72199999999998</v>
      </c>
      <c r="FQ7" s="45">
        <v>975.72199999999998</v>
      </c>
      <c r="FR7" s="45">
        <v>975.72199999999998</v>
      </c>
      <c r="FS7" s="45">
        <v>975.72199999999998</v>
      </c>
      <c r="FT7" s="45">
        <v>975.72199999999998</v>
      </c>
      <c r="FU7" s="45">
        <v>975.72199999999998</v>
      </c>
      <c r="FV7" s="45">
        <v>975.72199999999998</v>
      </c>
      <c r="FW7" s="45">
        <v>975.72199999999998</v>
      </c>
      <c r="FX7" s="45">
        <v>975.72199999999998</v>
      </c>
      <c r="FY7" s="45">
        <v>975.72199999999998</v>
      </c>
      <c r="FZ7" s="69">
        <v>975.72199999999998</v>
      </c>
      <c r="GA7" s="45">
        <v>975.72199999999998</v>
      </c>
      <c r="GB7" s="45">
        <v>975.72199999999998</v>
      </c>
      <c r="GC7" s="45">
        <v>975.72199999999998</v>
      </c>
      <c r="GD7" s="45">
        <v>975.72199999999998</v>
      </c>
      <c r="GE7" s="45">
        <v>975.72199999999998</v>
      </c>
      <c r="GF7" s="45">
        <v>975.72199999999998</v>
      </c>
      <c r="GG7" s="45">
        <v>975.72199999999998</v>
      </c>
      <c r="GH7" s="45">
        <v>975.72199999999998</v>
      </c>
      <c r="GI7" s="45">
        <v>975.72199999999998</v>
      </c>
      <c r="GJ7" s="45">
        <v>975.72199999999998</v>
      </c>
      <c r="GK7" s="45">
        <v>975.72199999999998</v>
      </c>
      <c r="GL7" s="69">
        <v>975.72199999999998</v>
      </c>
      <c r="GM7" s="45">
        <v>975.72199999999998</v>
      </c>
      <c r="GN7" s="45">
        <v>975.72199999999998</v>
      </c>
      <c r="GO7" s="45">
        <v>975.72199999999998</v>
      </c>
      <c r="GP7" s="45">
        <v>975.72199999999998</v>
      </c>
    </row>
    <row r="8" spans="1:198" s="1" customFormat="1" ht="20.149999999999999" customHeight="1" x14ac:dyDescent="0.35">
      <c r="A8" s="31" t="s">
        <v>278</v>
      </c>
      <c r="B8" s="45">
        <v>12.845000000000001</v>
      </c>
      <c r="C8" s="45">
        <v>13.856999999999999</v>
      </c>
      <c r="D8" s="45">
        <v>15.819000000000001</v>
      </c>
      <c r="E8" s="45">
        <v>18.035</v>
      </c>
      <c r="F8" s="45">
        <v>21.678999999999998</v>
      </c>
      <c r="G8" s="45">
        <v>26.094000000000001</v>
      </c>
      <c r="H8" s="45">
        <v>31.177</v>
      </c>
      <c r="I8" s="45">
        <v>36.463999999999999</v>
      </c>
      <c r="J8" s="45">
        <v>43.343000000000004</v>
      </c>
      <c r="K8" s="45">
        <v>51.899000000000001</v>
      </c>
      <c r="L8" s="45">
        <v>61.375</v>
      </c>
      <c r="M8" s="49">
        <v>68.727999999999994</v>
      </c>
      <c r="N8" s="50">
        <v>78.876999999999995</v>
      </c>
      <c r="O8" s="45">
        <v>91.263999999999996</v>
      </c>
      <c r="P8" s="45">
        <v>109.855</v>
      </c>
      <c r="Q8" s="45">
        <v>133.27199999999999</v>
      </c>
      <c r="R8" s="45">
        <v>155.833</v>
      </c>
      <c r="S8" s="45">
        <v>187.97499999999999</v>
      </c>
      <c r="T8" s="45">
        <v>258.32299999999998</v>
      </c>
      <c r="U8" s="45">
        <v>301.97300000000001</v>
      </c>
      <c r="V8" s="45">
        <v>366.24299999999999</v>
      </c>
      <c r="W8" s="45">
        <v>468.44299999999998</v>
      </c>
      <c r="X8" s="45">
        <v>659.84699999999998</v>
      </c>
      <c r="Y8" s="49">
        <v>838.26900000000001</v>
      </c>
      <c r="Z8" s="45">
        <v>861.54200000000003</v>
      </c>
      <c r="AA8" s="45">
        <v>1029.3030000000001</v>
      </c>
      <c r="AB8" s="45">
        <v>1129.694</v>
      </c>
      <c r="AC8" s="45">
        <v>1145.461</v>
      </c>
      <c r="AD8" s="45">
        <v>1179.6369999999999</v>
      </c>
      <c r="AE8" s="45">
        <v>1232.527</v>
      </c>
      <c r="AF8" s="45">
        <v>1365.8869999999999</v>
      </c>
      <c r="AG8" s="45">
        <v>1379.604</v>
      </c>
      <c r="AH8" s="45">
        <v>1397.1780000000001</v>
      </c>
      <c r="AI8" s="45">
        <v>1439.5060000000001</v>
      </c>
      <c r="AJ8" s="45">
        <v>1460.954</v>
      </c>
      <c r="AK8" s="49">
        <v>1481.809</v>
      </c>
      <c r="AL8" s="45">
        <v>1505.348</v>
      </c>
      <c r="AM8" s="45">
        <v>1532.778</v>
      </c>
      <c r="AN8" s="45">
        <v>1564.847</v>
      </c>
      <c r="AO8" s="45">
        <v>1611.0809999999999</v>
      </c>
      <c r="AP8" s="45">
        <v>1647.5050000000001</v>
      </c>
      <c r="AQ8" s="45">
        <v>1713.261</v>
      </c>
      <c r="AR8" s="45">
        <v>1742.0730000000001</v>
      </c>
      <c r="AS8" s="45">
        <v>1779.2139999999999</v>
      </c>
      <c r="AT8" s="45">
        <v>1815.9290000000001</v>
      </c>
      <c r="AU8" s="45">
        <v>1853.0050000000001</v>
      </c>
      <c r="AV8" s="45">
        <v>1896.32</v>
      </c>
      <c r="AW8" s="49">
        <v>1939.405</v>
      </c>
      <c r="AX8" s="45">
        <v>1973.627</v>
      </c>
      <c r="AY8" s="45">
        <v>2010.3620000000001</v>
      </c>
      <c r="AZ8" s="45">
        <v>2092.16</v>
      </c>
      <c r="BA8" s="45">
        <v>2128.4090000000001</v>
      </c>
      <c r="BB8" s="45">
        <v>2164.9960000000001</v>
      </c>
      <c r="BC8" s="45">
        <v>2225.0390000000002</v>
      </c>
      <c r="BD8" s="45">
        <v>2269.6909999999998</v>
      </c>
      <c r="BE8" s="45">
        <v>2313.4960000000001</v>
      </c>
      <c r="BF8" s="45">
        <v>2367.6959999999999</v>
      </c>
      <c r="BG8" s="45">
        <v>2424.8090000000002</v>
      </c>
      <c r="BH8" s="45">
        <v>2478.7249999999999</v>
      </c>
      <c r="BI8" s="49">
        <v>2551.1849999999999</v>
      </c>
      <c r="BJ8" s="45">
        <v>2583.3270000000002</v>
      </c>
      <c r="BK8" s="45">
        <v>2623.1889999999999</v>
      </c>
      <c r="BL8" s="45">
        <v>2711.2669999999998</v>
      </c>
      <c r="BM8" s="45">
        <v>2753.3420000000001</v>
      </c>
      <c r="BN8" s="45">
        <v>2801.4549999999999</v>
      </c>
      <c r="BO8" s="45">
        <v>2891.5219999999999</v>
      </c>
      <c r="BP8" s="45">
        <v>2942.0169999999998</v>
      </c>
      <c r="BQ8" s="45">
        <v>2993.5059999999999</v>
      </c>
      <c r="BR8" s="45">
        <v>3089.1280000000002</v>
      </c>
      <c r="BS8" s="45">
        <v>3164.587</v>
      </c>
      <c r="BT8" s="45">
        <v>3268.7570000000001</v>
      </c>
      <c r="BU8" s="49">
        <v>3472.1320000000001</v>
      </c>
      <c r="BV8" s="45">
        <v>3563.2489999999998</v>
      </c>
      <c r="BW8" s="45">
        <v>3582.5880000000002</v>
      </c>
      <c r="BX8" s="45">
        <v>3650.223</v>
      </c>
      <c r="BY8" s="45">
        <v>3659.5419999999999</v>
      </c>
      <c r="BZ8" s="45">
        <v>3675.181</v>
      </c>
      <c r="CA8" s="45">
        <v>3687.9609999999998</v>
      </c>
      <c r="CB8" s="45">
        <v>3700.32</v>
      </c>
      <c r="CC8" s="45">
        <v>3714.6840000000002</v>
      </c>
      <c r="CD8" s="45">
        <v>3734.759</v>
      </c>
      <c r="CE8" s="45">
        <v>3744.1840000000002</v>
      </c>
      <c r="CF8" s="45">
        <v>3753.857</v>
      </c>
      <c r="CG8" s="124">
        <v>3765.01</v>
      </c>
      <c r="CH8" s="69">
        <v>3769.7959999999998</v>
      </c>
      <c r="CI8" s="45">
        <v>3777.192</v>
      </c>
      <c r="CJ8" s="45">
        <v>3788.2489999999998</v>
      </c>
      <c r="CK8" s="45">
        <v>3796.078</v>
      </c>
      <c r="CL8" s="45">
        <v>3805.9589999999998</v>
      </c>
      <c r="CM8" s="45">
        <v>3817.9639999999999</v>
      </c>
      <c r="CN8" s="45">
        <v>3829.3490000000002</v>
      </c>
      <c r="CO8" s="45">
        <v>3843.1970000000001</v>
      </c>
      <c r="CP8" s="45">
        <v>3855.953</v>
      </c>
      <c r="CQ8" s="45">
        <v>3865.1489999999999</v>
      </c>
      <c r="CR8" s="45">
        <v>3876.2979999999998</v>
      </c>
      <c r="CS8" s="124">
        <v>3884.3519999999999</v>
      </c>
      <c r="CT8" s="69">
        <v>3892.1460000000002</v>
      </c>
      <c r="CU8" s="45">
        <v>3899.3510000000001</v>
      </c>
      <c r="CV8" s="45">
        <v>3911.4349999999999</v>
      </c>
      <c r="CW8" s="45">
        <v>3921.3150000000001</v>
      </c>
      <c r="CX8" s="45">
        <v>3931.78</v>
      </c>
      <c r="CY8" s="45">
        <v>3944.444</v>
      </c>
      <c r="CZ8" s="45">
        <v>3955.866</v>
      </c>
      <c r="DA8" s="45">
        <v>3967.7049999999999</v>
      </c>
      <c r="DB8" s="45">
        <v>3980.846</v>
      </c>
      <c r="DC8" s="45">
        <v>3992.8960000000002</v>
      </c>
      <c r="DD8" s="45">
        <v>4008.0219999999999</v>
      </c>
      <c r="DE8" s="124">
        <v>4026.8679999999999</v>
      </c>
      <c r="DF8" s="69">
        <v>4043.8629999999998</v>
      </c>
      <c r="DG8" s="45">
        <v>4068.7080000000001</v>
      </c>
      <c r="DH8" s="45">
        <v>4132.2510000000002</v>
      </c>
      <c r="DI8" s="45">
        <v>4136.4049999999997</v>
      </c>
      <c r="DJ8" s="45">
        <v>4137.1880000000001</v>
      </c>
      <c r="DK8" s="45">
        <v>4138.9549999999999</v>
      </c>
      <c r="DL8" s="45">
        <v>4140.3389999999999</v>
      </c>
      <c r="DM8" s="45">
        <v>4142.6559999999999</v>
      </c>
      <c r="DN8" s="45">
        <v>4145.34</v>
      </c>
      <c r="DO8" s="45">
        <v>4145.6840000000002</v>
      </c>
      <c r="DP8" s="45">
        <v>4146.1459999999997</v>
      </c>
      <c r="DQ8" s="124">
        <v>4146.5169999999998</v>
      </c>
      <c r="DR8" s="69">
        <v>4147.1409999999996</v>
      </c>
      <c r="DS8" s="45">
        <v>4147.9679999999998</v>
      </c>
      <c r="DT8" s="45">
        <v>4150.1779999999999</v>
      </c>
      <c r="DU8" s="45">
        <v>4150.1779999999999</v>
      </c>
      <c r="DV8" s="45">
        <v>4150.1779999999999</v>
      </c>
      <c r="DW8" s="45">
        <v>4150.2079999999996</v>
      </c>
      <c r="DX8" s="45">
        <v>4150.2380000000003</v>
      </c>
      <c r="DY8" s="45">
        <v>4150.4660000000003</v>
      </c>
      <c r="DZ8" s="45">
        <v>4150.6790000000001</v>
      </c>
      <c r="EA8" s="45">
        <v>4150.6869999999999</v>
      </c>
      <c r="EB8" s="45">
        <v>4150.6869999999999</v>
      </c>
      <c r="EC8" s="45">
        <v>4150.7470000000003</v>
      </c>
      <c r="ED8" s="69">
        <v>4150.7969999999996</v>
      </c>
      <c r="EE8" s="45">
        <v>4150.7969999999996</v>
      </c>
      <c r="EF8" s="45">
        <v>4150.7969999999996</v>
      </c>
      <c r="EG8" s="45">
        <v>4150.7969999999996</v>
      </c>
      <c r="EH8" s="45">
        <v>4150.7969999999996</v>
      </c>
      <c r="EI8" s="45">
        <v>4150.7969999999996</v>
      </c>
      <c r="EJ8" s="45">
        <v>4150.7969999999996</v>
      </c>
      <c r="EK8" s="45">
        <v>4150.7969999999996</v>
      </c>
      <c r="EL8" s="45">
        <v>4150.7969999999996</v>
      </c>
      <c r="EM8" s="45">
        <v>4150.7969999999996</v>
      </c>
      <c r="EN8" s="45">
        <v>4150.7969999999996</v>
      </c>
      <c r="EO8" s="45">
        <v>4150.7969999999996</v>
      </c>
      <c r="EP8" s="69">
        <v>4150.7969999999996</v>
      </c>
      <c r="EQ8" s="45">
        <v>4150.7969999999996</v>
      </c>
      <c r="ER8" s="45">
        <v>4150.7969999999996</v>
      </c>
      <c r="ES8" s="45">
        <v>4150.7969999999996</v>
      </c>
      <c r="ET8" s="45">
        <v>4150.7969999999996</v>
      </c>
      <c r="EU8" s="45">
        <v>4150.7969999999996</v>
      </c>
      <c r="EV8" s="45">
        <v>4150.7969999999996</v>
      </c>
      <c r="EW8" s="45">
        <v>4150.7969999999996</v>
      </c>
      <c r="EX8" s="45">
        <v>4150.7969999999996</v>
      </c>
      <c r="EY8" s="45">
        <v>4150.7969999999996</v>
      </c>
      <c r="EZ8" s="45">
        <v>4150.7969999999996</v>
      </c>
      <c r="FA8" s="82">
        <v>4150.7969999999996</v>
      </c>
      <c r="FB8" s="45">
        <v>4150.7969999999996</v>
      </c>
      <c r="FC8" s="45">
        <v>4150.7969999999996</v>
      </c>
      <c r="FD8" s="45">
        <v>4150.7969999999996</v>
      </c>
      <c r="FE8" s="45">
        <v>4150.7969999999996</v>
      </c>
      <c r="FF8" s="45">
        <v>4150.7969999999996</v>
      </c>
      <c r="FG8" s="45">
        <v>4150.7969999999996</v>
      </c>
      <c r="FH8" s="45">
        <v>4150.7969999999996</v>
      </c>
      <c r="FI8" s="45">
        <v>4150.7969999999996</v>
      </c>
      <c r="FJ8" s="45">
        <v>4150.7969999999996</v>
      </c>
      <c r="FK8" s="45">
        <v>4150.7969999999996</v>
      </c>
      <c r="FL8" s="45">
        <v>4150.7969999999996</v>
      </c>
      <c r="FM8" s="45">
        <v>4150.7969999999996</v>
      </c>
      <c r="FN8" s="69">
        <v>4150.7969999999996</v>
      </c>
      <c r="FO8" s="45">
        <v>4150.7969999999996</v>
      </c>
      <c r="FP8" s="45">
        <v>4150.7969999999996</v>
      </c>
      <c r="FQ8" s="45">
        <v>4150.7969999999996</v>
      </c>
      <c r="FR8" s="45">
        <v>4150.7969999999996</v>
      </c>
      <c r="FS8" s="45">
        <v>4150.7969999999996</v>
      </c>
      <c r="FT8" s="45">
        <v>4150.7969999999996</v>
      </c>
      <c r="FU8" s="45">
        <v>4150.7969999999996</v>
      </c>
      <c r="FV8" s="45">
        <v>4150.7969999999996</v>
      </c>
      <c r="FW8" s="45">
        <v>4150.7969999999996</v>
      </c>
      <c r="FX8" s="45">
        <v>4150.7969999999996</v>
      </c>
      <c r="FY8" s="45">
        <v>4150.7969999999996</v>
      </c>
      <c r="FZ8" s="69">
        <v>4150.7969999999996</v>
      </c>
      <c r="GA8" s="45">
        <v>4150.7969999999996</v>
      </c>
      <c r="GB8" s="45">
        <v>4150.7969999999996</v>
      </c>
      <c r="GC8" s="45">
        <v>4150.7969999999996</v>
      </c>
      <c r="GD8" s="45">
        <v>4150.7969999999996</v>
      </c>
      <c r="GE8" s="45">
        <v>4150.7969999999996</v>
      </c>
      <c r="GF8" s="45">
        <v>4150.7969999999996</v>
      </c>
      <c r="GG8" s="45">
        <v>4150.7969999999996</v>
      </c>
      <c r="GH8" s="45">
        <v>4150.7969999999996</v>
      </c>
      <c r="GI8" s="45">
        <v>4150.7969999999996</v>
      </c>
      <c r="GJ8" s="45">
        <v>4150.7969999999996</v>
      </c>
      <c r="GK8" s="45">
        <v>4150.7969999999996</v>
      </c>
      <c r="GL8" s="69">
        <v>4150.7969999999996</v>
      </c>
      <c r="GM8" s="45">
        <v>4150.7969999999996</v>
      </c>
      <c r="GN8" s="45">
        <v>4150.7969999999996</v>
      </c>
      <c r="GO8" s="45">
        <v>4150.7969999999996</v>
      </c>
      <c r="GP8" s="45">
        <v>4150.7969999999996</v>
      </c>
    </row>
    <row r="9" spans="1:198" s="1" customFormat="1" ht="20.149999999999999" customHeight="1" x14ac:dyDescent="0.35">
      <c r="A9" s="31" t="s">
        <v>279</v>
      </c>
      <c r="B9" s="45">
        <v>0</v>
      </c>
      <c r="C9" s="45">
        <v>0</v>
      </c>
      <c r="D9" s="45">
        <v>0</v>
      </c>
      <c r="E9" s="45">
        <v>0</v>
      </c>
      <c r="F9" s="45">
        <v>0</v>
      </c>
      <c r="G9" s="45">
        <v>0</v>
      </c>
      <c r="H9" s="45">
        <v>0</v>
      </c>
      <c r="I9" s="45">
        <v>0</v>
      </c>
      <c r="J9" s="45">
        <v>0</v>
      </c>
      <c r="K9" s="45">
        <v>0</v>
      </c>
      <c r="L9" s="45">
        <v>0</v>
      </c>
      <c r="M9" s="49">
        <v>0</v>
      </c>
      <c r="N9" s="50">
        <v>0</v>
      </c>
      <c r="O9" s="45">
        <v>0</v>
      </c>
      <c r="P9" s="45">
        <v>0</v>
      </c>
      <c r="Q9" s="45">
        <v>0</v>
      </c>
      <c r="R9" s="45">
        <v>0</v>
      </c>
      <c r="S9" s="45">
        <v>0</v>
      </c>
      <c r="T9" s="45">
        <v>1.4410000000000001</v>
      </c>
      <c r="U9" s="45">
        <v>1.4410000000000001</v>
      </c>
      <c r="V9" s="45">
        <v>1.4410000000000001</v>
      </c>
      <c r="W9" s="45">
        <v>1.4410000000000001</v>
      </c>
      <c r="X9" s="45">
        <v>1.4410000000000001</v>
      </c>
      <c r="Y9" s="49">
        <v>6.4409999999999998</v>
      </c>
      <c r="Z9" s="45">
        <v>6.4409999999999998</v>
      </c>
      <c r="AA9" s="45">
        <v>6.4409999999999998</v>
      </c>
      <c r="AB9" s="45">
        <v>6.4409999999999998</v>
      </c>
      <c r="AC9" s="45">
        <v>6.4409999999999998</v>
      </c>
      <c r="AD9" s="45">
        <v>6.4409999999999998</v>
      </c>
      <c r="AE9" s="45">
        <v>6.4409999999999998</v>
      </c>
      <c r="AF9" s="45">
        <v>6.4409999999999998</v>
      </c>
      <c r="AG9" s="45">
        <v>6.4409999999999998</v>
      </c>
      <c r="AH9" s="45">
        <v>6.4409999999999998</v>
      </c>
      <c r="AI9" s="45">
        <v>6.4409999999999998</v>
      </c>
      <c r="AJ9" s="45">
        <v>6.4409999999999998</v>
      </c>
      <c r="AK9" s="49">
        <v>6.4409999999999998</v>
      </c>
      <c r="AL9" s="45">
        <v>6.4409999999999998</v>
      </c>
      <c r="AM9" s="45">
        <v>6.4409999999999998</v>
      </c>
      <c r="AN9" s="45">
        <v>93.528999999999996</v>
      </c>
      <c r="AO9" s="45">
        <v>99.16</v>
      </c>
      <c r="AP9" s="45">
        <v>118.131</v>
      </c>
      <c r="AQ9" s="45">
        <v>176.33500000000001</v>
      </c>
      <c r="AR9" s="45">
        <v>180.78800000000001</v>
      </c>
      <c r="AS9" s="45">
        <v>203.63399999999999</v>
      </c>
      <c r="AT9" s="45">
        <v>206.53399999999999</v>
      </c>
      <c r="AU9" s="45">
        <v>206.53399999999999</v>
      </c>
      <c r="AV9" s="45">
        <v>261.53500000000003</v>
      </c>
      <c r="AW9" s="49">
        <v>271.57900000000001</v>
      </c>
      <c r="AX9" s="45">
        <v>357.81900000000002</v>
      </c>
      <c r="AY9" s="45">
        <v>397.91199999999998</v>
      </c>
      <c r="AZ9" s="45">
        <v>1292.3420000000001</v>
      </c>
      <c r="BA9" s="45">
        <v>1301.3330000000001</v>
      </c>
      <c r="BB9" s="45">
        <v>1352.367</v>
      </c>
      <c r="BC9" s="45">
        <v>1412.1610000000001</v>
      </c>
      <c r="BD9" s="45">
        <v>1524.8610000000001</v>
      </c>
      <c r="BE9" s="45">
        <v>1535.962</v>
      </c>
      <c r="BF9" s="45">
        <v>1680.5409999999999</v>
      </c>
      <c r="BG9" s="45">
        <v>1784.5129999999999</v>
      </c>
      <c r="BH9" s="45">
        <v>1856.7940000000001</v>
      </c>
      <c r="BI9" s="49">
        <v>2068.0369999999998</v>
      </c>
      <c r="BJ9" s="45">
        <v>2100.4749999999999</v>
      </c>
      <c r="BK9" s="45">
        <v>2209.6840000000002</v>
      </c>
      <c r="BL9" s="45">
        <v>4426.5820000000003</v>
      </c>
      <c r="BM9" s="45">
        <v>4428.4669999999996</v>
      </c>
      <c r="BN9" s="45">
        <v>4433.09</v>
      </c>
      <c r="BO9" s="45">
        <v>4433.09</v>
      </c>
      <c r="BP9" s="45">
        <v>4453.4080000000004</v>
      </c>
      <c r="BQ9" s="45">
        <v>4487.8549999999996</v>
      </c>
      <c r="BR9" s="45">
        <v>4491.8459999999995</v>
      </c>
      <c r="BS9" s="45">
        <v>4543.027</v>
      </c>
      <c r="BT9" s="45">
        <v>4580.5209999999997</v>
      </c>
      <c r="BU9" s="49">
        <v>4673.1750000000002</v>
      </c>
      <c r="BV9" s="45">
        <v>4710.43</v>
      </c>
      <c r="BW9" s="45">
        <v>4784.7579999999998</v>
      </c>
      <c r="BX9" s="45">
        <v>5831.6030000000001</v>
      </c>
      <c r="BY9" s="45">
        <v>5873.0349999999999</v>
      </c>
      <c r="BZ9" s="45">
        <v>5883.0320000000002</v>
      </c>
      <c r="CA9" s="45">
        <v>5902.9979999999996</v>
      </c>
      <c r="CB9" s="45">
        <v>5912.9759999999997</v>
      </c>
      <c r="CC9" s="45">
        <v>5927.4250000000002</v>
      </c>
      <c r="CD9" s="45">
        <v>5937.0439999999999</v>
      </c>
      <c r="CE9" s="45">
        <v>5963.9189999999999</v>
      </c>
      <c r="CF9" s="45">
        <v>5986.9139999999998</v>
      </c>
      <c r="CG9" s="124">
        <v>6043.0919999999996</v>
      </c>
      <c r="CH9" s="69">
        <v>6061.5079999999998</v>
      </c>
      <c r="CI9" s="45">
        <v>6117.1620000000003</v>
      </c>
      <c r="CJ9" s="45">
        <v>6530.1610000000001</v>
      </c>
      <c r="CK9" s="45">
        <v>6538.15</v>
      </c>
      <c r="CL9" s="45">
        <v>6542.53</v>
      </c>
      <c r="CM9" s="45">
        <v>6542.53</v>
      </c>
      <c r="CN9" s="45">
        <v>6547.433</v>
      </c>
      <c r="CO9" s="45">
        <v>6547.433</v>
      </c>
      <c r="CP9" s="45">
        <v>6547.433</v>
      </c>
      <c r="CQ9" s="45">
        <v>6547.433</v>
      </c>
      <c r="CR9" s="45">
        <v>6547.433</v>
      </c>
      <c r="CS9" s="124">
        <v>6547.433</v>
      </c>
      <c r="CT9" s="69">
        <v>6547.433</v>
      </c>
      <c r="CU9" s="45">
        <v>6547.433</v>
      </c>
      <c r="CV9" s="45">
        <v>6547.433</v>
      </c>
      <c r="CW9" s="45">
        <v>6547.433</v>
      </c>
      <c r="CX9" s="45">
        <v>6547.433</v>
      </c>
      <c r="CY9" s="45">
        <v>6550.7250000000004</v>
      </c>
      <c r="CZ9" s="45">
        <v>6550.7250000000004</v>
      </c>
      <c r="DA9" s="45">
        <v>6550.7250000000004</v>
      </c>
      <c r="DB9" s="45">
        <v>6550.7250000000004</v>
      </c>
      <c r="DC9" s="45">
        <v>6550.7250000000004</v>
      </c>
      <c r="DD9" s="45">
        <v>6550.7250000000004</v>
      </c>
      <c r="DE9" s="124">
        <v>6550.7250000000004</v>
      </c>
      <c r="DF9" s="69">
        <v>6550.7250000000004</v>
      </c>
      <c r="DG9" s="45">
        <v>6550.7250000000004</v>
      </c>
      <c r="DH9" s="45">
        <v>6550.7250000000004</v>
      </c>
      <c r="DI9" s="45">
        <v>6550.7250000000004</v>
      </c>
      <c r="DJ9" s="45">
        <v>6550.7250000000004</v>
      </c>
      <c r="DK9" s="45">
        <v>6550.7250000000004</v>
      </c>
      <c r="DL9" s="45">
        <v>6550.7250000000004</v>
      </c>
      <c r="DM9" s="45">
        <v>6550.7250000000004</v>
      </c>
      <c r="DN9" s="45">
        <v>6550.7250000000004</v>
      </c>
      <c r="DO9" s="45">
        <v>6550.7250000000004</v>
      </c>
      <c r="DP9" s="45">
        <v>6550.7250000000004</v>
      </c>
      <c r="DQ9" s="124">
        <v>6550.7250000000004</v>
      </c>
      <c r="DR9" s="69">
        <v>6550.7250000000004</v>
      </c>
      <c r="DS9" s="45">
        <v>6550.7250000000004</v>
      </c>
      <c r="DT9" s="45">
        <v>6550.7250000000004</v>
      </c>
      <c r="DU9" s="45">
        <v>6550.7250000000004</v>
      </c>
      <c r="DV9" s="45">
        <v>6550.7250000000004</v>
      </c>
      <c r="DW9" s="45">
        <v>6550.7250000000004</v>
      </c>
      <c r="DX9" s="45">
        <v>6550.7250000000004</v>
      </c>
      <c r="DY9" s="45">
        <v>6550.7250000000004</v>
      </c>
      <c r="DZ9" s="45">
        <v>6550.7250000000004</v>
      </c>
      <c r="EA9" s="45">
        <v>6550.7250000000004</v>
      </c>
      <c r="EB9" s="45">
        <v>6550.7250000000004</v>
      </c>
      <c r="EC9" s="45">
        <v>6550.7250000000004</v>
      </c>
      <c r="ED9" s="69">
        <v>6550.7250000000004</v>
      </c>
      <c r="EE9" s="45">
        <v>6550.7250000000004</v>
      </c>
      <c r="EF9" s="45">
        <v>6550.7250000000004</v>
      </c>
      <c r="EG9" s="45">
        <v>6550.7250000000004</v>
      </c>
      <c r="EH9" s="45">
        <v>6550.7250000000004</v>
      </c>
      <c r="EI9" s="45">
        <v>6550.7250000000004</v>
      </c>
      <c r="EJ9" s="45">
        <v>6550.7250000000004</v>
      </c>
      <c r="EK9" s="45">
        <v>6550.7250000000004</v>
      </c>
      <c r="EL9" s="45">
        <v>6550.7250000000004</v>
      </c>
      <c r="EM9" s="45">
        <v>6550.7250000000004</v>
      </c>
      <c r="EN9" s="45">
        <v>6550.7250000000004</v>
      </c>
      <c r="EO9" s="45">
        <v>6550.7250000000004</v>
      </c>
      <c r="EP9" s="69">
        <v>6550.7250000000004</v>
      </c>
      <c r="EQ9" s="45">
        <v>6550.7250000000004</v>
      </c>
      <c r="ER9" s="45">
        <v>6550.7250000000004</v>
      </c>
      <c r="ES9" s="45">
        <v>6550.7250000000004</v>
      </c>
      <c r="ET9" s="45">
        <v>6550.7250000000004</v>
      </c>
      <c r="EU9" s="45">
        <v>6550.7250000000004</v>
      </c>
      <c r="EV9" s="45">
        <v>6550.7250000000004</v>
      </c>
      <c r="EW9" s="45">
        <v>6550.7250000000004</v>
      </c>
      <c r="EX9" s="45">
        <v>6550.7250000000004</v>
      </c>
      <c r="EY9" s="45">
        <v>6550.7250000000004</v>
      </c>
      <c r="EZ9" s="45">
        <v>6550.7250000000004</v>
      </c>
      <c r="FA9" s="82">
        <v>6550.7250000000004</v>
      </c>
      <c r="FB9" s="45">
        <v>6550.7250000000004</v>
      </c>
      <c r="FC9" s="45">
        <v>6550.7250000000004</v>
      </c>
      <c r="FD9" s="45">
        <v>6550.7250000000004</v>
      </c>
      <c r="FE9" s="45">
        <v>6550.7250000000004</v>
      </c>
      <c r="FF9" s="45">
        <v>6550.7250000000004</v>
      </c>
      <c r="FG9" s="45">
        <v>6550.7250000000004</v>
      </c>
      <c r="FH9" s="45">
        <v>6550.7250000000004</v>
      </c>
      <c r="FI9" s="45">
        <v>6550.7250000000004</v>
      </c>
      <c r="FJ9" s="45">
        <v>6550.7250000000004</v>
      </c>
      <c r="FK9" s="45">
        <v>6550.7250000000004</v>
      </c>
      <c r="FL9" s="45">
        <v>6550.7250000000004</v>
      </c>
      <c r="FM9" s="45">
        <v>6550.7250000000004</v>
      </c>
      <c r="FN9" s="69">
        <v>6550.7250000000004</v>
      </c>
      <c r="FO9" s="45">
        <v>6550.7250000000004</v>
      </c>
      <c r="FP9" s="45">
        <v>6550.7250000000004</v>
      </c>
      <c r="FQ9" s="45">
        <v>6550.7250000000004</v>
      </c>
      <c r="FR9" s="45">
        <v>6550.7250000000004</v>
      </c>
      <c r="FS9" s="45">
        <v>6550.7250000000004</v>
      </c>
      <c r="FT9" s="45">
        <v>6550.7250000000004</v>
      </c>
      <c r="FU9" s="45">
        <v>6550.7250000000004</v>
      </c>
      <c r="FV9" s="45">
        <v>6550.7250000000004</v>
      </c>
      <c r="FW9" s="45">
        <v>6550.7250000000004</v>
      </c>
      <c r="FX9" s="45">
        <v>6550.7250000000004</v>
      </c>
      <c r="FY9" s="45">
        <v>6550.7250000000004</v>
      </c>
      <c r="FZ9" s="69">
        <v>6550.7250000000004</v>
      </c>
      <c r="GA9" s="45">
        <v>6550.7250000000004</v>
      </c>
      <c r="GB9" s="45">
        <v>6550.7250000000004</v>
      </c>
      <c r="GC9" s="45">
        <v>6550.7250000000004</v>
      </c>
      <c r="GD9" s="45">
        <v>6550.7250000000004</v>
      </c>
      <c r="GE9" s="45">
        <v>6550.7250000000004</v>
      </c>
      <c r="GF9" s="45">
        <v>6550.7250000000004</v>
      </c>
      <c r="GG9" s="45">
        <v>6550.7250000000004</v>
      </c>
      <c r="GH9" s="45">
        <v>6550.7250000000004</v>
      </c>
      <c r="GI9" s="45">
        <v>6550.7250000000004</v>
      </c>
      <c r="GJ9" s="45">
        <v>6550.7250000000004</v>
      </c>
      <c r="GK9" s="45">
        <v>6550.7250000000004</v>
      </c>
      <c r="GL9" s="69">
        <v>6550.7250000000004</v>
      </c>
      <c r="GM9" s="45">
        <v>6550.7250000000004</v>
      </c>
      <c r="GN9" s="45">
        <v>6550.7250000000004</v>
      </c>
      <c r="GO9" s="45">
        <v>6550.7250000000004</v>
      </c>
      <c r="GP9" s="45">
        <v>6550.7250000000004</v>
      </c>
    </row>
    <row r="10" spans="1:198" s="1" customFormat="1" ht="20.149999999999999" customHeight="1" x14ac:dyDescent="0.35">
      <c r="A10" s="31" t="s">
        <v>280</v>
      </c>
      <c r="B10" s="45">
        <v>0.90400000000000003</v>
      </c>
      <c r="C10" s="45">
        <v>0.90400000000000003</v>
      </c>
      <c r="D10" s="45">
        <v>0.90400000000000003</v>
      </c>
      <c r="E10" s="45">
        <v>0.90400000000000003</v>
      </c>
      <c r="F10" s="45">
        <v>0.90400000000000003</v>
      </c>
      <c r="G10" s="45">
        <v>0.90400000000000003</v>
      </c>
      <c r="H10" s="45">
        <v>0.90400000000000003</v>
      </c>
      <c r="I10" s="45">
        <v>0.90400000000000003</v>
      </c>
      <c r="J10" s="45">
        <v>0.90400000000000003</v>
      </c>
      <c r="K10" s="45">
        <v>0.90400000000000003</v>
      </c>
      <c r="L10" s="45">
        <v>0.90400000000000003</v>
      </c>
      <c r="M10" s="49">
        <v>0.90400000000000003</v>
      </c>
      <c r="N10" s="50">
        <v>0.90400000000000003</v>
      </c>
      <c r="O10" s="45">
        <v>0.90400000000000003</v>
      </c>
      <c r="P10" s="45">
        <v>0.90400000000000003</v>
      </c>
      <c r="Q10" s="45">
        <v>0.90400000000000003</v>
      </c>
      <c r="R10" s="45">
        <v>0.90400000000000003</v>
      </c>
      <c r="S10" s="45">
        <v>0.90400000000000003</v>
      </c>
      <c r="T10" s="45">
        <v>0.90400000000000003</v>
      </c>
      <c r="U10" s="45">
        <v>0.90400000000000003</v>
      </c>
      <c r="V10" s="45">
        <v>0.90400000000000003</v>
      </c>
      <c r="W10" s="45">
        <v>5.7149999999999999</v>
      </c>
      <c r="X10" s="45">
        <v>5.7149999999999999</v>
      </c>
      <c r="Y10" s="49">
        <v>5.7149999999999999</v>
      </c>
      <c r="Z10" s="45">
        <v>5.7149999999999999</v>
      </c>
      <c r="AA10" s="45">
        <v>5.7149999999999999</v>
      </c>
      <c r="AB10" s="45">
        <v>6.72</v>
      </c>
      <c r="AC10" s="45">
        <v>6.72</v>
      </c>
      <c r="AD10" s="45">
        <v>6.72</v>
      </c>
      <c r="AE10" s="45">
        <v>6.782</v>
      </c>
      <c r="AF10" s="45">
        <v>6.782</v>
      </c>
      <c r="AG10" s="45">
        <v>6.782</v>
      </c>
      <c r="AH10" s="45">
        <v>6.782</v>
      </c>
      <c r="AI10" s="45">
        <v>6.782</v>
      </c>
      <c r="AJ10" s="45">
        <v>8.5980000000000008</v>
      </c>
      <c r="AK10" s="49">
        <v>8.5980000000000008</v>
      </c>
      <c r="AL10" s="45">
        <v>11.348000000000001</v>
      </c>
      <c r="AM10" s="45">
        <v>52.261000000000003</v>
      </c>
      <c r="AN10" s="45">
        <v>322.61099999999999</v>
      </c>
      <c r="AO10" s="45">
        <v>322.61099999999999</v>
      </c>
      <c r="AP10" s="45">
        <v>334.959</v>
      </c>
      <c r="AQ10" s="45">
        <v>334.959</v>
      </c>
      <c r="AR10" s="45">
        <v>335.22899999999998</v>
      </c>
      <c r="AS10" s="45">
        <v>335.28</v>
      </c>
      <c r="AT10" s="45">
        <v>335.28</v>
      </c>
      <c r="AU10" s="45">
        <v>335.33100000000002</v>
      </c>
      <c r="AV10" s="45">
        <v>335.33100000000002</v>
      </c>
      <c r="AW10" s="49">
        <v>335.428</v>
      </c>
      <c r="AX10" s="45">
        <v>335.428</v>
      </c>
      <c r="AY10" s="45">
        <v>367.75200000000001</v>
      </c>
      <c r="AZ10" s="45">
        <v>387.38099999999997</v>
      </c>
      <c r="BA10" s="45">
        <v>387.899</v>
      </c>
      <c r="BB10" s="45">
        <v>387.899</v>
      </c>
      <c r="BC10" s="45">
        <v>389.08300000000003</v>
      </c>
      <c r="BD10" s="45">
        <v>389.483</v>
      </c>
      <c r="BE10" s="45">
        <v>389.483</v>
      </c>
      <c r="BF10" s="45">
        <v>389.483</v>
      </c>
      <c r="BG10" s="45">
        <v>389.911</v>
      </c>
      <c r="BH10" s="45">
        <v>389.911</v>
      </c>
      <c r="BI10" s="49">
        <v>390.73700000000002</v>
      </c>
      <c r="BJ10" s="45">
        <v>397.16399999999999</v>
      </c>
      <c r="BK10" s="45">
        <v>397.16399999999999</v>
      </c>
      <c r="BL10" s="45">
        <v>399.952</v>
      </c>
      <c r="BM10" s="45">
        <v>399.952</v>
      </c>
      <c r="BN10" s="45">
        <v>401.14</v>
      </c>
      <c r="BO10" s="45">
        <v>401.50599999999997</v>
      </c>
      <c r="BP10" s="45">
        <v>401.50599999999997</v>
      </c>
      <c r="BQ10" s="45">
        <v>401.50599999999997</v>
      </c>
      <c r="BR10" s="45">
        <v>401.50599999999997</v>
      </c>
      <c r="BS10" s="45">
        <v>404.12799999999999</v>
      </c>
      <c r="BT10" s="45">
        <v>406.22899999999998</v>
      </c>
      <c r="BU10" s="49">
        <v>406.22899999999998</v>
      </c>
      <c r="BV10" s="45">
        <v>410.041</v>
      </c>
      <c r="BW10" s="45">
        <v>412.197</v>
      </c>
      <c r="BX10" s="45">
        <v>425.28100000000001</v>
      </c>
      <c r="BY10" s="45">
        <v>426.78100000000001</v>
      </c>
      <c r="BZ10" s="45">
        <v>426.78100000000001</v>
      </c>
      <c r="CA10" s="45">
        <v>428.06099999999998</v>
      </c>
      <c r="CB10" s="45">
        <v>428.06099999999998</v>
      </c>
      <c r="CC10" s="45">
        <v>428.06099999999998</v>
      </c>
      <c r="CD10" s="45">
        <v>428.06099999999998</v>
      </c>
      <c r="CE10" s="45">
        <v>428.06099999999998</v>
      </c>
      <c r="CF10" s="45">
        <v>428.06099999999998</v>
      </c>
      <c r="CG10" s="124">
        <v>428.06099999999998</v>
      </c>
      <c r="CH10" s="69">
        <v>428.06099999999998</v>
      </c>
      <c r="CI10" s="45">
        <v>428.06099999999998</v>
      </c>
      <c r="CJ10" s="45">
        <v>428.06099999999998</v>
      </c>
      <c r="CK10" s="45">
        <v>428.06099999999998</v>
      </c>
      <c r="CL10" s="45">
        <v>428.06099999999998</v>
      </c>
      <c r="CM10" s="45">
        <v>428.06099999999998</v>
      </c>
      <c r="CN10" s="45">
        <v>428.06099999999998</v>
      </c>
      <c r="CO10" s="45">
        <v>428.06099999999998</v>
      </c>
      <c r="CP10" s="45">
        <v>428.06099999999998</v>
      </c>
      <c r="CQ10" s="45">
        <v>428.06099999999998</v>
      </c>
      <c r="CR10" s="45">
        <v>428.06099999999998</v>
      </c>
      <c r="CS10" s="124">
        <v>428.06099999999998</v>
      </c>
      <c r="CT10" s="69">
        <v>428.06099999999998</v>
      </c>
      <c r="CU10" s="45">
        <v>428.06099999999998</v>
      </c>
      <c r="CV10" s="45">
        <v>428.06099999999998</v>
      </c>
      <c r="CW10" s="45">
        <v>428.06099999999998</v>
      </c>
      <c r="CX10" s="45">
        <v>428.06099999999998</v>
      </c>
      <c r="CY10" s="45">
        <v>428.06099999999998</v>
      </c>
      <c r="CZ10" s="45">
        <v>428.06099999999998</v>
      </c>
      <c r="DA10" s="45">
        <v>428.06099999999998</v>
      </c>
      <c r="DB10" s="45">
        <v>428.06099999999998</v>
      </c>
      <c r="DC10" s="45">
        <v>428.06099999999998</v>
      </c>
      <c r="DD10" s="45">
        <v>428.06099999999998</v>
      </c>
      <c r="DE10" s="124">
        <v>428.06099999999998</v>
      </c>
      <c r="DF10" s="69">
        <v>428.06099999999998</v>
      </c>
      <c r="DG10" s="45">
        <v>428.06099999999998</v>
      </c>
      <c r="DH10" s="45">
        <v>428.06099999999998</v>
      </c>
      <c r="DI10" s="45">
        <v>428.06099999999998</v>
      </c>
      <c r="DJ10" s="45">
        <v>428.06099999999998</v>
      </c>
      <c r="DK10" s="45">
        <v>428.06099999999998</v>
      </c>
      <c r="DL10" s="45">
        <v>428.06099999999998</v>
      </c>
      <c r="DM10" s="45">
        <v>428.06099999999998</v>
      </c>
      <c r="DN10" s="45">
        <v>428.06099999999998</v>
      </c>
      <c r="DO10" s="45">
        <v>428.06099999999998</v>
      </c>
      <c r="DP10" s="45">
        <v>428.06099999999998</v>
      </c>
      <c r="DQ10" s="124">
        <v>428.06099999999998</v>
      </c>
      <c r="DR10" s="69">
        <v>428.06099999999998</v>
      </c>
      <c r="DS10" s="45">
        <v>428.06099999999998</v>
      </c>
      <c r="DT10" s="45">
        <v>428.06099999999998</v>
      </c>
      <c r="DU10" s="45">
        <v>428.06099999999998</v>
      </c>
      <c r="DV10" s="45">
        <v>428.06099999999998</v>
      </c>
      <c r="DW10" s="45">
        <v>428.06099999999998</v>
      </c>
      <c r="DX10" s="45">
        <v>428.06099999999998</v>
      </c>
      <c r="DY10" s="45">
        <v>428.06099999999998</v>
      </c>
      <c r="DZ10" s="45">
        <v>428.06099999999998</v>
      </c>
      <c r="EA10" s="45">
        <v>428.06099999999998</v>
      </c>
      <c r="EB10" s="45">
        <v>428.06099999999998</v>
      </c>
      <c r="EC10" s="45">
        <v>428.06099999999998</v>
      </c>
      <c r="ED10" s="69">
        <v>428.06099999999998</v>
      </c>
      <c r="EE10" s="45">
        <v>428.06099999999998</v>
      </c>
      <c r="EF10" s="45">
        <v>428.06099999999998</v>
      </c>
      <c r="EG10" s="45">
        <v>428.06099999999998</v>
      </c>
      <c r="EH10" s="45">
        <v>428.06099999999998</v>
      </c>
      <c r="EI10" s="45">
        <v>428.06099999999998</v>
      </c>
      <c r="EJ10" s="45">
        <v>428.06099999999998</v>
      </c>
      <c r="EK10" s="45">
        <v>428.06099999999998</v>
      </c>
      <c r="EL10" s="45">
        <v>428.06099999999998</v>
      </c>
      <c r="EM10" s="45">
        <v>428.06099999999998</v>
      </c>
      <c r="EN10" s="45">
        <v>428.06099999999998</v>
      </c>
      <c r="EO10" s="45">
        <v>428.06099999999998</v>
      </c>
      <c r="EP10" s="69">
        <v>428.06099999999998</v>
      </c>
      <c r="EQ10" s="45">
        <v>428.06099999999998</v>
      </c>
      <c r="ER10" s="45">
        <v>428.06099999999998</v>
      </c>
      <c r="ES10" s="45">
        <v>428.06099999999998</v>
      </c>
      <c r="ET10" s="45">
        <v>428.06099999999998</v>
      </c>
      <c r="EU10" s="45">
        <v>428.06099999999998</v>
      </c>
      <c r="EV10" s="45">
        <v>428.06099999999998</v>
      </c>
      <c r="EW10" s="45">
        <v>428.06099999999998</v>
      </c>
      <c r="EX10" s="45">
        <v>428.06099999999998</v>
      </c>
      <c r="EY10" s="45">
        <v>428.06099999999998</v>
      </c>
      <c r="EZ10" s="45">
        <v>428.06099999999998</v>
      </c>
      <c r="FA10" s="82">
        <v>428.06099999999998</v>
      </c>
      <c r="FB10" s="45">
        <v>428.06099999999998</v>
      </c>
      <c r="FC10" s="45">
        <v>428.06099999999998</v>
      </c>
      <c r="FD10" s="45">
        <v>428.06099999999998</v>
      </c>
      <c r="FE10" s="45">
        <v>428.06099999999998</v>
      </c>
      <c r="FF10" s="45">
        <v>428.06099999999998</v>
      </c>
      <c r="FG10" s="45">
        <v>428.06099999999998</v>
      </c>
      <c r="FH10" s="45">
        <v>428.06099999999998</v>
      </c>
      <c r="FI10" s="45">
        <v>428.06099999999998</v>
      </c>
      <c r="FJ10" s="45">
        <v>428.06099999999998</v>
      </c>
      <c r="FK10" s="45">
        <v>428.06099999999998</v>
      </c>
      <c r="FL10" s="45">
        <v>428.06099999999998</v>
      </c>
      <c r="FM10" s="45">
        <v>428.06099999999998</v>
      </c>
      <c r="FN10" s="69">
        <v>451.28100000000001</v>
      </c>
      <c r="FO10" s="45">
        <v>451.28100000000001</v>
      </c>
      <c r="FP10" s="45">
        <v>455.75</v>
      </c>
      <c r="FQ10" s="45">
        <v>455.75</v>
      </c>
      <c r="FR10" s="45">
        <v>457.84699999999998</v>
      </c>
      <c r="FS10" s="45">
        <v>458.49700000000001</v>
      </c>
      <c r="FT10" s="45">
        <v>458.49700000000001</v>
      </c>
      <c r="FU10" s="45">
        <v>459.22300000000001</v>
      </c>
      <c r="FV10" s="45">
        <v>459.22300000000001</v>
      </c>
      <c r="FW10" s="45">
        <v>483.30500000000001</v>
      </c>
      <c r="FX10" s="45">
        <v>483.30500000000001</v>
      </c>
      <c r="FY10" s="45">
        <v>483.30500000000001</v>
      </c>
      <c r="FZ10" s="69">
        <v>483.30500000000001</v>
      </c>
      <c r="GA10" s="45">
        <v>483.30500000000001</v>
      </c>
      <c r="GB10" s="45">
        <v>483.30500000000001</v>
      </c>
      <c r="GC10" s="45">
        <v>483.30500000000001</v>
      </c>
      <c r="GD10" s="45">
        <v>483.30500000000001</v>
      </c>
      <c r="GE10" s="45">
        <v>483.30500000000001</v>
      </c>
      <c r="GF10" s="45">
        <v>483.30500000000001</v>
      </c>
      <c r="GG10" s="45">
        <v>483.30500000000001</v>
      </c>
      <c r="GH10" s="45">
        <v>483.30500000000001</v>
      </c>
      <c r="GI10" s="45">
        <v>483.30500000000001</v>
      </c>
      <c r="GJ10" s="45">
        <v>483.30500000000001</v>
      </c>
      <c r="GK10" s="45">
        <v>483.30500000000001</v>
      </c>
      <c r="GL10" s="69">
        <v>483.30500000000001</v>
      </c>
      <c r="GM10" s="45">
        <v>483.30500000000001</v>
      </c>
      <c r="GN10" s="45">
        <v>483.30500000000001</v>
      </c>
      <c r="GO10" s="45">
        <v>483.30500000000001</v>
      </c>
      <c r="GP10" s="45">
        <v>483.30500000000001</v>
      </c>
    </row>
    <row r="11" spans="1:198" s="1" customFormat="1" ht="20.149999999999999" customHeight="1" x14ac:dyDescent="0.35">
      <c r="A11" s="31" t="s">
        <v>281</v>
      </c>
      <c r="B11" s="45">
        <v>0</v>
      </c>
      <c r="C11" s="45">
        <v>0</v>
      </c>
      <c r="D11" s="45">
        <v>0</v>
      </c>
      <c r="E11" s="45">
        <v>0</v>
      </c>
      <c r="F11" s="45">
        <v>0</v>
      </c>
      <c r="G11" s="45">
        <v>0</v>
      </c>
      <c r="H11" s="45">
        <v>0</v>
      </c>
      <c r="I11" s="45">
        <v>0</v>
      </c>
      <c r="J11" s="45">
        <v>0</v>
      </c>
      <c r="K11" s="45">
        <v>0</v>
      </c>
      <c r="L11" s="45">
        <v>0</v>
      </c>
      <c r="M11" s="49">
        <v>0</v>
      </c>
      <c r="N11" s="50">
        <v>0</v>
      </c>
      <c r="O11" s="45">
        <v>0</v>
      </c>
      <c r="P11" s="45">
        <v>0</v>
      </c>
      <c r="Q11" s="45">
        <v>0</v>
      </c>
      <c r="R11" s="45">
        <v>0</v>
      </c>
      <c r="S11" s="45">
        <v>0</v>
      </c>
      <c r="T11" s="45">
        <v>0</v>
      </c>
      <c r="U11" s="45">
        <v>0</v>
      </c>
      <c r="V11" s="45">
        <v>0</v>
      </c>
      <c r="W11" s="45">
        <v>0</v>
      </c>
      <c r="X11" s="45">
        <v>0</v>
      </c>
      <c r="Y11" s="49">
        <v>0</v>
      </c>
      <c r="Z11" s="45">
        <v>0</v>
      </c>
      <c r="AA11" s="45">
        <v>0</v>
      </c>
      <c r="AB11" s="45">
        <v>0</v>
      </c>
      <c r="AC11" s="45">
        <v>0</v>
      </c>
      <c r="AD11" s="45">
        <v>0</v>
      </c>
      <c r="AE11" s="45">
        <v>0</v>
      </c>
      <c r="AF11" s="45">
        <v>0</v>
      </c>
      <c r="AG11" s="45">
        <v>0</v>
      </c>
      <c r="AH11" s="45">
        <v>0</v>
      </c>
      <c r="AI11" s="45">
        <v>0</v>
      </c>
      <c r="AJ11" s="45">
        <v>0</v>
      </c>
      <c r="AK11" s="49">
        <v>0</v>
      </c>
      <c r="AL11" s="45">
        <v>0</v>
      </c>
      <c r="AM11" s="45">
        <v>0</v>
      </c>
      <c r="AN11" s="45">
        <v>0</v>
      </c>
      <c r="AO11" s="45">
        <v>0</v>
      </c>
      <c r="AP11" s="45">
        <v>0</v>
      </c>
      <c r="AQ11" s="45">
        <v>0</v>
      </c>
      <c r="AR11" s="45">
        <v>0</v>
      </c>
      <c r="AS11" s="45">
        <v>0</v>
      </c>
      <c r="AT11" s="45">
        <v>0</v>
      </c>
      <c r="AU11" s="45">
        <v>0</v>
      </c>
      <c r="AV11" s="45">
        <v>0</v>
      </c>
      <c r="AW11" s="49">
        <v>0</v>
      </c>
      <c r="AX11" s="45">
        <v>0</v>
      </c>
      <c r="AY11" s="45">
        <v>0</v>
      </c>
      <c r="AZ11" s="45">
        <v>0</v>
      </c>
      <c r="BA11" s="45">
        <v>0</v>
      </c>
      <c r="BB11" s="45">
        <v>0</v>
      </c>
      <c r="BC11" s="45">
        <v>0</v>
      </c>
      <c r="BD11" s="45">
        <v>0</v>
      </c>
      <c r="BE11" s="45">
        <v>0</v>
      </c>
      <c r="BF11" s="45">
        <v>0</v>
      </c>
      <c r="BG11" s="45">
        <v>0</v>
      </c>
      <c r="BH11" s="45">
        <v>0</v>
      </c>
      <c r="BI11" s="49">
        <v>0</v>
      </c>
      <c r="BJ11" s="45">
        <v>0</v>
      </c>
      <c r="BK11" s="45">
        <v>0</v>
      </c>
      <c r="BL11" s="45">
        <v>0</v>
      </c>
      <c r="BM11" s="45">
        <v>0</v>
      </c>
      <c r="BN11" s="45">
        <v>0</v>
      </c>
      <c r="BO11" s="45">
        <v>0</v>
      </c>
      <c r="BP11" s="45">
        <v>0</v>
      </c>
      <c r="BQ11" s="45">
        <v>0</v>
      </c>
      <c r="BR11" s="45">
        <v>0</v>
      </c>
      <c r="BS11" s="45">
        <v>0</v>
      </c>
      <c r="BT11" s="45">
        <v>0</v>
      </c>
      <c r="BU11" s="49">
        <v>0</v>
      </c>
      <c r="BV11" s="45">
        <v>0</v>
      </c>
      <c r="BW11" s="45">
        <v>0</v>
      </c>
      <c r="BX11" s="45">
        <v>0</v>
      </c>
      <c r="BY11" s="45">
        <v>0</v>
      </c>
      <c r="BZ11" s="45">
        <v>0</v>
      </c>
      <c r="CA11" s="45">
        <v>11.94</v>
      </c>
      <c r="CB11" s="45">
        <v>11.94</v>
      </c>
      <c r="CC11" s="45">
        <v>11.94</v>
      </c>
      <c r="CD11" s="45">
        <v>11.94</v>
      </c>
      <c r="CE11" s="45">
        <v>11.94</v>
      </c>
      <c r="CF11" s="45">
        <v>11.94</v>
      </c>
      <c r="CG11" s="124">
        <v>11.94</v>
      </c>
      <c r="CH11" s="69">
        <v>11.94</v>
      </c>
      <c r="CI11" s="45">
        <v>11.94</v>
      </c>
      <c r="CJ11" s="45">
        <v>11.94</v>
      </c>
      <c r="CK11" s="45">
        <v>11.94</v>
      </c>
      <c r="CL11" s="45">
        <v>11.94</v>
      </c>
      <c r="CM11" s="45">
        <v>11.94</v>
      </c>
      <c r="CN11" s="45">
        <v>22.84</v>
      </c>
      <c r="CO11" s="45">
        <v>22.84</v>
      </c>
      <c r="CP11" s="45">
        <v>22.84</v>
      </c>
      <c r="CQ11" s="45">
        <v>22.84</v>
      </c>
      <c r="CR11" s="45">
        <v>22.84</v>
      </c>
      <c r="CS11" s="124">
        <v>22.84</v>
      </c>
      <c r="CT11" s="69">
        <v>22.84</v>
      </c>
      <c r="CU11" s="45">
        <v>22.84</v>
      </c>
      <c r="CV11" s="45">
        <v>22.84</v>
      </c>
      <c r="CW11" s="45">
        <v>22.84</v>
      </c>
      <c r="CX11" s="45">
        <v>22.84</v>
      </c>
      <c r="CY11" s="45">
        <v>22.84</v>
      </c>
      <c r="CZ11" s="45">
        <v>22.84</v>
      </c>
      <c r="DA11" s="45">
        <v>22.84</v>
      </c>
      <c r="DB11" s="45">
        <v>22.84</v>
      </c>
      <c r="DC11" s="45">
        <v>22.84</v>
      </c>
      <c r="DD11" s="45">
        <v>22.84</v>
      </c>
      <c r="DE11" s="124">
        <v>22.84</v>
      </c>
      <c r="DF11" s="69">
        <v>22.84</v>
      </c>
      <c r="DG11" s="45">
        <v>22.84</v>
      </c>
      <c r="DH11" s="45">
        <v>22.84</v>
      </c>
      <c r="DI11" s="45">
        <v>22.84</v>
      </c>
      <c r="DJ11" s="45">
        <v>22.84</v>
      </c>
      <c r="DK11" s="45">
        <v>22.84</v>
      </c>
      <c r="DL11" s="45">
        <v>22.84</v>
      </c>
      <c r="DM11" s="45">
        <v>22.84</v>
      </c>
      <c r="DN11" s="45">
        <v>22.84</v>
      </c>
      <c r="DO11" s="45">
        <v>22.84</v>
      </c>
      <c r="DP11" s="45">
        <v>22.84</v>
      </c>
      <c r="DQ11" s="124">
        <v>22.84</v>
      </c>
      <c r="DR11" s="69">
        <v>22.84</v>
      </c>
      <c r="DS11" s="45">
        <v>22.84</v>
      </c>
      <c r="DT11" s="45">
        <v>22.84</v>
      </c>
      <c r="DU11" s="45">
        <v>22.84</v>
      </c>
      <c r="DV11" s="45">
        <v>22.84</v>
      </c>
      <c r="DW11" s="45">
        <v>22.84</v>
      </c>
      <c r="DX11" s="45">
        <v>22.84</v>
      </c>
      <c r="DY11" s="45">
        <v>22.84</v>
      </c>
      <c r="DZ11" s="45">
        <v>22.84</v>
      </c>
      <c r="EA11" s="45">
        <v>22.84</v>
      </c>
      <c r="EB11" s="45">
        <v>22.84</v>
      </c>
      <c r="EC11" s="45">
        <v>22.84</v>
      </c>
      <c r="ED11" s="69">
        <v>22.84</v>
      </c>
      <c r="EE11" s="45">
        <v>22.84</v>
      </c>
      <c r="EF11" s="45">
        <v>22.84</v>
      </c>
      <c r="EG11" s="45">
        <v>22.84</v>
      </c>
      <c r="EH11" s="45">
        <v>22.84</v>
      </c>
      <c r="EI11" s="45">
        <v>22.84</v>
      </c>
      <c r="EJ11" s="45">
        <v>22.84</v>
      </c>
      <c r="EK11" s="45">
        <v>22.84</v>
      </c>
      <c r="EL11" s="45">
        <v>22.84</v>
      </c>
      <c r="EM11" s="45">
        <v>22.84</v>
      </c>
      <c r="EN11" s="45">
        <v>22.84</v>
      </c>
      <c r="EO11" s="45">
        <v>22.84</v>
      </c>
      <c r="EP11" s="69">
        <v>22.84</v>
      </c>
      <c r="EQ11" s="45">
        <v>22.84</v>
      </c>
      <c r="ER11" s="45">
        <v>22.84</v>
      </c>
      <c r="ES11" s="45">
        <v>22.84</v>
      </c>
      <c r="ET11" s="45">
        <v>22.84</v>
      </c>
      <c r="EU11" s="45">
        <v>22.84</v>
      </c>
      <c r="EV11" s="45">
        <v>22.84</v>
      </c>
      <c r="EW11" s="45">
        <v>22.84</v>
      </c>
      <c r="EX11" s="45">
        <v>22.84</v>
      </c>
      <c r="EY11" s="45">
        <v>22.84</v>
      </c>
      <c r="EZ11" s="45">
        <v>22.84</v>
      </c>
      <c r="FA11" s="82">
        <v>22.84</v>
      </c>
      <c r="FB11" s="45">
        <v>22.84</v>
      </c>
      <c r="FC11" s="45">
        <v>22.84</v>
      </c>
      <c r="FD11" s="45">
        <v>22.84</v>
      </c>
      <c r="FE11" s="45">
        <v>22.84</v>
      </c>
      <c r="FF11" s="45">
        <v>22.84</v>
      </c>
      <c r="FG11" s="45">
        <v>22.84</v>
      </c>
      <c r="FH11" s="45">
        <v>22.84</v>
      </c>
      <c r="FI11" s="45">
        <v>22.84</v>
      </c>
      <c r="FJ11" s="45">
        <v>22.84</v>
      </c>
      <c r="FK11" s="45">
        <v>22.84</v>
      </c>
      <c r="FL11" s="45">
        <v>22.84</v>
      </c>
      <c r="FM11" s="45">
        <v>22.84</v>
      </c>
      <c r="FN11" s="69">
        <v>22.84</v>
      </c>
      <c r="FO11" s="45">
        <v>22.84</v>
      </c>
      <c r="FP11" s="45">
        <v>22.84</v>
      </c>
      <c r="FQ11" s="45">
        <v>22.84</v>
      </c>
      <c r="FR11" s="45">
        <v>22.84</v>
      </c>
      <c r="FS11" s="45">
        <v>22.84</v>
      </c>
      <c r="FT11" s="45">
        <v>22.84</v>
      </c>
      <c r="FU11" s="45">
        <v>22.84</v>
      </c>
      <c r="FV11" s="45">
        <v>22.84</v>
      </c>
      <c r="FW11" s="45">
        <v>22.84</v>
      </c>
      <c r="FX11" s="45">
        <v>22.84</v>
      </c>
      <c r="FY11" s="45">
        <v>22.84</v>
      </c>
      <c r="FZ11" s="69">
        <v>117.316</v>
      </c>
      <c r="GA11" s="45">
        <v>117.316</v>
      </c>
      <c r="GB11" s="45">
        <v>140.316</v>
      </c>
      <c r="GC11" s="45">
        <v>148.316</v>
      </c>
      <c r="GD11" s="45">
        <v>186.57</v>
      </c>
      <c r="GE11" s="45">
        <v>226.63</v>
      </c>
      <c r="GF11" s="45">
        <v>336.63</v>
      </c>
      <c r="GG11" s="45">
        <v>363.33</v>
      </c>
      <c r="GH11" s="45">
        <v>363.33</v>
      </c>
      <c r="GI11" s="45">
        <v>401.21</v>
      </c>
      <c r="GJ11" s="45">
        <v>511</v>
      </c>
      <c r="GK11" s="45">
        <v>544.6</v>
      </c>
      <c r="GL11" s="69">
        <v>624.5</v>
      </c>
      <c r="GM11" s="45">
        <v>624.5</v>
      </c>
      <c r="GN11" s="45">
        <v>699.4</v>
      </c>
      <c r="GO11" s="45">
        <v>854.2</v>
      </c>
      <c r="GP11" s="45">
        <v>854.2</v>
      </c>
    </row>
    <row r="12" spans="1:198" s="1" customFormat="1" ht="20.149999999999999" customHeight="1" x14ac:dyDescent="0.35">
      <c r="A12" s="31" t="s">
        <v>282</v>
      </c>
      <c r="B12" s="46">
        <v>0.47199999999999998</v>
      </c>
      <c r="C12" s="46">
        <v>0.876</v>
      </c>
      <c r="D12" s="46">
        <v>1.407</v>
      </c>
      <c r="E12" s="46">
        <v>1.8320000000000001</v>
      </c>
      <c r="F12" s="46">
        <v>2.4740000000000002</v>
      </c>
      <c r="G12" s="46">
        <v>2.907</v>
      </c>
      <c r="H12" s="46">
        <v>3.6989999999999998</v>
      </c>
      <c r="I12" s="46">
        <v>4.2030000000000003</v>
      </c>
      <c r="J12" s="46">
        <v>4.8330000000000002</v>
      </c>
      <c r="K12" s="46">
        <v>5.702</v>
      </c>
      <c r="L12" s="46">
        <v>6.6390000000000002</v>
      </c>
      <c r="M12" s="48">
        <v>7.2160000000000002</v>
      </c>
      <c r="N12" s="47">
        <v>8.27</v>
      </c>
      <c r="O12" s="46">
        <v>9.343</v>
      </c>
      <c r="P12" s="46">
        <v>10.597</v>
      </c>
      <c r="Q12" s="46">
        <v>11.538</v>
      </c>
      <c r="R12" s="46">
        <v>12.576000000000001</v>
      </c>
      <c r="S12" s="46">
        <v>13.712999999999999</v>
      </c>
      <c r="T12" s="46">
        <v>15.106</v>
      </c>
      <c r="U12" s="46">
        <v>16.753</v>
      </c>
      <c r="V12" s="46">
        <v>18.75</v>
      </c>
      <c r="W12" s="46">
        <v>21.221</v>
      </c>
      <c r="X12" s="46">
        <v>27.789000000000001</v>
      </c>
      <c r="Y12" s="48">
        <v>37.241</v>
      </c>
      <c r="Z12" s="46">
        <v>44.378999999999998</v>
      </c>
      <c r="AA12" s="46">
        <v>50.747</v>
      </c>
      <c r="AB12" s="46">
        <v>56.262</v>
      </c>
      <c r="AC12" s="46">
        <v>57.795000000000002</v>
      </c>
      <c r="AD12" s="46">
        <v>59.752000000000002</v>
      </c>
      <c r="AE12" s="46">
        <v>62.048000000000002</v>
      </c>
      <c r="AF12" s="46">
        <v>68.116</v>
      </c>
      <c r="AG12" s="46">
        <v>69.436999999999998</v>
      </c>
      <c r="AH12" s="46">
        <v>70.789000000000001</v>
      </c>
      <c r="AI12" s="46">
        <v>72.843000000000004</v>
      </c>
      <c r="AJ12" s="46">
        <v>74.548000000000002</v>
      </c>
      <c r="AK12" s="48">
        <v>76.227000000000004</v>
      </c>
      <c r="AL12" s="46">
        <v>78.510000000000005</v>
      </c>
      <c r="AM12" s="46">
        <v>80.421000000000006</v>
      </c>
      <c r="AN12" s="46">
        <v>83.188999999999993</v>
      </c>
      <c r="AO12" s="46">
        <v>85.754999999999995</v>
      </c>
      <c r="AP12" s="46">
        <v>87.756</v>
      </c>
      <c r="AQ12" s="46">
        <v>90.433999999999997</v>
      </c>
      <c r="AR12" s="46">
        <v>92.263999999999996</v>
      </c>
      <c r="AS12" s="46">
        <v>94.274000000000001</v>
      </c>
      <c r="AT12" s="46">
        <v>96.822999999999993</v>
      </c>
      <c r="AU12" s="46">
        <v>99.397999999999996</v>
      </c>
      <c r="AV12" s="46">
        <v>102.642</v>
      </c>
      <c r="AW12" s="48">
        <v>116.733</v>
      </c>
      <c r="AX12" s="46">
        <v>118.908</v>
      </c>
      <c r="AY12" s="46">
        <v>121.157</v>
      </c>
      <c r="AZ12" s="46">
        <v>156.13999999999999</v>
      </c>
      <c r="BA12" s="46">
        <v>190.495</v>
      </c>
      <c r="BB12" s="46">
        <v>193.184</v>
      </c>
      <c r="BC12" s="46">
        <v>196.26499999999999</v>
      </c>
      <c r="BD12" s="46">
        <v>199.35400000000001</v>
      </c>
      <c r="BE12" s="46">
        <v>202.63200000000001</v>
      </c>
      <c r="BF12" s="46">
        <v>206.80699999999999</v>
      </c>
      <c r="BG12" s="46">
        <v>210.685</v>
      </c>
      <c r="BH12" s="46">
        <v>220.20400000000001</v>
      </c>
      <c r="BI12" s="48">
        <v>223.47300000000001</v>
      </c>
      <c r="BJ12" s="46">
        <v>250.12</v>
      </c>
      <c r="BK12" s="46">
        <v>259.471</v>
      </c>
      <c r="BL12" s="46">
        <v>282.08800000000002</v>
      </c>
      <c r="BM12" s="46">
        <v>285.697</v>
      </c>
      <c r="BN12" s="46">
        <v>292.45100000000002</v>
      </c>
      <c r="BO12" s="46">
        <v>303.14400000000001</v>
      </c>
      <c r="BP12" s="46">
        <v>308.00700000000001</v>
      </c>
      <c r="BQ12" s="46">
        <v>329.3</v>
      </c>
      <c r="BR12" s="46">
        <v>335.17899999999997</v>
      </c>
      <c r="BS12" s="46">
        <v>341.64699999999999</v>
      </c>
      <c r="BT12" s="46">
        <v>367.73200000000003</v>
      </c>
      <c r="BU12" s="48">
        <v>444.65499999999997</v>
      </c>
      <c r="BV12" s="46">
        <v>476.13099999999997</v>
      </c>
      <c r="BW12" s="46">
        <v>478.91300000000001</v>
      </c>
      <c r="BX12" s="46">
        <v>508.16</v>
      </c>
      <c r="BY12" s="46">
        <v>522.02800000000002</v>
      </c>
      <c r="BZ12" s="46">
        <v>524.69399999999996</v>
      </c>
      <c r="CA12" s="46">
        <v>568.70399999999995</v>
      </c>
      <c r="CB12" s="46">
        <v>587.05499999999995</v>
      </c>
      <c r="CC12" s="46">
        <v>609.53399999999999</v>
      </c>
      <c r="CD12" s="46">
        <v>613.89</v>
      </c>
      <c r="CE12" s="46">
        <v>618.03600000000006</v>
      </c>
      <c r="CF12" s="46">
        <v>622.44000000000005</v>
      </c>
      <c r="CG12" s="46">
        <v>631.44100000000003</v>
      </c>
      <c r="CH12" s="69">
        <v>646.21100000000001</v>
      </c>
      <c r="CI12" s="45">
        <v>649.03500000000008</v>
      </c>
      <c r="CJ12" s="45">
        <v>697.404</v>
      </c>
      <c r="CK12" s="45">
        <v>700.53600000000006</v>
      </c>
      <c r="CL12" s="45">
        <v>704.01300000000003</v>
      </c>
      <c r="CM12" s="45">
        <v>708.94800000000009</v>
      </c>
      <c r="CN12" s="45">
        <v>710.44099999999992</v>
      </c>
      <c r="CO12" s="45">
        <v>713.92899999999997</v>
      </c>
      <c r="CP12" s="45">
        <v>717.87699999999995</v>
      </c>
      <c r="CQ12" s="45">
        <v>733.29</v>
      </c>
      <c r="CR12" s="45">
        <v>737.83799999999997</v>
      </c>
      <c r="CS12" s="124">
        <v>741.197</v>
      </c>
      <c r="CT12" s="69">
        <v>745.66699999999992</v>
      </c>
      <c r="CU12" s="45">
        <v>749.34699999999998</v>
      </c>
      <c r="CV12" s="45">
        <v>753.77599999999995</v>
      </c>
      <c r="CW12" s="45">
        <v>757.66800000000001</v>
      </c>
      <c r="CX12" s="45">
        <v>763.45899999999995</v>
      </c>
      <c r="CY12" s="45">
        <v>767.92199999999991</v>
      </c>
      <c r="CZ12" s="45">
        <v>771.92199999999991</v>
      </c>
      <c r="DA12" s="45">
        <v>777.06</v>
      </c>
      <c r="DB12" s="45">
        <v>781.16099999999994</v>
      </c>
      <c r="DC12" s="45">
        <v>795.06499999999994</v>
      </c>
      <c r="DD12" s="46">
        <v>806.96499999999992</v>
      </c>
      <c r="DE12" s="46">
        <v>817.45999999999992</v>
      </c>
      <c r="DF12" s="69">
        <v>824.2829999999999</v>
      </c>
      <c r="DG12" s="45">
        <v>831.5859999999999</v>
      </c>
      <c r="DH12" s="46">
        <v>855.50399999999991</v>
      </c>
      <c r="DI12" s="45">
        <v>869.6099999999999</v>
      </c>
      <c r="DJ12" s="45">
        <v>876.45499999999993</v>
      </c>
      <c r="DK12" s="45">
        <v>884.90299999999991</v>
      </c>
      <c r="DL12" s="46">
        <v>902.15</v>
      </c>
      <c r="DM12" s="45">
        <v>916.64</v>
      </c>
      <c r="DN12" s="45">
        <v>940.178</v>
      </c>
      <c r="DO12" s="45">
        <v>952.94999999999993</v>
      </c>
      <c r="DP12" s="45">
        <v>965.30599999999993</v>
      </c>
      <c r="DQ12" s="46">
        <v>1009.6189999999999</v>
      </c>
      <c r="DR12" s="69">
        <v>1091.4869999999999</v>
      </c>
      <c r="DS12" s="45">
        <v>1107.6189999999999</v>
      </c>
      <c r="DT12" s="45">
        <v>1121.5029999999999</v>
      </c>
      <c r="DU12" s="45">
        <v>1126.5139999999999</v>
      </c>
      <c r="DV12" s="45">
        <v>1140.511</v>
      </c>
      <c r="DW12" s="45">
        <v>1150.8029999999999</v>
      </c>
      <c r="DX12" s="45">
        <v>1169.81</v>
      </c>
      <c r="DY12" s="45">
        <v>1186.729</v>
      </c>
      <c r="DZ12" s="45">
        <v>1202.3150000000001</v>
      </c>
      <c r="EA12" s="45">
        <v>1221.2059999999999</v>
      </c>
      <c r="EB12" s="45">
        <v>1239.2249999999999</v>
      </c>
      <c r="EC12" s="45">
        <v>1316.308</v>
      </c>
      <c r="ED12" s="69">
        <v>1338.0260000000001</v>
      </c>
      <c r="EE12" s="45">
        <v>1353.4089999999999</v>
      </c>
      <c r="EF12" s="45">
        <v>1488.1420000000001</v>
      </c>
      <c r="EG12" s="45">
        <v>1556.501</v>
      </c>
      <c r="EH12" s="45">
        <v>1583.117</v>
      </c>
      <c r="EI12" s="45">
        <v>1617.607</v>
      </c>
      <c r="EJ12" s="45">
        <v>1643.355</v>
      </c>
      <c r="EK12" s="45">
        <v>1664.8589999999999</v>
      </c>
      <c r="EL12" s="45">
        <v>1695.48</v>
      </c>
      <c r="EM12" s="45">
        <v>1721.5989999999999</v>
      </c>
      <c r="EN12" s="45">
        <v>1752.3799999999999</v>
      </c>
      <c r="EO12" s="45">
        <v>1776.1399999999999</v>
      </c>
      <c r="EP12" s="69">
        <v>1863.6130000000001</v>
      </c>
      <c r="EQ12" s="45">
        <v>1896.557</v>
      </c>
      <c r="ER12" s="45">
        <v>1949.328</v>
      </c>
      <c r="ES12" s="45">
        <v>1996.586</v>
      </c>
      <c r="ET12" s="45">
        <v>2056.3589999999999</v>
      </c>
      <c r="EU12" s="45">
        <v>2107.23</v>
      </c>
      <c r="EV12" s="45">
        <v>2178.2420000000002</v>
      </c>
      <c r="EW12" s="45">
        <v>2233.7720000000004</v>
      </c>
      <c r="EX12" s="45">
        <v>2318.2220000000002</v>
      </c>
      <c r="EY12" s="45">
        <v>2431.5610000000001</v>
      </c>
      <c r="EZ12" s="45">
        <v>2510.8230000000003</v>
      </c>
      <c r="FA12" s="82">
        <v>2633.5710000000004</v>
      </c>
      <c r="FB12" s="45">
        <v>3058.6110000000003</v>
      </c>
      <c r="FC12" s="45">
        <v>3422.7979999999998</v>
      </c>
      <c r="FD12" s="45">
        <v>3961.4270000000001</v>
      </c>
      <c r="FE12" s="45">
        <v>4049.9079999999999</v>
      </c>
      <c r="FF12" s="45">
        <v>4217.1019999999999</v>
      </c>
      <c r="FG12" s="45">
        <v>4368.768</v>
      </c>
      <c r="FH12" s="45">
        <v>4455.9950000000008</v>
      </c>
      <c r="FI12" s="45">
        <v>4542.5380000000005</v>
      </c>
      <c r="FJ12" s="45">
        <v>4728.9299999999994</v>
      </c>
      <c r="FK12" s="45">
        <v>4854.6729999999998</v>
      </c>
      <c r="FL12" s="45">
        <v>4977.7479999999996</v>
      </c>
      <c r="FM12" s="45">
        <v>5031.9029999999993</v>
      </c>
      <c r="FN12" s="69">
        <v>5163.6709999999994</v>
      </c>
      <c r="FO12" s="45">
        <v>5261.5819999999994</v>
      </c>
      <c r="FP12" s="45">
        <v>5494.6440000000002</v>
      </c>
      <c r="FQ12" s="45">
        <v>5621.8150000000005</v>
      </c>
      <c r="FR12" s="45">
        <v>5755.723</v>
      </c>
      <c r="FS12" s="45">
        <v>5923.0940000000001</v>
      </c>
      <c r="FT12" s="45">
        <v>6066.3440000000001</v>
      </c>
      <c r="FU12" s="45">
        <v>6174.4790000000003</v>
      </c>
      <c r="FV12" s="45">
        <v>6254.4520000000002</v>
      </c>
      <c r="FW12" s="45">
        <v>6596.1639999999998</v>
      </c>
      <c r="FX12" s="45">
        <v>6736.5259999999998</v>
      </c>
      <c r="FY12" s="45">
        <v>6842.2429999999995</v>
      </c>
      <c r="FZ12" s="69">
        <v>6941.7539999999999</v>
      </c>
      <c r="GA12" s="45">
        <v>7043.9809999999998</v>
      </c>
      <c r="GB12" s="45">
        <v>7374.4960000000001</v>
      </c>
      <c r="GC12" s="45">
        <v>7511.7950000000001</v>
      </c>
      <c r="GD12" s="45">
        <v>7613.2269999999999</v>
      </c>
      <c r="GE12" s="45">
        <v>7746.491</v>
      </c>
      <c r="GF12" s="45">
        <v>8212.732</v>
      </c>
      <c r="GG12" s="45">
        <v>8380.1180000000004</v>
      </c>
      <c r="GH12" s="45">
        <v>8533.7780000000002</v>
      </c>
      <c r="GI12" s="45">
        <v>8771.0810000000001</v>
      </c>
      <c r="GJ12" s="45">
        <v>8834.6710000000003</v>
      </c>
      <c r="GK12" s="45">
        <v>8942.9369999999999</v>
      </c>
      <c r="GL12" s="69">
        <v>8952.7870000000003</v>
      </c>
      <c r="GM12" s="45">
        <v>9054.8909999999996</v>
      </c>
      <c r="GN12" s="45">
        <v>9154.3130000000001</v>
      </c>
      <c r="GO12" s="45">
        <v>9108.7129999999997</v>
      </c>
      <c r="GP12" s="45">
        <v>9192.2259999999987</v>
      </c>
    </row>
    <row r="13" spans="1:198" s="25" customFormat="1" ht="20.149999999999999" customHeight="1" thickBot="1" x14ac:dyDescent="0.4">
      <c r="A13" s="32" t="s">
        <v>267</v>
      </c>
      <c r="B13" s="51">
        <f>SUM(B7:B12)</f>
        <v>14.226000000000001</v>
      </c>
      <c r="C13" s="52">
        <f t="shared" ref="C13:BN13" si="0">SUM(C7:C12)</f>
        <v>15.641999999999999</v>
      </c>
      <c r="D13" s="52">
        <f t="shared" si="0"/>
        <v>18.135000000000002</v>
      </c>
      <c r="E13" s="52">
        <f t="shared" si="0"/>
        <v>20.783000000000001</v>
      </c>
      <c r="F13" s="52">
        <f t="shared" si="0"/>
        <v>25.08</v>
      </c>
      <c r="G13" s="52">
        <f t="shared" si="0"/>
        <v>30.692</v>
      </c>
      <c r="H13" s="52">
        <f t="shared" si="0"/>
        <v>36.569000000000003</v>
      </c>
      <c r="I13" s="52">
        <f t="shared" si="0"/>
        <v>42.389000000000003</v>
      </c>
      <c r="J13" s="52">
        <f t="shared" si="0"/>
        <v>49.912000000000006</v>
      </c>
      <c r="K13" s="52">
        <f t="shared" si="0"/>
        <v>59.347000000000001</v>
      </c>
      <c r="L13" s="52">
        <f t="shared" si="0"/>
        <v>69.790000000000006</v>
      </c>
      <c r="M13" s="52">
        <f t="shared" si="0"/>
        <v>77.780999999999992</v>
      </c>
      <c r="N13" s="51">
        <f t="shared" si="0"/>
        <v>88.987999999999985</v>
      </c>
      <c r="O13" s="52">
        <f t="shared" si="0"/>
        <v>102.461</v>
      </c>
      <c r="P13" s="52">
        <f t="shared" si="0"/>
        <v>122.366</v>
      </c>
      <c r="Q13" s="52">
        <f t="shared" si="0"/>
        <v>146.791</v>
      </c>
      <c r="R13" s="52">
        <f t="shared" si="0"/>
        <v>170.43299999999999</v>
      </c>
      <c r="S13" s="52">
        <f t="shared" si="0"/>
        <v>204.38299999999998</v>
      </c>
      <c r="T13" s="52">
        <f t="shared" si="0"/>
        <v>362.21199999999993</v>
      </c>
      <c r="U13" s="52">
        <f t="shared" si="0"/>
        <v>408.14399999999995</v>
      </c>
      <c r="V13" s="52">
        <f t="shared" si="0"/>
        <v>480.05499999999995</v>
      </c>
      <c r="W13" s="52">
        <f t="shared" si="0"/>
        <v>601.59100000000001</v>
      </c>
      <c r="X13" s="52">
        <f t="shared" si="0"/>
        <v>800.08900000000006</v>
      </c>
      <c r="Y13" s="54">
        <f t="shared" si="0"/>
        <v>993.64600000000007</v>
      </c>
      <c r="Z13" s="52">
        <f t="shared" si="0"/>
        <v>1024.057</v>
      </c>
      <c r="AA13" s="52">
        <f t="shared" si="0"/>
        <v>1198.5980000000002</v>
      </c>
      <c r="AB13" s="52">
        <f t="shared" si="0"/>
        <v>1310.6979999999999</v>
      </c>
      <c r="AC13" s="52">
        <f t="shared" si="0"/>
        <v>1327.998</v>
      </c>
      <c r="AD13" s="52">
        <f t="shared" si="0"/>
        <v>1364.191</v>
      </c>
      <c r="AE13" s="52">
        <f t="shared" si="0"/>
        <v>1429.415</v>
      </c>
      <c r="AF13" s="52">
        <f t="shared" si="0"/>
        <v>1625.165</v>
      </c>
      <c r="AG13" s="52">
        <f t="shared" si="0"/>
        <v>1640.203</v>
      </c>
      <c r="AH13" s="52">
        <f t="shared" si="0"/>
        <v>1659.1290000000001</v>
      </c>
      <c r="AI13" s="52">
        <f t="shared" si="0"/>
        <v>1703.5140000000001</v>
      </c>
      <c r="AJ13" s="52">
        <f t="shared" si="0"/>
        <v>1731.8679999999999</v>
      </c>
      <c r="AK13" s="54">
        <f t="shared" si="0"/>
        <v>1754.402</v>
      </c>
      <c r="AL13" s="52">
        <f t="shared" si="0"/>
        <v>1782.9739999999999</v>
      </c>
      <c r="AM13" s="52">
        <f t="shared" si="0"/>
        <v>1853.2280000000001</v>
      </c>
      <c r="AN13" s="52">
        <f t="shared" si="0"/>
        <v>2250.3419999999996</v>
      </c>
      <c r="AO13" s="52">
        <f t="shared" si="0"/>
        <v>2311.5480000000002</v>
      </c>
      <c r="AP13" s="52">
        <f t="shared" si="0"/>
        <v>2381.2980000000002</v>
      </c>
      <c r="AQ13" s="52">
        <f t="shared" si="0"/>
        <v>2509.181</v>
      </c>
      <c r="AR13" s="52">
        <f t="shared" si="0"/>
        <v>2548.4500000000003</v>
      </c>
      <c r="AS13" s="52">
        <f t="shared" si="0"/>
        <v>2615.1519999999996</v>
      </c>
      <c r="AT13" s="52">
        <f t="shared" si="0"/>
        <v>2658.4259999999999</v>
      </c>
      <c r="AU13" s="52">
        <f t="shared" si="0"/>
        <v>2704.7160000000003</v>
      </c>
      <c r="AV13" s="52">
        <f t="shared" si="0"/>
        <v>2806.2799999999997</v>
      </c>
      <c r="AW13" s="54">
        <f t="shared" si="0"/>
        <v>2876.9770000000003</v>
      </c>
      <c r="AX13" s="52">
        <f t="shared" si="0"/>
        <v>2999.6139999999996</v>
      </c>
      <c r="AY13" s="52">
        <f t="shared" si="0"/>
        <v>3116.828</v>
      </c>
      <c r="AZ13" s="52">
        <f t="shared" si="0"/>
        <v>4157.1949999999997</v>
      </c>
      <c r="BA13" s="52">
        <f t="shared" si="0"/>
        <v>4242.3020000000006</v>
      </c>
      <c r="BB13" s="52">
        <f t="shared" si="0"/>
        <v>4343.880000000001</v>
      </c>
      <c r="BC13" s="52">
        <f t="shared" si="0"/>
        <v>4477.808</v>
      </c>
      <c r="BD13" s="52">
        <f t="shared" si="0"/>
        <v>4643.5720000000001</v>
      </c>
      <c r="BE13" s="52">
        <f t="shared" si="0"/>
        <v>4705.3739999999998</v>
      </c>
      <c r="BF13" s="52">
        <f t="shared" si="0"/>
        <v>4910.1149999999998</v>
      </c>
      <c r="BG13" s="52">
        <f t="shared" si="0"/>
        <v>5075.7940000000008</v>
      </c>
      <c r="BH13" s="52">
        <f t="shared" si="0"/>
        <v>5214.4889999999996</v>
      </c>
      <c r="BI13" s="54">
        <f t="shared" si="0"/>
        <v>5519.0469999999996</v>
      </c>
      <c r="BJ13" s="52">
        <f t="shared" si="0"/>
        <v>5616.7009999999991</v>
      </c>
      <c r="BK13" s="52">
        <f t="shared" si="0"/>
        <v>5778.866</v>
      </c>
      <c r="BL13" s="52">
        <f t="shared" si="0"/>
        <v>8146.2570000000005</v>
      </c>
      <c r="BM13" s="52">
        <f t="shared" si="0"/>
        <v>8195.6659999999993</v>
      </c>
      <c r="BN13" s="52">
        <f t="shared" si="0"/>
        <v>8260.25</v>
      </c>
      <c r="BO13" s="52">
        <f t="shared" ref="BO13:DZ13" si="1">SUM(BO7:BO12)</f>
        <v>8393.2729999999992</v>
      </c>
      <c r="BP13" s="52">
        <f t="shared" si="1"/>
        <v>8478.0930000000008</v>
      </c>
      <c r="BQ13" s="52">
        <f t="shared" si="1"/>
        <v>8594.9329999999991</v>
      </c>
      <c r="BR13" s="52">
        <f t="shared" si="1"/>
        <v>8722.1369999999988</v>
      </c>
      <c r="BS13" s="52">
        <f t="shared" si="1"/>
        <v>8891.469000000001</v>
      </c>
      <c r="BT13" s="52">
        <f t="shared" si="1"/>
        <v>9101.387999999999</v>
      </c>
      <c r="BU13" s="54">
        <f t="shared" si="1"/>
        <v>9782.9889999999996</v>
      </c>
      <c r="BV13" s="52">
        <f t="shared" si="1"/>
        <v>9946.9159999999993</v>
      </c>
      <c r="BW13" s="52">
        <f t="shared" si="1"/>
        <v>10050.951000000001</v>
      </c>
      <c r="BX13" s="52">
        <f t="shared" si="1"/>
        <v>11218.925000000001</v>
      </c>
      <c r="BY13" s="52">
        <f t="shared" si="1"/>
        <v>11285.044000000002</v>
      </c>
      <c r="BZ13" s="52">
        <f t="shared" si="1"/>
        <v>11328.33</v>
      </c>
      <c r="CA13" s="52">
        <f t="shared" si="1"/>
        <v>11546.356999999998</v>
      </c>
      <c r="CB13" s="52">
        <f t="shared" si="1"/>
        <v>11587.045</v>
      </c>
      <c r="CC13" s="52">
        <f t="shared" si="1"/>
        <v>11647.824000000001</v>
      </c>
      <c r="CD13" s="52">
        <f t="shared" si="1"/>
        <v>11691.589</v>
      </c>
      <c r="CE13" s="52">
        <f t="shared" si="1"/>
        <v>11732.035</v>
      </c>
      <c r="CF13" s="52">
        <f t="shared" si="1"/>
        <v>11773.912</v>
      </c>
      <c r="CG13" s="52">
        <f t="shared" si="1"/>
        <v>11850.244000000001</v>
      </c>
      <c r="CH13" s="125">
        <f t="shared" si="1"/>
        <v>11888.22</v>
      </c>
      <c r="CI13" s="52">
        <f t="shared" si="1"/>
        <v>11954.094000000001</v>
      </c>
      <c r="CJ13" s="52">
        <f t="shared" si="1"/>
        <v>12431.529</v>
      </c>
      <c r="CK13" s="52">
        <f t="shared" si="1"/>
        <v>12450.478999999999</v>
      </c>
      <c r="CL13" s="52">
        <f t="shared" si="1"/>
        <v>12468.221</v>
      </c>
      <c r="CM13" s="52">
        <f t="shared" si="1"/>
        <v>12485.161</v>
      </c>
      <c r="CN13" s="52">
        <f t="shared" si="1"/>
        <v>12513.842000000001</v>
      </c>
      <c r="CO13" s="52">
        <f t="shared" si="1"/>
        <v>12531.178</v>
      </c>
      <c r="CP13" s="52">
        <f t="shared" si="1"/>
        <v>12547.882</v>
      </c>
      <c r="CQ13" s="52">
        <f t="shared" si="1"/>
        <v>12572.490999999998</v>
      </c>
      <c r="CR13" s="52">
        <f t="shared" si="1"/>
        <v>12588.188</v>
      </c>
      <c r="CS13" s="52">
        <f t="shared" si="1"/>
        <v>12599.601000000001</v>
      </c>
      <c r="CT13" s="125">
        <f t="shared" si="1"/>
        <v>12611.868999999999</v>
      </c>
      <c r="CU13" s="52">
        <f t="shared" si="1"/>
        <v>12622.754000000001</v>
      </c>
      <c r="CV13" s="52">
        <f t="shared" si="1"/>
        <v>12639.267</v>
      </c>
      <c r="CW13" s="52">
        <f t="shared" si="1"/>
        <v>12653.039000000001</v>
      </c>
      <c r="CX13" s="52">
        <f t="shared" si="1"/>
        <v>12669.295000000002</v>
      </c>
      <c r="CY13" s="52">
        <f t="shared" si="1"/>
        <v>12689.714</v>
      </c>
      <c r="CZ13" s="52">
        <f t="shared" si="1"/>
        <v>12705.136</v>
      </c>
      <c r="DA13" s="52">
        <f t="shared" si="1"/>
        <v>12722.112999999999</v>
      </c>
      <c r="DB13" s="52">
        <f t="shared" si="1"/>
        <v>12739.355000000001</v>
      </c>
      <c r="DC13" s="52">
        <f t="shared" si="1"/>
        <v>12765.309000000001</v>
      </c>
      <c r="DD13" s="52">
        <f t="shared" si="1"/>
        <v>12792.335000000001</v>
      </c>
      <c r="DE13" s="52">
        <f t="shared" si="1"/>
        <v>12821.675999999999</v>
      </c>
      <c r="DF13" s="125">
        <f t="shared" si="1"/>
        <v>12845.494000000001</v>
      </c>
      <c r="DG13" s="52">
        <f t="shared" si="1"/>
        <v>12877.642</v>
      </c>
      <c r="DH13" s="52">
        <f t="shared" si="1"/>
        <v>12965.102999999999</v>
      </c>
      <c r="DI13" s="52">
        <f t="shared" si="1"/>
        <v>12983.362999999999</v>
      </c>
      <c r="DJ13" s="52">
        <f t="shared" si="1"/>
        <v>12990.991</v>
      </c>
      <c r="DK13" s="52">
        <f t="shared" si="1"/>
        <v>13001.206</v>
      </c>
      <c r="DL13" s="52">
        <f t="shared" si="1"/>
        <v>13019.837</v>
      </c>
      <c r="DM13" s="52">
        <f t="shared" si="1"/>
        <v>13036.643999999998</v>
      </c>
      <c r="DN13" s="52">
        <f t="shared" si="1"/>
        <v>13062.866</v>
      </c>
      <c r="DO13" s="52">
        <f t="shared" si="1"/>
        <v>13075.982000000002</v>
      </c>
      <c r="DP13" s="52">
        <f t="shared" si="1"/>
        <v>13088.800000000001</v>
      </c>
      <c r="DQ13" s="52">
        <f t="shared" si="1"/>
        <v>13133.484</v>
      </c>
      <c r="DR13" s="125">
        <f t="shared" si="1"/>
        <v>13215.975999999999</v>
      </c>
      <c r="DS13" s="52">
        <f t="shared" si="1"/>
        <v>13232.935000000001</v>
      </c>
      <c r="DT13" s="52">
        <f t="shared" si="1"/>
        <v>13249.029</v>
      </c>
      <c r="DU13" s="52">
        <f t="shared" si="1"/>
        <v>13254.039999999999</v>
      </c>
      <c r="DV13" s="52">
        <f t="shared" si="1"/>
        <v>13268.037</v>
      </c>
      <c r="DW13" s="52">
        <f t="shared" si="1"/>
        <v>13278.358999999999</v>
      </c>
      <c r="DX13" s="52">
        <f t="shared" si="1"/>
        <v>13297.396000000001</v>
      </c>
      <c r="DY13" s="52">
        <f t="shared" si="1"/>
        <v>13314.543</v>
      </c>
      <c r="DZ13" s="52">
        <f t="shared" si="1"/>
        <v>13330.342000000001</v>
      </c>
      <c r="EA13" s="52">
        <f t="shared" ref="EA13:GL13" si="2">SUM(EA7:EA12)</f>
        <v>13349.241</v>
      </c>
      <c r="EB13" s="52">
        <f t="shared" si="2"/>
        <v>13367.26</v>
      </c>
      <c r="EC13" s="52">
        <f t="shared" si="2"/>
        <v>13444.402999999998</v>
      </c>
      <c r="ED13" s="125">
        <f t="shared" si="2"/>
        <v>13466.170999999998</v>
      </c>
      <c r="EE13" s="52">
        <f t="shared" si="2"/>
        <v>13481.553999999998</v>
      </c>
      <c r="EF13" s="52">
        <f t="shared" si="2"/>
        <v>13616.286999999998</v>
      </c>
      <c r="EG13" s="52">
        <f t="shared" si="2"/>
        <v>13684.645999999999</v>
      </c>
      <c r="EH13" s="52">
        <f t="shared" si="2"/>
        <v>13711.261999999999</v>
      </c>
      <c r="EI13" s="52">
        <f t="shared" si="2"/>
        <v>13745.751999999999</v>
      </c>
      <c r="EJ13" s="52">
        <f t="shared" si="2"/>
        <v>13771.499999999998</v>
      </c>
      <c r="EK13" s="52">
        <f t="shared" si="2"/>
        <v>13793.003999999999</v>
      </c>
      <c r="EL13" s="52">
        <f t="shared" si="2"/>
        <v>13823.624999999998</v>
      </c>
      <c r="EM13" s="52">
        <f t="shared" si="2"/>
        <v>13849.743999999999</v>
      </c>
      <c r="EN13" s="52">
        <f t="shared" si="2"/>
        <v>13880.524999999998</v>
      </c>
      <c r="EO13" s="52">
        <f t="shared" si="2"/>
        <v>13904.284999999998</v>
      </c>
      <c r="EP13" s="125">
        <f t="shared" si="2"/>
        <v>13991.757999999998</v>
      </c>
      <c r="EQ13" s="52">
        <f t="shared" si="2"/>
        <v>14024.701999999999</v>
      </c>
      <c r="ER13" s="52">
        <f t="shared" si="2"/>
        <v>14077.472999999998</v>
      </c>
      <c r="ES13" s="52">
        <f t="shared" si="2"/>
        <v>14124.730999999998</v>
      </c>
      <c r="ET13" s="52">
        <f t="shared" si="2"/>
        <v>14184.503999999999</v>
      </c>
      <c r="EU13" s="52">
        <f t="shared" si="2"/>
        <v>14235.374999999998</v>
      </c>
      <c r="EV13" s="52">
        <f t="shared" si="2"/>
        <v>14306.386999999999</v>
      </c>
      <c r="EW13" s="52">
        <f t="shared" si="2"/>
        <v>14361.916999999999</v>
      </c>
      <c r="EX13" s="52">
        <f t="shared" si="2"/>
        <v>14446.366999999998</v>
      </c>
      <c r="EY13" s="52">
        <f t="shared" si="2"/>
        <v>14559.705999999998</v>
      </c>
      <c r="EZ13" s="52">
        <f t="shared" si="2"/>
        <v>14638.967999999999</v>
      </c>
      <c r="FA13" s="53">
        <f t="shared" si="2"/>
        <v>14761.715999999999</v>
      </c>
      <c r="FB13" s="52">
        <f t="shared" si="2"/>
        <v>15186.755999999999</v>
      </c>
      <c r="FC13" s="52">
        <f t="shared" si="2"/>
        <v>15550.942999999999</v>
      </c>
      <c r="FD13" s="52">
        <f t="shared" si="2"/>
        <v>16089.571999999998</v>
      </c>
      <c r="FE13" s="52">
        <f t="shared" si="2"/>
        <v>16178.052999999998</v>
      </c>
      <c r="FF13" s="52">
        <f t="shared" si="2"/>
        <v>16345.246999999999</v>
      </c>
      <c r="FG13" s="52">
        <f t="shared" si="2"/>
        <v>16496.913</v>
      </c>
      <c r="FH13" s="52">
        <f t="shared" si="2"/>
        <v>16584.14</v>
      </c>
      <c r="FI13" s="52">
        <f t="shared" si="2"/>
        <v>16670.682999999997</v>
      </c>
      <c r="FJ13" s="52">
        <f t="shared" si="2"/>
        <v>16857.074999999997</v>
      </c>
      <c r="FK13" s="52">
        <f t="shared" si="2"/>
        <v>16982.817999999999</v>
      </c>
      <c r="FL13" s="52">
        <f t="shared" si="2"/>
        <v>17105.892999999996</v>
      </c>
      <c r="FM13" s="52">
        <f t="shared" si="2"/>
        <v>17160.047999999999</v>
      </c>
      <c r="FN13" s="125">
        <f t="shared" si="2"/>
        <v>17315.036</v>
      </c>
      <c r="FO13" s="52">
        <f t="shared" si="2"/>
        <v>17412.947</v>
      </c>
      <c r="FP13" s="52">
        <f t="shared" si="2"/>
        <v>17650.477999999999</v>
      </c>
      <c r="FQ13" s="52">
        <f t="shared" si="2"/>
        <v>17777.648999999998</v>
      </c>
      <c r="FR13" s="52">
        <f t="shared" si="2"/>
        <v>17913.653999999999</v>
      </c>
      <c r="FS13" s="52">
        <f t="shared" si="2"/>
        <v>18081.674999999999</v>
      </c>
      <c r="FT13" s="52">
        <f t="shared" si="2"/>
        <v>18224.924999999999</v>
      </c>
      <c r="FU13" s="52">
        <f t="shared" si="2"/>
        <v>18333.786</v>
      </c>
      <c r="FV13" s="52">
        <f t="shared" si="2"/>
        <v>18413.758999999998</v>
      </c>
      <c r="FW13" s="52">
        <f t="shared" si="2"/>
        <v>18779.553</v>
      </c>
      <c r="FX13" s="52">
        <f t="shared" si="2"/>
        <v>18919.915000000001</v>
      </c>
      <c r="FY13" s="52">
        <f t="shared" si="2"/>
        <v>19025.631999999998</v>
      </c>
      <c r="FZ13" s="125">
        <f t="shared" si="2"/>
        <v>19219.618999999999</v>
      </c>
      <c r="GA13" s="52">
        <f t="shared" si="2"/>
        <v>19321.845999999998</v>
      </c>
      <c r="GB13" s="52">
        <f t="shared" si="2"/>
        <v>19675.361000000001</v>
      </c>
      <c r="GC13" s="52">
        <f t="shared" si="2"/>
        <v>19820.66</v>
      </c>
      <c r="GD13" s="52">
        <f t="shared" si="2"/>
        <v>19960.345999999998</v>
      </c>
      <c r="GE13" s="52">
        <f t="shared" si="2"/>
        <v>20133.669999999998</v>
      </c>
      <c r="GF13" s="52">
        <f t="shared" si="2"/>
        <v>20709.911</v>
      </c>
      <c r="GG13" s="52">
        <f t="shared" si="2"/>
        <v>20903.996999999999</v>
      </c>
      <c r="GH13" s="52">
        <f t="shared" si="2"/>
        <v>21057.656999999999</v>
      </c>
      <c r="GI13" s="52">
        <f t="shared" si="2"/>
        <v>21332.839999999997</v>
      </c>
      <c r="GJ13" s="52">
        <f t="shared" si="2"/>
        <v>21506.22</v>
      </c>
      <c r="GK13" s="52">
        <f t="shared" si="2"/>
        <v>21648.085999999999</v>
      </c>
      <c r="GL13" s="125">
        <f t="shared" si="2"/>
        <v>21737.835999999999</v>
      </c>
      <c r="GM13" s="52">
        <f t="shared" ref="GM13:GP13" si="3">SUM(GM7:GM12)</f>
        <v>21839.94</v>
      </c>
      <c r="GN13" s="52">
        <f t="shared" si="3"/>
        <v>22014.261999999999</v>
      </c>
      <c r="GO13" s="52">
        <f t="shared" si="3"/>
        <v>22123.462</v>
      </c>
      <c r="GP13" s="52">
        <f t="shared" si="3"/>
        <v>22206.974999999999</v>
      </c>
    </row>
    <row r="14" spans="1:198" s="30" customFormat="1" ht="20.149999999999999" customHeight="1" thickTop="1" x14ac:dyDescent="0.35">
      <c r="A14" s="26" t="s">
        <v>268</v>
      </c>
      <c r="B14" s="45"/>
      <c r="C14" s="45"/>
      <c r="D14" s="45"/>
      <c r="E14" s="45"/>
      <c r="F14" s="45"/>
      <c r="G14" s="45"/>
      <c r="H14" s="45"/>
      <c r="I14" s="45"/>
      <c r="J14" s="45"/>
      <c r="K14" s="45"/>
      <c r="L14" s="45"/>
      <c r="M14" s="49"/>
      <c r="N14" s="50"/>
      <c r="O14" s="45"/>
      <c r="P14" s="45"/>
      <c r="Q14" s="45"/>
      <c r="R14" s="45"/>
      <c r="S14" s="45"/>
      <c r="T14" s="45"/>
      <c r="U14" s="45"/>
      <c r="V14" s="45"/>
      <c r="W14" s="45"/>
      <c r="X14" s="45"/>
      <c r="Y14" s="49"/>
      <c r="Z14" s="45"/>
      <c r="AA14" s="45"/>
      <c r="AB14" s="45"/>
      <c r="AC14" s="45"/>
      <c r="AD14" s="45"/>
      <c r="AE14" s="45"/>
      <c r="AF14" s="45"/>
      <c r="AG14" s="45"/>
      <c r="AH14" s="45"/>
      <c r="AI14" s="45"/>
      <c r="AJ14" s="45"/>
      <c r="AK14" s="49"/>
      <c r="AL14" s="45"/>
      <c r="AM14" s="45"/>
      <c r="AN14" s="45"/>
      <c r="AO14" s="45"/>
      <c r="AP14" s="45"/>
      <c r="AQ14" s="45"/>
      <c r="AR14" s="45"/>
      <c r="AS14" s="45"/>
      <c r="AT14" s="45"/>
      <c r="AU14" s="45"/>
      <c r="AV14" s="45"/>
      <c r="AW14" s="49"/>
      <c r="AX14" s="45"/>
      <c r="AY14" s="45"/>
      <c r="AZ14" s="45"/>
      <c r="BA14" s="45"/>
      <c r="BB14" s="45"/>
      <c r="BC14" s="45"/>
      <c r="BD14" s="45"/>
      <c r="BE14" s="45"/>
      <c r="BF14" s="45"/>
      <c r="BG14" s="45"/>
      <c r="BH14" s="45"/>
      <c r="BI14" s="49"/>
      <c r="BJ14" s="45"/>
      <c r="BK14" s="45"/>
      <c r="BL14" s="45"/>
      <c r="BM14" s="45"/>
      <c r="BN14" s="45"/>
      <c r="BO14" s="45"/>
      <c r="BP14" s="45"/>
      <c r="BQ14" s="45"/>
      <c r="BR14" s="45"/>
      <c r="BS14" s="45"/>
      <c r="BT14" s="45"/>
      <c r="BU14" s="49"/>
      <c r="BV14" s="45"/>
      <c r="BW14" s="45"/>
      <c r="BX14" s="45"/>
      <c r="BY14" s="45"/>
      <c r="BZ14" s="45"/>
      <c r="CA14" s="45"/>
      <c r="CB14" s="45"/>
      <c r="CC14" s="45"/>
      <c r="CD14" s="45"/>
      <c r="CE14" s="45"/>
      <c r="CF14" s="45"/>
      <c r="CG14" s="124"/>
      <c r="CH14" s="69"/>
      <c r="CI14" s="45"/>
      <c r="CJ14" s="45"/>
      <c r="CK14" s="45"/>
      <c r="CL14" s="45"/>
      <c r="CM14" s="45"/>
      <c r="CN14" s="45"/>
      <c r="CO14" s="45"/>
      <c r="CP14" s="45"/>
      <c r="CQ14" s="45"/>
      <c r="CR14" s="45"/>
      <c r="CS14" s="124"/>
      <c r="CT14" s="69"/>
      <c r="CU14" s="45"/>
      <c r="CV14" s="45"/>
      <c r="CW14" s="45"/>
      <c r="CX14" s="45"/>
      <c r="CY14" s="45"/>
      <c r="CZ14" s="45"/>
      <c r="DA14" s="45"/>
      <c r="DB14" s="45"/>
      <c r="DC14" s="45"/>
      <c r="DD14" s="45"/>
      <c r="DE14" s="124"/>
      <c r="DF14" s="69"/>
      <c r="DG14" s="45"/>
      <c r="DH14" s="45"/>
      <c r="DI14" s="45"/>
      <c r="DJ14" s="45"/>
      <c r="DK14" s="45"/>
      <c r="DL14" s="45"/>
      <c r="DM14" s="45"/>
      <c r="DN14" s="45"/>
      <c r="DO14" s="45"/>
      <c r="DP14" s="45"/>
      <c r="DQ14" s="124"/>
      <c r="DR14" s="69"/>
      <c r="DS14" s="45"/>
      <c r="DT14" s="126"/>
      <c r="DU14" s="126"/>
      <c r="DV14" s="126"/>
      <c r="DW14" s="126"/>
      <c r="DX14" s="126"/>
      <c r="DY14" s="126"/>
      <c r="DZ14" s="126"/>
      <c r="EA14" s="126"/>
      <c r="EB14" s="126"/>
      <c r="EC14" s="126"/>
      <c r="ED14" s="69"/>
      <c r="EE14" s="45"/>
      <c r="EF14" s="126"/>
      <c r="EG14" s="126"/>
      <c r="EH14" s="126"/>
      <c r="EI14" s="126"/>
      <c r="EJ14" s="126"/>
      <c r="EK14" s="126"/>
      <c r="EL14" s="126"/>
      <c r="EM14" s="126"/>
      <c r="EN14" s="126"/>
      <c r="EO14" s="126"/>
      <c r="EP14" s="69"/>
      <c r="EQ14" s="45"/>
      <c r="ER14" s="126"/>
      <c r="ES14" s="126"/>
      <c r="ET14" s="126"/>
      <c r="EU14" s="126"/>
      <c r="EV14" s="126"/>
      <c r="EW14" s="126"/>
      <c r="EX14" s="126"/>
      <c r="EY14" s="126"/>
      <c r="EZ14" s="126"/>
      <c r="FA14" s="132"/>
      <c r="FB14" s="126"/>
      <c r="FC14" s="126"/>
      <c r="FD14" s="126"/>
      <c r="FE14" s="126"/>
      <c r="FF14" s="126"/>
      <c r="FG14" s="126"/>
      <c r="FH14" s="126"/>
      <c r="FI14" s="126"/>
      <c r="FJ14" s="126"/>
      <c r="FK14" s="126"/>
      <c r="FL14" s="126"/>
      <c r="FM14" s="126"/>
      <c r="FN14" s="172"/>
      <c r="FO14" s="126"/>
      <c r="FP14" s="126"/>
      <c r="FQ14" s="126"/>
      <c r="FR14" s="126"/>
      <c r="FS14" s="126"/>
      <c r="FT14" s="126"/>
      <c r="FU14" s="126"/>
      <c r="FV14" s="126"/>
      <c r="FW14" s="126"/>
      <c r="FX14" s="126"/>
      <c r="FY14" s="126"/>
      <c r="FZ14" s="172"/>
      <c r="GA14" s="126"/>
      <c r="GB14" s="126"/>
      <c r="GC14" s="126"/>
      <c r="GD14" s="126"/>
      <c r="GE14" s="126"/>
      <c r="GF14" s="126"/>
      <c r="GG14" s="126"/>
      <c r="GH14" s="126"/>
      <c r="GI14" s="126"/>
      <c r="GJ14" s="126"/>
      <c r="GK14" s="126"/>
      <c r="GL14" s="172"/>
      <c r="GM14" s="126"/>
      <c r="GN14" s="126"/>
      <c r="GO14" s="126"/>
      <c r="GP14" s="126"/>
    </row>
    <row r="15" spans="1:198" s="1" customFormat="1" ht="20.149999999999999" customHeight="1" x14ac:dyDescent="0.35">
      <c r="A15" s="31" t="s">
        <v>279</v>
      </c>
      <c r="B15" s="45">
        <v>0</v>
      </c>
      <c r="C15" s="45">
        <v>0</v>
      </c>
      <c r="D15" s="45">
        <v>0</v>
      </c>
      <c r="E15" s="45">
        <v>0</v>
      </c>
      <c r="F15" s="45">
        <v>0</v>
      </c>
      <c r="G15" s="45">
        <v>0</v>
      </c>
      <c r="H15" s="45">
        <v>0</v>
      </c>
      <c r="I15" s="45">
        <v>0</v>
      </c>
      <c r="J15" s="45">
        <v>0</v>
      </c>
      <c r="K15" s="45">
        <v>0</v>
      </c>
      <c r="L15" s="45">
        <v>0</v>
      </c>
      <c r="M15" s="49">
        <v>0</v>
      </c>
      <c r="N15" s="50">
        <v>0</v>
      </c>
      <c r="O15" s="45">
        <v>0</v>
      </c>
      <c r="P15" s="45">
        <v>0</v>
      </c>
      <c r="Q15" s="45">
        <v>0</v>
      </c>
      <c r="R15" s="45">
        <v>0</v>
      </c>
      <c r="S15" s="45">
        <v>0</v>
      </c>
      <c r="T15" s="45">
        <v>0</v>
      </c>
      <c r="U15" s="45">
        <v>0</v>
      </c>
      <c r="V15" s="45">
        <v>0</v>
      </c>
      <c r="W15" s="45">
        <v>0</v>
      </c>
      <c r="X15" s="45">
        <v>0</v>
      </c>
      <c r="Y15" s="49">
        <v>0</v>
      </c>
      <c r="Z15" s="45">
        <v>0</v>
      </c>
      <c r="AA15" s="45">
        <v>0</v>
      </c>
      <c r="AB15" s="45">
        <v>0</v>
      </c>
      <c r="AC15" s="45">
        <v>0</v>
      </c>
      <c r="AD15" s="45">
        <v>0</v>
      </c>
      <c r="AE15" s="45">
        <v>0</v>
      </c>
      <c r="AF15" s="45">
        <v>0</v>
      </c>
      <c r="AG15" s="45">
        <v>0</v>
      </c>
      <c r="AH15" s="45">
        <v>0</v>
      </c>
      <c r="AI15" s="45">
        <v>0</v>
      </c>
      <c r="AJ15" s="45">
        <v>0</v>
      </c>
      <c r="AK15" s="49">
        <v>0</v>
      </c>
      <c r="AL15" s="45">
        <v>0</v>
      </c>
      <c r="AM15" s="45">
        <v>0</v>
      </c>
      <c r="AN15" s="45">
        <v>0</v>
      </c>
      <c r="AO15" s="45">
        <v>0</v>
      </c>
      <c r="AP15" s="45">
        <v>0</v>
      </c>
      <c r="AQ15" s="45">
        <v>0</v>
      </c>
      <c r="AR15" s="45">
        <v>0</v>
      </c>
      <c r="AS15" s="45">
        <v>0</v>
      </c>
      <c r="AT15" s="45">
        <v>0</v>
      </c>
      <c r="AU15" s="45">
        <v>0</v>
      </c>
      <c r="AV15" s="45">
        <v>0</v>
      </c>
      <c r="AW15" s="49">
        <v>0</v>
      </c>
      <c r="AX15" s="45">
        <v>0</v>
      </c>
      <c r="AY15" s="45">
        <v>0</v>
      </c>
      <c r="AZ15" s="45">
        <v>0</v>
      </c>
      <c r="BA15" s="45">
        <v>0</v>
      </c>
      <c r="BB15" s="45">
        <v>0</v>
      </c>
      <c r="BC15" s="45">
        <v>0</v>
      </c>
      <c r="BD15" s="45">
        <v>0</v>
      </c>
      <c r="BE15" s="45">
        <v>0</v>
      </c>
      <c r="BF15" s="45">
        <v>0</v>
      </c>
      <c r="BG15" s="45">
        <v>0</v>
      </c>
      <c r="BH15" s="45">
        <v>0</v>
      </c>
      <c r="BI15" s="49">
        <v>0</v>
      </c>
      <c r="BJ15" s="45">
        <v>0</v>
      </c>
      <c r="BK15" s="45">
        <v>0</v>
      </c>
      <c r="BL15" s="45">
        <v>0</v>
      </c>
      <c r="BM15" s="45">
        <v>0</v>
      </c>
      <c r="BN15" s="45">
        <v>0</v>
      </c>
      <c r="BO15" s="45">
        <v>0</v>
      </c>
      <c r="BP15" s="45">
        <v>0</v>
      </c>
      <c r="BQ15" s="45">
        <v>0</v>
      </c>
      <c r="BR15" s="45">
        <v>0</v>
      </c>
      <c r="BS15" s="45">
        <v>0</v>
      </c>
      <c r="BT15" s="45">
        <v>0</v>
      </c>
      <c r="BU15" s="49">
        <v>0</v>
      </c>
      <c r="BV15" s="45">
        <v>0</v>
      </c>
      <c r="BW15" s="45">
        <v>0</v>
      </c>
      <c r="BX15" s="45">
        <v>0</v>
      </c>
      <c r="BY15" s="45">
        <v>5.1260000000000003</v>
      </c>
      <c r="BZ15" s="45">
        <v>9.9260000000000002</v>
      </c>
      <c r="CA15" s="45">
        <v>9.9260000000000002</v>
      </c>
      <c r="CB15" s="45">
        <v>9.9260000000000002</v>
      </c>
      <c r="CC15" s="45">
        <v>9.9260000000000002</v>
      </c>
      <c r="CD15" s="45">
        <v>9.9260000000000002</v>
      </c>
      <c r="CE15" s="45">
        <v>9.9260000000000002</v>
      </c>
      <c r="CF15" s="45">
        <v>9.9260000000000002</v>
      </c>
      <c r="CG15" s="124">
        <v>9.9260000000000002</v>
      </c>
      <c r="CH15" s="69">
        <v>9.9260000000000002</v>
      </c>
      <c r="CI15" s="45">
        <v>36.406999999999996</v>
      </c>
      <c r="CJ15" s="45">
        <v>116.36</v>
      </c>
      <c r="CK15" s="45">
        <v>116.36</v>
      </c>
      <c r="CL15" s="45">
        <v>116.36</v>
      </c>
      <c r="CM15" s="45">
        <v>116.36</v>
      </c>
      <c r="CN15" s="45">
        <v>116.36</v>
      </c>
      <c r="CO15" s="45">
        <v>116.36</v>
      </c>
      <c r="CP15" s="45">
        <v>116.36</v>
      </c>
      <c r="CQ15" s="45">
        <v>116.36</v>
      </c>
      <c r="CR15" s="45">
        <v>116.36</v>
      </c>
      <c r="CS15" s="124">
        <v>122.32</v>
      </c>
      <c r="CT15" s="69">
        <v>149.41999999999999</v>
      </c>
      <c r="CU15" s="45">
        <v>155.91999999999999</v>
      </c>
      <c r="CV15" s="45">
        <v>180.01400000000001</v>
      </c>
      <c r="CW15" s="45">
        <v>193.01400000000001</v>
      </c>
      <c r="CX15" s="45">
        <v>193.01400000000001</v>
      </c>
      <c r="CY15" s="45">
        <v>193.01400000000001</v>
      </c>
      <c r="CZ15" s="45">
        <v>193.01400000000001</v>
      </c>
      <c r="DA15" s="45">
        <v>193.01400000000001</v>
      </c>
      <c r="DB15" s="45">
        <v>193.01400000000001</v>
      </c>
      <c r="DC15" s="45">
        <v>193.01400000000001</v>
      </c>
      <c r="DD15" s="45">
        <v>193.01400000000001</v>
      </c>
      <c r="DE15" s="124">
        <v>193.01400000000001</v>
      </c>
      <c r="DF15" s="69">
        <v>193.01400000000001</v>
      </c>
      <c r="DG15" s="45">
        <v>193.01400000000001</v>
      </c>
      <c r="DH15" s="45">
        <v>193.01400000000001</v>
      </c>
      <c r="DI15" s="45">
        <v>193.01400000000001</v>
      </c>
      <c r="DJ15" s="45">
        <v>193.01400000000001</v>
      </c>
      <c r="DK15" s="45">
        <v>193.01400000000001</v>
      </c>
      <c r="DL15" s="45">
        <v>193.01400000000001</v>
      </c>
      <c r="DM15" s="45">
        <v>193.01400000000001</v>
      </c>
      <c r="DN15" s="45">
        <v>193.01400000000001</v>
      </c>
      <c r="DO15" s="45">
        <v>193.01400000000001</v>
      </c>
      <c r="DP15" s="45">
        <v>193.01400000000001</v>
      </c>
      <c r="DQ15" s="124">
        <v>193.01400000000001</v>
      </c>
      <c r="DR15" s="69">
        <v>193.01400000000001</v>
      </c>
      <c r="DS15" s="45">
        <v>193.01400000000001</v>
      </c>
      <c r="DT15" s="45">
        <v>193.01400000000001</v>
      </c>
      <c r="DU15" s="45">
        <v>193.01400000000001</v>
      </c>
      <c r="DV15" s="45">
        <v>193.01400000000001</v>
      </c>
      <c r="DW15" s="45">
        <v>193.01400000000001</v>
      </c>
      <c r="DX15" s="45">
        <v>193.01400000000001</v>
      </c>
      <c r="DY15" s="45">
        <v>193.01400000000001</v>
      </c>
      <c r="DZ15" s="45">
        <v>193.01400000000001</v>
      </c>
      <c r="EA15" s="45">
        <v>193.01400000000001</v>
      </c>
      <c r="EB15" s="45">
        <v>193.01400000000001</v>
      </c>
      <c r="EC15" s="45">
        <v>193.01400000000001</v>
      </c>
      <c r="ED15" s="69">
        <v>193.01400000000001</v>
      </c>
      <c r="EE15" s="45">
        <v>193.01400000000001</v>
      </c>
      <c r="EF15" s="45">
        <v>193.01400000000001</v>
      </c>
      <c r="EG15" s="45">
        <v>193.01400000000001</v>
      </c>
      <c r="EH15" s="45">
        <v>193.01400000000001</v>
      </c>
      <c r="EI15" s="45">
        <v>193.01400000000001</v>
      </c>
      <c r="EJ15" s="45">
        <v>193.01400000000001</v>
      </c>
      <c r="EK15" s="45">
        <v>193.01400000000001</v>
      </c>
      <c r="EL15" s="45">
        <v>193.01400000000001</v>
      </c>
      <c r="EM15" s="45">
        <v>193.01400000000001</v>
      </c>
      <c r="EN15" s="45">
        <v>193.01400000000001</v>
      </c>
      <c r="EO15" s="45">
        <v>193.01400000000001</v>
      </c>
      <c r="EP15" s="69">
        <v>193.01400000000001</v>
      </c>
      <c r="EQ15" s="45">
        <v>193.01400000000001</v>
      </c>
      <c r="ER15" s="45">
        <v>193.01400000000001</v>
      </c>
      <c r="ES15" s="45">
        <v>193.01400000000001</v>
      </c>
      <c r="ET15" s="45">
        <v>193.01400000000001</v>
      </c>
      <c r="EU15" s="45">
        <v>193.01400000000001</v>
      </c>
      <c r="EV15" s="45">
        <v>193.01400000000001</v>
      </c>
      <c r="EW15" s="45">
        <v>193.01400000000001</v>
      </c>
      <c r="EX15" s="45">
        <v>193.01400000000001</v>
      </c>
      <c r="EY15" s="45">
        <v>193.01400000000001</v>
      </c>
      <c r="EZ15" s="45">
        <v>193.01400000000001</v>
      </c>
      <c r="FA15" s="82">
        <v>193.01400000000001</v>
      </c>
      <c r="FB15" s="45">
        <v>193.01400000000001</v>
      </c>
      <c r="FC15" s="45">
        <v>193.01400000000001</v>
      </c>
      <c r="FD15" s="45">
        <v>193.01400000000001</v>
      </c>
      <c r="FE15" s="45">
        <v>193.01400000000001</v>
      </c>
      <c r="FF15" s="45">
        <v>193.01400000000001</v>
      </c>
      <c r="FG15" s="45">
        <v>193.01400000000001</v>
      </c>
      <c r="FH15" s="45">
        <v>193.01400000000001</v>
      </c>
      <c r="FI15" s="45">
        <v>193.01400000000001</v>
      </c>
      <c r="FJ15" s="45">
        <v>193.01400000000001</v>
      </c>
      <c r="FK15" s="45">
        <v>193.01400000000001</v>
      </c>
      <c r="FL15" s="45">
        <v>193.01400000000001</v>
      </c>
      <c r="FM15" s="45">
        <v>193.01400000000001</v>
      </c>
      <c r="FN15" s="69">
        <v>193.01400000000001</v>
      </c>
      <c r="FO15" s="45">
        <v>193.01400000000001</v>
      </c>
      <c r="FP15" s="45">
        <v>193.01400000000001</v>
      </c>
      <c r="FQ15" s="45">
        <v>193.01400000000001</v>
      </c>
      <c r="FR15" s="45">
        <v>193.01400000000001</v>
      </c>
      <c r="FS15" s="45">
        <v>193.01400000000001</v>
      </c>
      <c r="FT15" s="45">
        <v>193.01400000000001</v>
      </c>
      <c r="FU15" s="45">
        <v>193.01400000000001</v>
      </c>
      <c r="FV15" s="45">
        <v>193.01400000000001</v>
      </c>
      <c r="FW15" s="45">
        <v>193.01400000000001</v>
      </c>
      <c r="FX15" s="45">
        <v>193.01400000000001</v>
      </c>
      <c r="FY15" s="45">
        <v>193.01400000000001</v>
      </c>
      <c r="FZ15" s="69">
        <v>193.01400000000001</v>
      </c>
      <c r="GA15" s="45">
        <v>193.01400000000001</v>
      </c>
      <c r="GB15" s="45">
        <v>193.01400000000001</v>
      </c>
      <c r="GC15" s="45">
        <v>193.01400000000001</v>
      </c>
      <c r="GD15" s="45">
        <v>193.01400000000001</v>
      </c>
      <c r="GE15" s="45">
        <v>193.01400000000001</v>
      </c>
      <c r="GF15" s="45">
        <v>193.01400000000001</v>
      </c>
      <c r="GG15" s="45">
        <v>193.01400000000001</v>
      </c>
      <c r="GH15" s="45">
        <v>193.01400000000001</v>
      </c>
      <c r="GI15" s="45">
        <v>193.01400000000001</v>
      </c>
      <c r="GJ15" s="45">
        <v>193.01400000000001</v>
      </c>
      <c r="GK15" s="45">
        <v>193.01400000000001</v>
      </c>
      <c r="GL15" s="69">
        <v>193.01400000000001</v>
      </c>
      <c r="GM15" s="45">
        <v>193.01400000000001</v>
      </c>
      <c r="GN15" s="45">
        <v>193.01400000000001</v>
      </c>
      <c r="GO15" s="45">
        <v>193.01400000000001</v>
      </c>
      <c r="GP15" s="45">
        <v>193.01400000000001</v>
      </c>
    </row>
    <row r="16" spans="1:198" s="1" customFormat="1" ht="20.149999999999999" customHeight="1" x14ac:dyDescent="0.35">
      <c r="A16" s="31" t="s">
        <v>280</v>
      </c>
      <c r="B16" s="45">
        <v>1.046</v>
      </c>
      <c r="C16" s="45">
        <v>1.046</v>
      </c>
      <c r="D16" s="45">
        <v>1.0860000000000001</v>
      </c>
      <c r="E16" s="45">
        <v>1.099</v>
      </c>
      <c r="F16" s="45">
        <v>1.105</v>
      </c>
      <c r="G16" s="45">
        <v>1.133</v>
      </c>
      <c r="H16" s="45">
        <v>1.1519999999999999</v>
      </c>
      <c r="I16" s="45">
        <v>1.1559999999999999</v>
      </c>
      <c r="J16" s="45">
        <v>1.157</v>
      </c>
      <c r="K16" s="45">
        <v>1.1679999999999999</v>
      </c>
      <c r="L16" s="45">
        <v>1.1870000000000001</v>
      </c>
      <c r="M16" s="49">
        <v>1.198</v>
      </c>
      <c r="N16" s="50">
        <v>1.198</v>
      </c>
      <c r="O16" s="45">
        <v>1.2070000000000001</v>
      </c>
      <c r="P16" s="45">
        <v>1.222</v>
      </c>
      <c r="Q16" s="45">
        <v>1.23</v>
      </c>
      <c r="R16" s="45">
        <v>1.282</v>
      </c>
      <c r="S16" s="45">
        <v>1.3260000000000001</v>
      </c>
      <c r="T16" s="45">
        <v>1.3440000000000001</v>
      </c>
      <c r="U16" s="45">
        <v>1.3759999999999999</v>
      </c>
      <c r="V16" s="45">
        <v>1.4259999999999999</v>
      </c>
      <c r="W16" s="45">
        <v>1.536</v>
      </c>
      <c r="X16" s="45">
        <v>1.6539999999999999</v>
      </c>
      <c r="Y16" s="49">
        <v>1.823</v>
      </c>
      <c r="Z16" s="45">
        <v>2.0070000000000001</v>
      </c>
      <c r="AA16" s="45">
        <v>2.0910000000000002</v>
      </c>
      <c r="AB16" s="45">
        <v>2.2250000000000001</v>
      </c>
      <c r="AC16" s="45">
        <v>2.3180000000000001</v>
      </c>
      <c r="AD16" s="45">
        <v>2.3980000000000001</v>
      </c>
      <c r="AE16" s="45">
        <v>2.444</v>
      </c>
      <c r="AF16" s="45">
        <v>2.5449999999999999</v>
      </c>
      <c r="AG16" s="45">
        <v>2.992</v>
      </c>
      <c r="AH16" s="45">
        <v>3.4409999999999998</v>
      </c>
      <c r="AI16" s="45">
        <v>4.1970000000000001</v>
      </c>
      <c r="AJ16" s="45">
        <v>5.2530000000000001</v>
      </c>
      <c r="AK16" s="49">
        <v>5.88</v>
      </c>
      <c r="AL16" s="45">
        <v>6.7569999999999997</v>
      </c>
      <c r="AM16" s="45">
        <v>7.4640000000000004</v>
      </c>
      <c r="AN16" s="45">
        <v>8.4009999999999998</v>
      </c>
      <c r="AO16" s="45">
        <v>9.2189999999999994</v>
      </c>
      <c r="AP16" s="45">
        <v>10.486000000000001</v>
      </c>
      <c r="AQ16" s="45">
        <v>11.724</v>
      </c>
      <c r="AR16" s="45">
        <v>13.496</v>
      </c>
      <c r="AS16" s="45">
        <v>16.228999999999999</v>
      </c>
      <c r="AT16" s="45">
        <v>19.027999999999999</v>
      </c>
      <c r="AU16" s="45">
        <v>21.652000000000001</v>
      </c>
      <c r="AV16" s="45">
        <v>25.082999999999998</v>
      </c>
      <c r="AW16" s="49">
        <v>27.556000000000001</v>
      </c>
      <c r="AX16" s="45">
        <v>31.113</v>
      </c>
      <c r="AY16" s="45">
        <v>41.765999999999998</v>
      </c>
      <c r="AZ16" s="45">
        <v>43.645000000000003</v>
      </c>
      <c r="BA16" s="45">
        <v>45.414000000000001</v>
      </c>
      <c r="BB16" s="45">
        <v>48.319000000000003</v>
      </c>
      <c r="BC16" s="45">
        <v>50.898000000000003</v>
      </c>
      <c r="BD16" s="45">
        <v>53.667999999999999</v>
      </c>
      <c r="BE16" s="45">
        <v>55.831000000000003</v>
      </c>
      <c r="BF16" s="45">
        <v>58.496000000000002</v>
      </c>
      <c r="BG16" s="45">
        <v>61.058999999999997</v>
      </c>
      <c r="BH16" s="45">
        <v>63.398000000000003</v>
      </c>
      <c r="BI16" s="49">
        <v>66.753</v>
      </c>
      <c r="BJ16" s="45">
        <v>69.168999999999997</v>
      </c>
      <c r="BK16" s="45">
        <v>71.900999999999996</v>
      </c>
      <c r="BL16" s="45">
        <v>75.561999999999998</v>
      </c>
      <c r="BM16" s="45">
        <v>78.215999999999994</v>
      </c>
      <c r="BN16" s="45">
        <v>84.534999999999997</v>
      </c>
      <c r="BO16" s="45">
        <v>87.498999999999995</v>
      </c>
      <c r="BP16" s="45">
        <v>90.11</v>
      </c>
      <c r="BQ16" s="45">
        <v>95.194000000000003</v>
      </c>
      <c r="BR16" s="45">
        <v>106.988</v>
      </c>
      <c r="BS16" s="45">
        <v>108.589</v>
      </c>
      <c r="BT16" s="45">
        <v>110.104</v>
      </c>
      <c r="BU16" s="49">
        <v>111.648</v>
      </c>
      <c r="BV16" s="45">
        <v>113.247</v>
      </c>
      <c r="BW16" s="45">
        <v>114.84099999999999</v>
      </c>
      <c r="BX16" s="45">
        <v>116.634</v>
      </c>
      <c r="BY16" s="45">
        <v>118.235</v>
      </c>
      <c r="BZ16" s="45">
        <v>119.492</v>
      </c>
      <c r="CA16" s="45">
        <v>121.099</v>
      </c>
      <c r="CB16" s="45">
        <v>123.009</v>
      </c>
      <c r="CC16" s="45">
        <v>125.27</v>
      </c>
      <c r="CD16" s="45">
        <v>132.37799999999999</v>
      </c>
      <c r="CE16" s="45">
        <v>132.541</v>
      </c>
      <c r="CF16" s="45">
        <v>132.81</v>
      </c>
      <c r="CG16" s="124">
        <v>133.054</v>
      </c>
      <c r="CH16" s="69">
        <v>133.25399999999999</v>
      </c>
      <c r="CI16" s="45">
        <v>133.79900000000001</v>
      </c>
      <c r="CJ16" s="45">
        <v>136.066</v>
      </c>
      <c r="CK16" s="45">
        <v>136.066</v>
      </c>
      <c r="CL16" s="45">
        <v>136.066</v>
      </c>
      <c r="CM16" s="45">
        <v>136.066</v>
      </c>
      <c r="CN16" s="45">
        <v>136.066</v>
      </c>
      <c r="CO16" s="45">
        <v>136.066</v>
      </c>
      <c r="CP16" s="45">
        <v>136.066</v>
      </c>
      <c r="CQ16" s="45">
        <v>136.066</v>
      </c>
      <c r="CR16" s="45">
        <v>136.066</v>
      </c>
      <c r="CS16" s="124">
        <v>136.066</v>
      </c>
      <c r="CT16" s="69">
        <v>136.066</v>
      </c>
      <c r="CU16" s="45">
        <v>136.066</v>
      </c>
      <c r="CV16" s="45">
        <v>136.23500000000001</v>
      </c>
      <c r="CW16" s="45">
        <v>136.23500000000001</v>
      </c>
      <c r="CX16" s="45">
        <v>136.23500000000001</v>
      </c>
      <c r="CY16" s="45">
        <v>136.23500000000001</v>
      </c>
      <c r="CZ16" s="45">
        <v>136.23500000000001</v>
      </c>
      <c r="DA16" s="45">
        <v>136.23500000000001</v>
      </c>
      <c r="DB16" s="45">
        <v>136.23500000000001</v>
      </c>
      <c r="DC16" s="45">
        <v>136.23500000000001</v>
      </c>
      <c r="DD16" s="45">
        <v>136.23500000000001</v>
      </c>
      <c r="DE16" s="124">
        <v>136.23500000000001</v>
      </c>
      <c r="DF16" s="69">
        <v>136.23500000000001</v>
      </c>
      <c r="DG16" s="45">
        <v>136.23500000000001</v>
      </c>
      <c r="DH16" s="45">
        <v>136.23500000000001</v>
      </c>
      <c r="DI16" s="45">
        <v>136.23500000000001</v>
      </c>
      <c r="DJ16" s="45">
        <v>136.23500000000001</v>
      </c>
      <c r="DK16" s="45">
        <v>136.23500000000001</v>
      </c>
      <c r="DL16" s="45">
        <v>136.23500000000001</v>
      </c>
      <c r="DM16" s="45">
        <v>136.23500000000001</v>
      </c>
      <c r="DN16" s="45">
        <v>136.23500000000001</v>
      </c>
      <c r="DO16" s="45">
        <v>136.23500000000001</v>
      </c>
      <c r="DP16" s="45">
        <v>136.23500000000001</v>
      </c>
      <c r="DQ16" s="124">
        <v>136.23500000000001</v>
      </c>
      <c r="DR16" s="69">
        <v>136.23500000000001</v>
      </c>
      <c r="DS16" s="45">
        <v>136.23500000000001</v>
      </c>
      <c r="DT16" s="45">
        <v>136.23500000000001</v>
      </c>
      <c r="DU16" s="45">
        <v>136.23500000000001</v>
      </c>
      <c r="DV16" s="45">
        <v>136.23500000000001</v>
      </c>
      <c r="DW16" s="45">
        <v>136.23500000000001</v>
      </c>
      <c r="DX16" s="45">
        <v>136.23500000000001</v>
      </c>
      <c r="DY16" s="45">
        <v>136.23500000000001</v>
      </c>
      <c r="DZ16" s="45">
        <v>136.23500000000001</v>
      </c>
      <c r="EA16" s="45">
        <v>136.23500000000001</v>
      </c>
      <c r="EB16" s="45">
        <v>136.23500000000001</v>
      </c>
      <c r="EC16" s="45">
        <v>136.23500000000001</v>
      </c>
      <c r="ED16" s="69">
        <v>136.23500000000001</v>
      </c>
      <c r="EE16" s="45">
        <v>136.23500000000001</v>
      </c>
      <c r="EF16" s="45">
        <v>136.23500000000001</v>
      </c>
      <c r="EG16" s="45">
        <v>136.23500000000001</v>
      </c>
      <c r="EH16" s="45">
        <v>136.23500000000001</v>
      </c>
      <c r="EI16" s="45">
        <v>136.23500000000001</v>
      </c>
      <c r="EJ16" s="45">
        <v>136.23500000000001</v>
      </c>
      <c r="EK16" s="45">
        <v>136.23500000000001</v>
      </c>
      <c r="EL16" s="45">
        <v>136.23500000000001</v>
      </c>
      <c r="EM16" s="45">
        <v>136.23500000000001</v>
      </c>
      <c r="EN16" s="45">
        <v>136.23500000000001</v>
      </c>
      <c r="EO16" s="45">
        <v>136.23500000000001</v>
      </c>
      <c r="EP16" s="69">
        <v>136.23500000000001</v>
      </c>
      <c r="EQ16" s="45">
        <v>136.23500000000001</v>
      </c>
      <c r="ER16" s="45">
        <v>136.23500000000001</v>
      </c>
      <c r="ES16" s="45">
        <v>136.23500000000001</v>
      </c>
      <c r="ET16" s="45">
        <v>136.23500000000001</v>
      </c>
      <c r="EU16" s="45">
        <v>136.23500000000001</v>
      </c>
      <c r="EV16" s="45">
        <v>136.23500000000001</v>
      </c>
      <c r="EW16" s="45">
        <v>136.23500000000001</v>
      </c>
      <c r="EX16" s="45">
        <v>136.23500000000001</v>
      </c>
      <c r="EY16" s="45">
        <v>136.23500000000001</v>
      </c>
      <c r="EZ16" s="45">
        <v>136.23500000000001</v>
      </c>
      <c r="FA16" s="82">
        <v>136.23500000000001</v>
      </c>
      <c r="FB16" s="45">
        <v>136.23500000000001</v>
      </c>
      <c r="FC16" s="45">
        <v>136.23500000000001</v>
      </c>
      <c r="FD16" s="45">
        <v>136.23500000000001</v>
      </c>
      <c r="FE16" s="45">
        <v>136.23500000000001</v>
      </c>
      <c r="FF16" s="45">
        <v>136.23500000000001</v>
      </c>
      <c r="FG16" s="45">
        <v>136.23500000000001</v>
      </c>
      <c r="FH16" s="45">
        <v>136.23500000000001</v>
      </c>
      <c r="FI16" s="45">
        <v>136.23500000000001</v>
      </c>
      <c r="FJ16" s="45">
        <v>136.23500000000001</v>
      </c>
      <c r="FK16" s="45">
        <v>136.23500000000001</v>
      </c>
      <c r="FL16" s="45">
        <v>136.23500000000001</v>
      </c>
      <c r="FM16" s="45">
        <v>136.23500000000001</v>
      </c>
      <c r="FN16" s="69">
        <v>136.23500000000001</v>
      </c>
      <c r="FO16" s="45">
        <v>136.23500000000001</v>
      </c>
      <c r="FP16" s="45">
        <v>136.23500000000001</v>
      </c>
      <c r="FQ16" s="45">
        <v>136.23500000000001</v>
      </c>
      <c r="FR16" s="45">
        <v>136.23500000000001</v>
      </c>
      <c r="FS16" s="45">
        <v>136.23500000000001</v>
      </c>
      <c r="FT16" s="45">
        <v>136.23500000000001</v>
      </c>
      <c r="FU16" s="45">
        <v>136.23500000000001</v>
      </c>
      <c r="FV16" s="45">
        <v>136.23500000000001</v>
      </c>
      <c r="FW16" s="45">
        <v>136.23500000000001</v>
      </c>
      <c r="FX16" s="45">
        <v>136.23500000000001</v>
      </c>
      <c r="FY16" s="45">
        <v>136.23500000000001</v>
      </c>
      <c r="FZ16" s="69">
        <v>136.23500000000001</v>
      </c>
      <c r="GA16" s="45">
        <v>136.23500000000001</v>
      </c>
      <c r="GB16" s="45">
        <v>136.23500000000001</v>
      </c>
      <c r="GC16" s="45">
        <v>136.23500000000001</v>
      </c>
      <c r="GD16" s="45">
        <v>136.23500000000001</v>
      </c>
      <c r="GE16" s="45">
        <v>136.23500000000001</v>
      </c>
      <c r="GF16" s="45">
        <v>136.23500000000001</v>
      </c>
      <c r="GG16" s="45">
        <v>136.23500000000001</v>
      </c>
      <c r="GH16" s="45">
        <v>136.23500000000001</v>
      </c>
      <c r="GI16" s="45">
        <v>136.23500000000001</v>
      </c>
      <c r="GJ16" s="45">
        <v>136.23500000000001</v>
      </c>
      <c r="GK16" s="45">
        <v>136.23500000000001</v>
      </c>
      <c r="GL16" s="69">
        <v>136.23500000000001</v>
      </c>
      <c r="GM16" s="45">
        <v>136.23500000000001</v>
      </c>
      <c r="GN16" s="45">
        <v>136.23500000000001</v>
      </c>
      <c r="GO16" s="45">
        <v>136.23500000000001</v>
      </c>
      <c r="GP16" s="45">
        <v>136.23500000000001</v>
      </c>
    </row>
    <row r="17" spans="1:200" s="1" customFormat="1" ht="20.149999999999999" customHeight="1" x14ac:dyDescent="0.35">
      <c r="A17" s="31" t="s">
        <v>283</v>
      </c>
      <c r="B17" s="46">
        <v>0</v>
      </c>
      <c r="C17" s="46">
        <v>0</v>
      </c>
      <c r="D17" s="46">
        <v>0</v>
      </c>
      <c r="E17" s="46">
        <v>0</v>
      </c>
      <c r="F17" s="46">
        <v>0</v>
      </c>
      <c r="G17" s="46">
        <v>0</v>
      </c>
      <c r="H17" s="46">
        <v>0</v>
      </c>
      <c r="I17" s="46">
        <v>0</v>
      </c>
      <c r="J17" s="46">
        <v>0</v>
      </c>
      <c r="K17" s="46">
        <v>0</v>
      </c>
      <c r="L17" s="46">
        <v>0</v>
      </c>
      <c r="M17" s="48">
        <v>0</v>
      </c>
      <c r="N17" s="47">
        <v>0</v>
      </c>
      <c r="O17" s="46">
        <v>0</v>
      </c>
      <c r="P17" s="46">
        <v>0</v>
      </c>
      <c r="Q17" s="46">
        <v>0</v>
      </c>
      <c r="R17" s="46">
        <v>0</v>
      </c>
      <c r="S17" s="46">
        <v>0</v>
      </c>
      <c r="T17" s="46">
        <v>0</v>
      </c>
      <c r="U17" s="46">
        <v>0</v>
      </c>
      <c r="V17" s="46">
        <v>0</v>
      </c>
      <c r="W17" s="46">
        <v>0</v>
      </c>
      <c r="X17" s="46">
        <v>0</v>
      </c>
      <c r="Y17" s="48">
        <v>0</v>
      </c>
      <c r="Z17" s="46">
        <v>0</v>
      </c>
      <c r="AA17" s="46">
        <v>0</v>
      </c>
      <c r="AB17" s="46">
        <v>0</v>
      </c>
      <c r="AC17" s="46">
        <v>0</v>
      </c>
      <c r="AD17" s="46">
        <v>0</v>
      </c>
      <c r="AE17" s="46">
        <v>0</v>
      </c>
      <c r="AF17" s="46">
        <v>0</v>
      </c>
      <c r="AG17" s="46">
        <v>0</v>
      </c>
      <c r="AH17" s="46">
        <v>0</v>
      </c>
      <c r="AI17" s="46">
        <v>0.05</v>
      </c>
      <c r="AJ17" s="46">
        <v>0.05</v>
      </c>
      <c r="AK17" s="48">
        <v>0.05</v>
      </c>
      <c r="AL17" s="46">
        <v>0.05</v>
      </c>
      <c r="AM17" s="46">
        <v>0.05</v>
      </c>
      <c r="AN17" s="46">
        <v>0.05</v>
      </c>
      <c r="AO17" s="46">
        <v>0.05</v>
      </c>
      <c r="AP17" s="46">
        <v>0.05</v>
      </c>
      <c r="AQ17" s="46">
        <v>0.05</v>
      </c>
      <c r="AR17" s="46">
        <v>0.05</v>
      </c>
      <c r="AS17" s="46">
        <v>0.05</v>
      </c>
      <c r="AT17" s="46">
        <v>0.05</v>
      </c>
      <c r="AU17" s="46">
        <v>0.05</v>
      </c>
      <c r="AV17" s="46">
        <v>0.05</v>
      </c>
      <c r="AW17" s="48">
        <v>0.05</v>
      </c>
      <c r="AX17" s="46">
        <v>0.05</v>
      </c>
      <c r="AY17" s="46">
        <v>0.05</v>
      </c>
      <c r="AZ17" s="46">
        <v>0.05</v>
      </c>
      <c r="BA17" s="46">
        <v>0.05</v>
      </c>
      <c r="BB17" s="46">
        <v>0.05</v>
      </c>
      <c r="BC17" s="46">
        <v>0.05</v>
      </c>
      <c r="BD17" s="46">
        <v>0.05</v>
      </c>
      <c r="BE17" s="46">
        <v>0.09</v>
      </c>
      <c r="BF17" s="46">
        <v>0.09</v>
      </c>
      <c r="BG17" s="46">
        <v>0.09</v>
      </c>
      <c r="BH17" s="46">
        <v>0.09</v>
      </c>
      <c r="BI17" s="48">
        <v>0.09</v>
      </c>
      <c r="BJ17" s="46">
        <v>0.09</v>
      </c>
      <c r="BK17" s="46">
        <v>0.09</v>
      </c>
      <c r="BL17" s="46">
        <v>0.09</v>
      </c>
      <c r="BM17" s="46">
        <v>0.09</v>
      </c>
      <c r="BN17" s="46">
        <v>0.09</v>
      </c>
      <c r="BO17" s="46">
        <v>0.09</v>
      </c>
      <c r="BP17" s="46">
        <v>0.09</v>
      </c>
      <c r="BQ17" s="46">
        <v>0.09</v>
      </c>
      <c r="BR17" s="46">
        <v>0.09</v>
      </c>
      <c r="BS17" s="46">
        <v>0.09</v>
      </c>
      <c r="BT17" s="46">
        <v>0.09</v>
      </c>
      <c r="BU17" s="48">
        <v>0.09</v>
      </c>
      <c r="BV17" s="46">
        <v>0.09</v>
      </c>
      <c r="BW17" s="46">
        <v>0.09</v>
      </c>
      <c r="BX17" s="46">
        <v>0.09</v>
      </c>
      <c r="BY17" s="46">
        <v>0.09</v>
      </c>
      <c r="BZ17" s="46">
        <v>0.09</v>
      </c>
      <c r="CA17" s="46">
        <v>0.09</v>
      </c>
      <c r="CB17" s="46">
        <v>0.09</v>
      </c>
      <c r="CC17" s="46">
        <v>0.09</v>
      </c>
      <c r="CD17" s="46">
        <v>0.09</v>
      </c>
      <c r="CE17" s="46">
        <v>0.09</v>
      </c>
      <c r="CF17" s="46">
        <v>0.09</v>
      </c>
      <c r="CG17" s="46">
        <v>0.09</v>
      </c>
      <c r="CH17" s="69">
        <v>0.72699999999999998</v>
      </c>
      <c r="CI17" s="45">
        <v>1.393</v>
      </c>
      <c r="CJ17" s="45">
        <v>3.2829999999999999</v>
      </c>
      <c r="CK17" s="45">
        <v>3.3570000000000002</v>
      </c>
      <c r="CL17" s="45">
        <v>3.4489999999999998</v>
      </c>
      <c r="CM17" s="45">
        <v>3.653</v>
      </c>
      <c r="CN17" s="45">
        <v>3.7029999999999998</v>
      </c>
      <c r="CO17" s="45">
        <v>3.8149999999999999</v>
      </c>
      <c r="CP17" s="45">
        <v>3.9049999999999998</v>
      </c>
      <c r="CQ17" s="45">
        <v>3.984</v>
      </c>
      <c r="CR17" s="45">
        <v>4.2080000000000002</v>
      </c>
      <c r="CS17" s="124">
        <v>10.323</v>
      </c>
      <c r="CT17" s="69">
        <v>10.366</v>
      </c>
      <c r="CU17" s="45">
        <v>10.451000000000001</v>
      </c>
      <c r="CV17" s="45">
        <v>10.632999999999999</v>
      </c>
      <c r="CW17" s="45">
        <v>10.771000000000001</v>
      </c>
      <c r="CX17" s="45">
        <v>17.343</v>
      </c>
      <c r="CY17" s="45">
        <v>17.411999999999999</v>
      </c>
      <c r="CZ17" s="45">
        <v>17.478000000000002</v>
      </c>
      <c r="DA17" s="45">
        <v>17.667999999999999</v>
      </c>
      <c r="DB17" s="45">
        <v>17.718</v>
      </c>
      <c r="DC17" s="45">
        <v>17.861000000000001</v>
      </c>
      <c r="DD17" s="46">
        <v>17.966000000000001</v>
      </c>
      <c r="DE17" s="46">
        <v>18.052</v>
      </c>
      <c r="DF17" s="69">
        <v>18.177</v>
      </c>
      <c r="DG17" s="45">
        <v>18.344999999999999</v>
      </c>
      <c r="DH17" s="46">
        <v>18.393999999999998</v>
      </c>
      <c r="DI17" s="45">
        <v>18.425000000000001</v>
      </c>
      <c r="DJ17" s="45">
        <v>18.478999999999999</v>
      </c>
      <c r="DK17" s="45">
        <v>18.585000000000001</v>
      </c>
      <c r="DL17" s="45">
        <v>18.657</v>
      </c>
      <c r="DM17" s="45">
        <v>18.734999999999999</v>
      </c>
      <c r="DN17" s="45">
        <v>18.905999999999999</v>
      </c>
      <c r="DO17" s="45">
        <v>19.001000000000001</v>
      </c>
      <c r="DP17" s="45">
        <v>19.058</v>
      </c>
      <c r="DQ17" s="46">
        <v>19.093</v>
      </c>
      <c r="DR17" s="69">
        <v>19.164000000000001</v>
      </c>
      <c r="DS17" s="45">
        <v>19.238</v>
      </c>
      <c r="DT17" s="45">
        <v>19.295999999999999</v>
      </c>
      <c r="DU17" s="45">
        <v>19.312000000000001</v>
      </c>
      <c r="DV17" s="45">
        <v>19.315000000000001</v>
      </c>
      <c r="DW17" s="45">
        <v>19.420000000000002</v>
      </c>
      <c r="DX17" s="45">
        <v>19.527000000000001</v>
      </c>
      <c r="DY17" s="45">
        <v>19.712</v>
      </c>
      <c r="DZ17" s="45">
        <v>19.838999999999999</v>
      </c>
      <c r="EA17" s="45">
        <v>19.888000000000002</v>
      </c>
      <c r="EB17" s="45">
        <v>19.957000000000001</v>
      </c>
      <c r="EC17" s="45">
        <v>19.981000000000002</v>
      </c>
      <c r="ED17" s="69">
        <v>20.088999999999999</v>
      </c>
      <c r="EE17" s="45">
        <v>20.149999999999999</v>
      </c>
      <c r="EF17" s="45">
        <v>20.268999999999998</v>
      </c>
      <c r="EG17" s="45">
        <v>20.449000000000002</v>
      </c>
      <c r="EH17" s="45">
        <v>20.696999999999999</v>
      </c>
      <c r="EI17" s="45">
        <v>20.995999999999999</v>
      </c>
      <c r="EJ17" s="45">
        <v>21.14</v>
      </c>
      <c r="EK17" s="45">
        <v>21.385999999999999</v>
      </c>
      <c r="EL17" s="45">
        <v>21.791</v>
      </c>
      <c r="EM17" s="45">
        <v>22.056999999999999</v>
      </c>
      <c r="EN17" s="45">
        <v>22.568999999999999</v>
      </c>
      <c r="EO17" s="45">
        <v>22.803000000000001</v>
      </c>
      <c r="EP17" s="69">
        <v>23.364999999999998</v>
      </c>
      <c r="EQ17" s="45">
        <v>23.783999999999999</v>
      </c>
      <c r="ER17" s="45">
        <v>24.382999999999999</v>
      </c>
      <c r="ES17" s="45">
        <v>24.896000000000001</v>
      </c>
      <c r="ET17" s="45">
        <v>25.873000000000001</v>
      </c>
      <c r="EU17" s="45">
        <v>26.733000000000001</v>
      </c>
      <c r="EV17" s="45">
        <v>27.509</v>
      </c>
      <c r="EW17" s="45">
        <v>28.402999999999999</v>
      </c>
      <c r="EX17" s="45">
        <v>29.513000000000002</v>
      </c>
      <c r="EY17" s="45">
        <v>30.773</v>
      </c>
      <c r="EZ17" s="45">
        <v>32.232999999999997</v>
      </c>
      <c r="FA17" s="82">
        <v>33.167000000000002</v>
      </c>
      <c r="FB17" s="45">
        <v>34.423000000000002</v>
      </c>
      <c r="FC17" s="45">
        <v>35.604999999999997</v>
      </c>
      <c r="FD17" s="45">
        <v>36.68</v>
      </c>
      <c r="FE17" s="45">
        <v>37.570999999999998</v>
      </c>
      <c r="FF17" s="45">
        <v>38.661000000000001</v>
      </c>
      <c r="FG17" s="45">
        <v>39.722999999999999</v>
      </c>
      <c r="FH17" s="45">
        <v>40.633000000000003</v>
      </c>
      <c r="FI17" s="45">
        <v>41.674999999999997</v>
      </c>
      <c r="FJ17" s="45">
        <v>42.768000000000001</v>
      </c>
      <c r="FK17" s="45">
        <v>44.423999999999999</v>
      </c>
      <c r="FL17" s="45">
        <v>45.381</v>
      </c>
      <c r="FM17" s="45">
        <v>46.081000000000003</v>
      </c>
      <c r="FN17" s="69">
        <v>46.713999999999999</v>
      </c>
      <c r="FO17" s="45">
        <v>47.654000000000003</v>
      </c>
      <c r="FP17" s="45">
        <v>48.207999999999998</v>
      </c>
      <c r="FQ17" s="45">
        <v>49.381999999999998</v>
      </c>
      <c r="FR17" s="45">
        <v>50.253999999999998</v>
      </c>
      <c r="FS17" s="45">
        <v>51.383000000000003</v>
      </c>
      <c r="FT17" s="45">
        <v>52.462000000000003</v>
      </c>
      <c r="FU17" s="45">
        <v>53.506999999999998</v>
      </c>
      <c r="FV17" s="45">
        <v>54.374000000000002</v>
      </c>
      <c r="FW17" s="45">
        <v>55.332000000000001</v>
      </c>
      <c r="FX17" s="45">
        <v>56.503</v>
      </c>
      <c r="FY17" s="45">
        <v>57.194000000000003</v>
      </c>
      <c r="FZ17" s="69">
        <v>57.957999999999998</v>
      </c>
      <c r="GA17" s="45">
        <v>58.914000000000001</v>
      </c>
      <c r="GB17" s="45">
        <v>60.098999999999997</v>
      </c>
      <c r="GC17" s="45">
        <v>61.207000000000001</v>
      </c>
      <c r="GD17" s="45">
        <v>63.094999999999999</v>
      </c>
      <c r="GE17" s="45">
        <v>64.879000000000005</v>
      </c>
      <c r="GF17" s="45">
        <v>66.19</v>
      </c>
      <c r="GG17" s="45">
        <v>67.694999999999993</v>
      </c>
      <c r="GH17" s="45">
        <v>69.072999999999993</v>
      </c>
      <c r="GI17" s="45">
        <v>70.878</v>
      </c>
      <c r="GJ17" s="45">
        <v>72.596000000000004</v>
      </c>
      <c r="GK17" s="45">
        <v>73.581000000000003</v>
      </c>
      <c r="GL17" s="69">
        <v>75.027000000000001</v>
      </c>
      <c r="GM17" s="45">
        <v>76.552000000000007</v>
      </c>
      <c r="GN17" s="45">
        <v>78.488</v>
      </c>
      <c r="GO17" s="45">
        <v>80.620999999999995</v>
      </c>
      <c r="GP17" s="45">
        <v>82.171999999999997</v>
      </c>
    </row>
    <row r="18" spans="1:200" s="25" customFormat="1" ht="20.149999999999999" customHeight="1" thickBot="1" x14ac:dyDescent="0.4">
      <c r="A18" s="32" t="s">
        <v>267</v>
      </c>
      <c r="B18" s="52">
        <f>SUM(B15:B17)</f>
        <v>1.046</v>
      </c>
      <c r="C18" s="52">
        <f t="shared" ref="C18:BN18" si="4">SUM(C15:C17)</f>
        <v>1.046</v>
      </c>
      <c r="D18" s="52">
        <f t="shared" si="4"/>
        <v>1.0860000000000001</v>
      </c>
      <c r="E18" s="52">
        <f t="shared" si="4"/>
        <v>1.099</v>
      </c>
      <c r="F18" s="52">
        <f t="shared" si="4"/>
        <v>1.105</v>
      </c>
      <c r="G18" s="52">
        <f t="shared" si="4"/>
        <v>1.133</v>
      </c>
      <c r="H18" s="52">
        <f t="shared" si="4"/>
        <v>1.1519999999999999</v>
      </c>
      <c r="I18" s="52">
        <f t="shared" si="4"/>
        <v>1.1559999999999999</v>
      </c>
      <c r="J18" s="52">
        <f t="shared" si="4"/>
        <v>1.157</v>
      </c>
      <c r="K18" s="52">
        <f t="shared" si="4"/>
        <v>1.1679999999999999</v>
      </c>
      <c r="L18" s="52">
        <f t="shared" si="4"/>
        <v>1.1870000000000001</v>
      </c>
      <c r="M18" s="52">
        <f t="shared" si="4"/>
        <v>1.198</v>
      </c>
      <c r="N18" s="52">
        <f t="shared" si="4"/>
        <v>1.198</v>
      </c>
      <c r="O18" s="52">
        <f t="shared" si="4"/>
        <v>1.2070000000000001</v>
      </c>
      <c r="P18" s="52">
        <f t="shared" si="4"/>
        <v>1.222</v>
      </c>
      <c r="Q18" s="52">
        <f t="shared" si="4"/>
        <v>1.23</v>
      </c>
      <c r="R18" s="52">
        <f t="shared" si="4"/>
        <v>1.282</v>
      </c>
      <c r="S18" s="52">
        <f t="shared" si="4"/>
        <v>1.3260000000000001</v>
      </c>
      <c r="T18" s="52">
        <f t="shared" si="4"/>
        <v>1.3440000000000001</v>
      </c>
      <c r="U18" s="52">
        <f t="shared" si="4"/>
        <v>1.3759999999999999</v>
      </c>
      <c r="V18" s="52">
        <f t="shared" si="4"/>
        <v>1.4259999999999999</v>
      </c>
      <c r="W18" s="52">
        <f t="shared" si="4"/>
        <v>1.536</v>
      </c>
      <c r="X18" s="52">
        <f t="shared" si="4"/>
        <v>1.6539999999999999</v>
      </c>
      <c r="Y18" s="54">
        <f t="shared" si="4"/>
        <v>1.823</v>
      </c>
      <c r="Z18" s="52">
        <f t="shared" si="4"/>
        <v>2.0070000000000001</v>
      </c>
      <c r="AA18" s="52">
        <f t="shared" si="4"/>
        <v>2.0910000000000002</v>
      </c>
      <c r="AB18" s="52">
        <f t="shared" si="4"/>
        <v>2.2250000000000001</v>
      </c>
      <c r="AC18" s="52">
        <f t="shared" si="4"/>
        <v>2.3180000000000001</v>
      </c>
      <c r="AD18" s="52">
        <f t="shared" si="4"/>
        <v>2.3980000000000001</v>
      </c>
      <c r="AE18" s="52">
        <f t="shared" si="4"/>
        <v>2.444</v>
      </c>
      <c r="AF18" s="52">
        <f t="shared" si="4"/>
        <v>2.5449999999999999</v>
      </c>
      <c r="AG18" s="52">
        <f t="shared" si="4"/>
        <v>2.992</v>
      </c>
      <c r="AH18" s="52">
        <f t="shared" si="4"/>
        <v>3.4409999999999998</v>
      </c>
      <c r="AI18" s="52">
        <f t="shared" si="4"/>
        <v>4.2469999999999999</v>
      </c>
      <c r="AJ18" s="52">
        <f t="shared" si="4"/>
        <v>5.3029999999999999</v>
      </c>
      <c r="AK18" s="54">
        <f t="shared" si="4"/>
        <v>5.93</v>
      </c>
      <c r="AL18" s="52">
        <f t="shared" si="4"/>
        <v>6.8069999999999995</v>
      </c>
      <c r="AM18" s="52">
        <f t="shared" si="4"/>
        <v>7.5140000000000002</v>
      </c>
      <c r="AN18" s="52">
        <f t="shared" si="4"/>
        <v>8.4510000000000005</v>
      </c>
      <c r="AO18" s="52">
        <f t="shared" si="4"/>
        <v>9.2690000000000001</v>
      </c>
      <c r="AP18" s="52">
        <f t="shared" si="4"/>
        <v>10.536000000000001</v>
      </c>
      <c r="AQ18" s="52">
        <f t="shared" si="4"/>
        <v>11.774000000000001</v>
      </c>
      <c r="AR18" s="52">
        <f t="shared" si="4"/>
        <v>13.546000000000001</v>
      </c>
      <c r="AS18" s="52">
        <f t="shared" si="4"/>
        <v>16.279</v>
      </c>
      <c r="AT18" s="52">
        <f t="shared" si="4"/>
        <v>19.077999999999999</v>
      </c>
      <c r="AU18" s="52">
        <f t="shared" si="4"/>
        <v>21.702000000000002</v>
      </c>
      <c r="AV18" s="52">
        <f t="shared" si="4"/>
        <v>25.132999999999999</v>
      </c>
      <c r="AW18" s="54">
        <f t="shared" si="4"/>
        <v>27.606000000000002</v>
      </c>
      <c r="AX18" s="52">
        <f t="shared" si="4"/>
        <v>31.163</v>
      </c>
      <c r="AY18" s="52">
        <f t="shared" si="4"/>
        <v>41.815999999999995</v>
      </c>
      <c r="AZ18" s="52">
        <f t="shared" si="4"/>
        <v>43.695</v>
      </c>
      <c r="BA18" s="52">
        <f t="shared" si="4"/>
        <v>45.463999999999999</v>
      </c>
      <c r="BB18" s="52">
        <f t="shared" si="4"/>
        <v>48.369</v>
      </c>
      <c r="BC18" s="52">
        <f t="shared" si="4"/>
        <v>50.948</v>
      </c>
      <c r="BD18" s="52">
        <f t="shared" si="4"/>
        <v>53.717999999999996</v>
      </c>
      <c r="BE18" s="52">
        <f t="shared" si="4"/>
        <v>55.921000000000006</v>
      </c>
      <c r="BF18" s="52">
        <f t="shared" si="4"/>
        <v>58.586000000000006</v>
      </c>
      <c r="BG18" s="52">
        <f t="shared" si="4"/>
        <v>61.149000000000001</v>
      </c>
      <c r="BH18" s="52">
        <f t="shared" si="4"/>
        <v>63.488000000000007</v>
      </c>
      <c r="BI18" s="54">
        <f t="shared" si="4"/>
        <v>66.843000000000004</v>
      </c>
      <c r="BJ18" s="52">
        <f t="shared" si="4"/>
        <v>69.259</v>
      </c>
      <c r="BK18" s="52">
        <f t="shared" si="4"/>
        <v>71.991</v>
      </c>
      <c r="BL18" s="52">
        <f t="shared" si="4"/>
        <v>75.652000000000001</v>
      </c>
      <c r="BM18" s="52">
        <f t="shared" si="4"/>
        <v>78.305999999999997</v>
      </c>
      <c r="BN18" s="52">
        <f t="shared" si="4"/>
        <v>84.625</v>
      </c>
      <c r="BO18" s="52">
        <f t="shared" ref="BO18:DZ18" si="5">SUM(BO15:BO17)</f>
        <v>87.588999999999999</v>
      </c>
      <c r="BP18" s="52">
        <f t="shared" si="5"/>
        <v>90.2</v>
      </c>
      <c r="BQ18" s="52">
        <f t="shared" si="5"/>
        <v>95.284000000000006</v>
      </c>
      <c r="BR18" s="52">
        <f t="shared" si="5"/>
        <v>107.078</v>
      </c>
      <c r="BS18" s="52">
        <f t="shared" si="5"/>
        <v>108.679</v>
      </c>
      <c r="BT18" s="52">
        <f t="shared" si="5"/>
        <v>110.194</v>
      </c>
      <c r="BU18" s="54">
        <f t="shared" si="5"/>
        <v>111.738</v>
      </c>
      <c r="BV18" s="52">
        <f t="shared" si="5"/>
        <v>113.337</v>
      </c>
      <c r="BW18" s="52">
        <f t="shared" si="5"/>
        <v>114.931</v>
      </c>
      <c r="BX18" s="52">
        <f t="shared" si="5"/>
        <v>116.724</v>
      </c>
      <c r="BY18" s="52">
        <f t="shared" si="5"/>
        <v>123.45100000000001</v>
      </c>
      <c r="BZ18" s="52">
        <f t="shared" si="5"/>
        <v>129.50800000000001</v>
      </c>
      <c r="CA18" s="52">
        <f t="shared" si="5"/>
        <v>131.11500000000001</v>
      </c>
      <c r="CB18" s="52">
        <f t="shared" si="5"/>
        <v>133.02500000000001</v>
      </c>
      <c r="CC18" s="52">
        <f t="shared" si="5"/>
        <v>135.286</v>
      </c>
      <c r="CD18" s="52">
        <f t="shared" si="5"/>
        <v>142.39399999999998</v>
      </c>
      <c r="CE18" s="52">
        <f t="shared" si="5"/>
        <v>142.55699999999999</v>
      </c>
      <c r="CF18" s="52">
        <f t="shared" si="5"/>
        <v>142.82599999999999</v>
      </c>
      <c r="CG18" s="52">
        <f t="shared" si="5"/>
        <v>143.07</v>
      </c>
      <c r="CH18" s="125">
        <f t="shared" si="5"/>
        <v>143.90699999999998</v>
      </c>
      <c r="CI18" s="52">
        <f t="shared" si="5"/>
        <v>171.59900000000002</v>
      </c>
      <c r="CJ18" s="52">
        <f t="shared" si="5"/>
        <v>255.70899999999997</v>
      </c>
      <c r="CK18" s="52">
        <f t="shared" si="5"/>
        <v>255.78299999999999</v>
      </c>
      <c r="CL18" s="52">
        <f t="shared" si="5"/>
        <v>255.875</v>
      </c>
      <c r="CM18" s="52">
        <f t="shared" si="5"/>
        <v>256.07900000000001</v>
      </c>
      <c r="CN18" s="52">
        <f t="shared" si="5"/>
        <v>256.12899999999996</v>
      </c>
      <c r="CO18" s="52">
        <f t="shared" si="5"/>
        <v>256.24099999999999</v>
      </c>
      <c r="CP18" s="52">
        <f t="shared" si="5"/>
        <v>256.33099999999996</v>
      </c>
      <c r="CQ18" s="52">
        <f t="shared" si="5"/>
        <v>256.40999999999997</v>
      </c>
      <c r="CR18" s="52">
        <f t="shared" si="5"/>
        <v>256.63400000000001</v>
      </c>
      <c r="CS18" s="52">
        <f t="shared" si="5"/>
        <v>268.70899999999995</v>
      </c>
      <c r="CT18" s="125">
        <f t="shared" si="5"/>
        <v>295.85199999999998</v>
      </c>
      <c r="CU18" s="52">
        <f t="shared" si="5"/>
        <v>302.43700000000001</v>
      </c>
      <c r="CV18" s="52">
        <f t="shared" si="5"/>
        <v>326.88200000000001</v>
      </c>
      <c r="CW18" s="52">
        <f t="shared" si="5"/>
        <v>340.02000000000004</v>
      </c>
      <c r="CX18" s="52">
        <f t="shared" si="5"/>
        <v>346.59200000000004</v>
      </c>
      <c r="CY18" s="52">
        <f t="shared" si="5"/>
        <v>346.661</v>
      </c>
      <c r="CZ18" s="52">
        <f t="shared" si="5"/>
        <v>346.72700000000003</v>
      </c>
      <c r="DA18" s="52">
        <f t="shared" si="5"/>
        <v>346.91700000000003</v>
      </c>
      <c r="DB18" s="52">
        <f t="shared" si="5"/>
        <v>346.96700000000004</v>
      </c>
      <c r="DC18" s="52">
        <f t="shared" si="5"/>
        <v>347.11</v>
      </c>
      <c r="DD18" s="52">
        <f t="shared" si="5"/>
        <v>347.21500000000003</v>
      </c>
      <c r="DE18" s="52">
        <f t="shared" si="5"/>
        <v>347.30100000000004</v>
      </c>
      <c r="DF18" s="125">
        <f t="shared" si="5"/>
        <v>347.42600000000004</v>
      </c>
      <c r="DG18" s="52">
        <f t="shared" si="5"/>
        <v>347.59400000000005</v>
      </c>
      <c r="DH18" s="52">
        <f t="shared" si="5"/>
        <v>347.64300000000003</v>
      </c>
      <c r="DI18" s="52">
        <f t="shared" si="5"/>
        <v>347.67400000000004</v>
      </c>
      <c r="DJ18" s="52">
        <f t="shared" si="5"/>
        <v>347.72800000000001</v>
      </c>
      <c r="DK18" s="52">
        <f t="shared" si="5"/>
        <v>347.834</v>
      </c>
      <c r="DL18" s="52">
        <f t="shared" si="5"/>
        <v>347.90600000000001</v>
      </c>
      <c r="DM18" s="52">
        <f t="shared" si="5"/>
        <v>347.98400000000004</v>
      </c>
      <c r="DN18" s="52">
        <f t="shared" si="5"/>
        <v>348.15500000000003</v>
      </c>
      <c r="DO18" s="52">
        <f t="shared" si="5"/>
        <v>348.25</v>
      </c>
      <c r="DP18" s="52">
        <f t="shared" si="5"/>
        <v>348.30700000000002</v>
      </c>
      <c r="DQ18" s="52">
        <f t="shared" si="5"/>
        <v>348.34200000000004</v>
      </c>
      <c r="DR18" s="125">
        <f t="shared" si="5"/>
        <v>348.41300000000001</v>
      </c>
      <c r="DS18" s="52">
        <f t="shared" si="5"/>
        <v>348.48700000000002</v>
      </c>
      <c r="DT18" s="52">
        <f t="shared" si="5"/>
        <v>348.54500000000002</v>
      </c>
      <c r="DU18" s="52">
        <f t="shared" si="5"/>
        <v>348.56100000000004</v>
      </c>
      <c r="DV18" s="52">
        <f t="shared" si="5"/>
        <v>348.56400000000002</v>
      </c>
      <c r="DW18" s="52">
        <f t="shared" si="5"/>
        <v>348.66900000000004</v>
      </c>
      <c r="DX18" s="52">
        <f t="shared" si="5"/>
        <v>348.77600000000001</v>
      </c>
      <c r="DY18" s="52">
        <f t="shared" si="5"/>
        <v>348.96100000000001</v>
      </c>
      <c r="DZ18" s="52">
        <f t="shared" si="5"/>
        <v>349.08800000000002</v>
      </c>
      <c r="EA18" s="52">
        <f t="shared" ref="EA18:GL18" si="6">SUM(EA15:EA17)</f>
        <v>349.137</v>
      </c>
      <c r="EB18" s="52">
        <f t="shared" si="6"/>
        <v>349.20600000000002</v>
      </c>
      <c r="EC18" s="52">
        <f t="shared" si="6"/>
        <v>349.23</v>
      </c>
      <c r="ED18" s="125">
        <f t="shared" si="6"/>
        <v>349.33800000000002</v>
      </c>
      <c r="EE18" s="52">
        <f t="shared" si="6"/>
        <v>349.399</v>
      </c>
      <c r="EF18" s="52">
        <f t="shared" si="6"/>
        <v>349.51800000000003</v>
      </c>
      <c r="EG18" s="52">
        <f t="shared" si="6"/>
        <v>349.69800000000004</v>
      </c>
      <c r="EH18" s="52">
        <f t="shared" si="6"/>
        <v>349.94600000000003</v>
      </c>
      <c r="EI18" s="52">
        <f t="shared" si="6"/>
        <v>350.245</v>
      </c>
      <c r="EJ18" s="52">
        <f t="shared" si="6"/>
        <v>350.38900000000001</v>
      </c>
      <c r="EK18" s="52">
        <f t="shared" si="6"/>
        <v>350.63500000000005</v>
      </c>
      <c r="EL18" s="52">
        <f t="shared" si="6"/>
        <v>351.04</v>
      </c>
      <c r="EM18" s="52">
        <f t="shared" si="6"/>
        <v>351.30600000000004</v>
      </c>
      <c r="EN18" s="52">
        <f t="shared" si="6"/>
        <v>351.81800000000004</v>
      </c>
      <c r="EO18" s="52">
        <f t="shared" si="6"/>
        <v>352.05200000000002</v>
      </c>
      <c r="EP18" s="125">
        <f t="shared" si="6"/>
        <v>352.61400000000003</v>
      </c>
      <c r="EQ18" s="52">
        <f t="shared" si="6"/>
        <v>353.03300000000002</v>
      </c>
      <c r="ER18" s="52">
        <f t="shared" si="6"/>
        <v>353.63200000000001</v>
      </c>
      <c r="ES18" s="52">
        <f t="shared" si="6"/>
        <v>354.14500000000004</v>
      </c>
      <c r="ET18" s="52">
        <f t="shared" si="6"/>
        <v>355.12200000000001</v>
      </c>
      <c r="EU18" s="52">
        <f t="shared" si="6"/>
        <v>355.98200000000003</v>
      </c>
      <c r="EV18" s="52">
        <f t="shared" si="6"/>
        <v>356.75800000000004</v>
      </c>
      <c r="EW18" s="52">
        <f t="shared" si="6"/>
        <v>357.65200000000004</v>
      </c>
      <c r="EX18" s="52">
        <f t="shared" si="6"/>
        <v>358.762</v>
      </c>
      <c r="EY18" s="52">
        <f t="shared" si="6"/>
        <v>360.02200000000005</v>
      </c>
      <c r="EZ18" s="52">
        <f t="shared" si="6"/>
        <v>361.48200000000003</v>
      </c>
      <c r="FA18" s="53">
        <f t="shared" si="6"/>
        <v>362.41600000000005</v>
      </c>
      <c r="FB18" s="52">
        <f t="shared" si="6"/>
        <v>363.67200000000003</v>
      </c>
      <c r="FC18" s="52">
        <f t="shared" si="6"/>
        <v>364.85400000000004</v>
      </c>
      <c r="FD18" s="52">
        <f t="shared" si="6"/>
        <v>365.92900000000003</v>
      </c>
      <c r="FE18" s="52">
        <f t="shared" si="6"/>
        <v>366.82000000000005</v>
      </c>
      <c r="FF18" s="52">
        <f t="shared" si="6"/>
        <v>367.91</v>
      </c>
      <c r="FG18" s="52">
        <f t="shared" si="6"/>
        <v>368.97200000000004</v>
      </c>
      <c r="FH18" s="52">
        <f t="shared" si="6"/>
        <v>369.88200000000001</v>
      </c>
      <c r="FI18" s="52">
        <f t="shared" si="6"/>
        <v>370.92400000000004</v>
      </c>
      <c r="FJ18" s="52">
        <f t="shared" si="6"/>
        <v>372.01700000000005</v>
      </c>
      <c r="FK18" s="52">
        <f t="shared" si="6"/>
        <v>373.673</v>
      </c>
      <c r="FL18" s="52">
        <f t="shared" si="6"/>
        <v>374.63</v>
      </c>
      <c r="FM18" s="52">
        <f t="shared" si="6"/>
        <v>375.33000000000004</v>
      </c>
      <c r="FN18" s="125">
        <f t="shared" si="6"/>
        <v>375.96300000000002</v>
      </c>
      <c r="FO18" s="52">
        <f t="shared" si="6"/>
        <v>376.90300000000002</v>
      </c>
      <c r="FP18" s="52">
        <f t="shared" si="6"/>
        <v>377.45699999999999</v>
      </c>
      <c r="FQ18" s="52">
        <f t="shared" si="6"/>
        <v>378.63100000000003</v>
      </c>
      <c r="FR18" s="52">
        <f t="shared" si="6"/>
        <v>379.50300000000004</v>
      </c>
      <c r="FS18" s="52">
        <f t="shared" si="6"/>
        <v>380.63200000000001</v>
      </c>
      <c r="FT18" s="52">
        <f t="shared" si="6"/>
        <v>381.71100000000001</v>
      </c>
      <c r="FU18" s="52">
        <f t="shared" si="6"/>
        <v>382.75600000000003</v>
      </c>
      <c r="FV18" s="52">
        <f t="shared" si="6"/>
        <v>383.62300000000005</v>
      </c>
      <c r="FW18" s="52">
        <f t="shared" si="6"/>
        <v>384.58100000000002</v>
      </c>
      <c r="FX18" s="52">
        <f t="shared" si="6"/>
        <v>385.75200000000001</v>
      </c>
      <c r="FY18" s="52">
        <f t="shared" si="6"/>
        <v>386.44300000000004</v>
      </c>
      <c r="FZ18" s="125">
        <f t="shared" si="6"/>
        <v>387.20699999999999</v>
      </c>
      <c r="GA18" s="52">
        <f t="shared" si="6"/>
        <v>388.16300000000001</v>
      </c>
      <c r="GB18" s="52">
        <f t="shared" si="6"/>
        <v>389.34800000000001</v>
      </c>
      <c r="GC18" s="52">
        <f t="shared" si="6"/>
        <v>390.45600000000002</v>
      </c>
      <c r="GD18" s="52">
        <f t="shared" si="6"/>
        <v>392.34400000000005</v>
      </c>
      <c r="GE18" s="52">
        <f t="shared" si="6"/>
        <v>394.12800000000004</v>
      </c>
      <c r="GF18" s="52">
        <f t="shared" si="6"/>
        <v>395.43900000000002</v>
      </c>
      <c r="GG18" s="52">
        <f t="shared" si="6"/>
        <v>396.94400000000002</v>
      </c>
      <c r="GH18" s="52">
        <f t="shared" si="6"/>
        <v>398.322</v>
      </c>
      <c r="GI18" s="52">
        <f t="shared" si="6"/>
        <v>400.12700000000001</v>
      </c>
      <c r="GJ18" s="52">
        <f t="shared" si="6"/>
        <v>401.84500000000003</v>
      </c>
      <c r="GK18" s="52">
        <f t="shared" si="6"/>
        <v>402.83000000000004</v>
      </c>
      <c r="GL18" s="125">
        <f t="shared" si="6"/>
        <v>404.27600000000001</v>
      </c>
      <c r="GM18" s="52">
        <f t="shared" ref="GM18:GP18" si="7">SUM(GM15:GM17)</f>
        <v>405.80100000000004</v>
      </c>
      <c r="GN18" s="52">
        <f t="shared" si="7"/>
        <v>407.73700000000002</v>
      </c>
      <c r="GO18" s="52">
        <f t="shared" si="7"/>
        <v>409.87</v>
      </c>
      <c r="GP18" s="52">
        <f t="shared" si="7"/>
        <v>411.42100000000005</v>
      </c>
    </row>
    <row r="19" spans="1:200" s="30" customFormat="1" ht="20.149999999999999" customHeight="1" thickTop="1" x14ac:dyDescent="0.35">
      <c r="A19" s="26" t="s">
        <v>269</v>
      </c>
      <c r="B19" s="45"/>
      <c r="C19" s="45"/>
      <c r="D19" s="45"/>
      <c r="E19" s="45"/>
      <c r="F19" s="45"/>
      <c r="G19" s="45"/>
      <c r="H19" s="45"/>
      <c r="I19" s="45"/>
      <c r="J19" s="45"/>
      <c r="K19" s="45"/>
      <c r="L19" s="45"/>
      <c r="M19" s="49"/>
      <c r="N19" s="50"/>
      <c r="O19" s="45"/>
      <c r="P19" s="45"/>
      <c r="Q19" s="45"/>
      <c r="R19" s="45"/>
      <c r="S19" s="45"/>
      <c r="T19" s="45"/>
      <c r="U19" s="45"/>
      <c r="V19" s="45"/>
      <c r="W19" s="45"/>
      <c r="X19" s="45"/>
      <c r="Y19" s="49"/>
      <c r="Z19" s="45"/>
      <c r="AA19" s="45"/>
      <c r="AB19" s="45"/>
      <c r="AC19" s="45"/>
      <c r="AD19" s="45"/>
      <c r="AE19" s="45"/>
      <c r="AF19" s="45"/>
      <c r="AG19" s="45"/>
      <c r="AH19" s="45"/>
      <c r="AI19" s="45"/>
      <c r="AJ19" s="45"/>
      <c r="AK19" s="49"/>
      <c r="AL19" s="45"/>
      <c r="AM19" s="45"/>
      <c r="AN19" s="45"/>
      <c r="AO19" s="45"/>
      <c r="AP19" s="45"/>
      <c r="AQ19" s="45"/>
      <c r="AR19" s="45"/>
      <c r="AS19" s="45"/>
      <c r="AT19" s="45"/>
      <c r="AU19" s="45"/>
      <c r="AV19" s="45"/>
      <c r="AW19" s="49"/>
      <c r="AX19" s="45"/>
      <c r="AY19" s="45"/>
      <c r="AZ19" s="45"/>
      <c r="BA19" s="45"/>
      <c r="BB19" s="45"/>
      <c r="BC19" s="45"/>
      <c r="BD19" s="45"/>
      <c r="BE19" s="45"/>
      <c r="BF19" s="45"/>
      <c r="BG19" s="45"/>
      <c r="BH19" s="45"/>
      <c r="BI19" s="49"/>
      <c r="BJ19" s="45"/>
      <c r="BK19" s="45"/>
      <c r="BL19" s="45"/>
      <c r="BM19" s="45"/>
      <c r="BN19" s="45"/>
      <c r="BO19" s="45"/>
      <c r="BP19" s="45"/>
      <c r="BQ19" s="45"/>
      <c r="BR19" s="45"/>
      <c r="BS19" s="45"/>
      <c r="BT19" s="45"/>
      <c r="BU19" s="49"/>
      <c r="BV19" s="45"/>
      <c r="BW19" s="45"/>
      <c r="BX19" s="45"/>
      <c r="BY19" s="45"/>
      <c r="BZ19" s="45"/>
      <c r="CA19" s="45"/>
      <c r="CB19" s="45"/>
      <c r="CC19" s="45"/>
      <c r="CD19" s="45"/>
      <c r="CE19" s="45"/>
      <c r="CF19" s="45"/>
      <c r="CG19" s="124"/>
      <c r="CH19" s="69"/>
      <c r="CI19" s="45"/>
      <c r="CJ19" s="45"/>
      <c r="CK19" s="45"/>
      <c r="CL19" s="45"/>
      <c r="CM19" s="45"/>
      <c r="CN19" s="45"/>
      <c r="CO19" s="45"/>
      <c r="CP19" s="45"/>
      <c r="CQ19" s="45"/>
      <c r="CR19" s="45"/>
      <c r="CS19" s="124"/>
      <c r="CT19" s="69"/>
      <c r="CU19" s="45"/>
      <c r="CV19" s="45"/>
      <c r="CW19" s="45"/>
      <c r="CX19" s="45"/>
      <c r="CY19" s="45"/>
      <c r="CZ19" s="45"/>
      <c r="DA19" s="45"/>
      <c r="DB19" s="45"/>
      <c r="DC19" s="45"/>
      <c r="DD19" s="45"/>
      <c r="DE19" s="124"/>
      <c r="DF19" s="69"/>
      <c r="DG19" s="45"/>
      <c r="DH19" s="45"/>
      <c r="DI19" s="45"/>
      <c r="DJ19" s="45"/>
      <c r="DK19" s="45"/>
      <c r="DL19" s="45"/>
      <c r="DM19" s="45"/>
      <c r="DN19" s="45"/>
      <c r="DO19" s="45"/>
      <c r="DP19" s="45"/>
      <c r="DQ19" s="124"/>
      <c r="DR19" s="69"/>
      <c r="DS19" s="45"/>
      <c r="DT19" s="126"/>
      <c r="DU19" s="126"/>
      <c r="DV19" s="126"/>
      <c r="DW19" s="126"/>
      <c r="DX19" s="126"/>
      <c r="DY19" s="126"/>
      <c r="DZ19" s="126"/>
      <c r="EA19" s="126"/>
      <c r="EB19" s="126"/>
      <c r="EC19" s="126"/>
      <c r="ED19" s="69"/>
      <c r="EE19" s="45"/>
      <c r="EF19" s="126"/>
      <c r="EG19" s="126"/>
      <c r="EH19" s="126"/>
      <c r="EI19" s="126"/>
      <c r="EJ19" s="126"/>
      <c r="EK19" s="126"/>
      <c r="EL19" s="126"/>
      <c r="EM19" s="126"/>
      <c r="EN19" s="126"/>
      <c r="EO19" s="126"/>
      <c r="EP19" s="69"/>
      <c r="EQ19" s="45"/>
      <c r="ER19" s="126"/>
      <c r="ES19" s="126"/>
      <c r="ET19" s="126"/>
      <c r="EU19" s="126"/>
      <c r="EV19" s="126"/>
      <c r="EW19" s="126"/>
      <c r="EX19" s="126"/>
      <c r="EY19" s="126"/>
      <c r="EZ19" s="126"/>
      <c r="FA19" s="132"/>
      <c r="FB19" s="126"/>
      <c r="FC19" s="126"/>
      <c r="FD19" s="126"/>
      <c r="FE19" s="126"/>
      <c r="FF19" s="126"/>
      <c r="FG19" s="126"/>
      <c r="FH19" s="126"/>
      <c r="FI19" s="126"/>
      <c r="FJ19" s="126"/>
      <c r="FK19" s="126"/>
      <c r="FL19" s="126"/>
      <c r="FM19" s="126"/>
      <c r="FN19" s="172"/>
      <c r="FO19" s="126"/>
      <c r="FP19" s="126"/>
      <c r="FQ19" s="126"/>
      <c r="FR19" s="126"/>
      <c r="FS19" s="126"/>
      <c r="FT19" s="126"/>
      <c r="FU19" s="126"/>
      <c r="FV19" s="126"/>
      <c r="FW19" s="126"/>
      <c r="FX19" s="126"/>
      <c r="FY19" s="126"/>
      <c r="FZ19" s="172"/>
      <c r="GA19" s="126"/>
      <c r="GB19" s="126"/>
      <c r="GC19" s="126"/>
      <c r="GD19" s="126"/>
      <c r="GE19" s="126"/>
      <c r="GF19" s="126"/>
      <c r="GG19" s="126"/>
      <c r="GH19" s="126"/>
      <c r="GI19" s="126"/>
      <c r="GJ19" s="126"/>
      <c r="GK19" s="126"/>
      <c r="GL19" s="172"/>
      <c r="GM19" s="126"/>
      <c r="GN19" s="126"/>
      <c r="GO19" s="126"/>
      <c r="GP19" s="126"/>
    </row>
    <row r="20" spans="1:200" s="1" customFormat="1" ht="20.149999999999999" customHeight="1" x14ac:dyDescent="0.35">
      <c r="A20" s="31" t="s">
        <v>277</v>
      </c>
      <c r="B20" s="45">
        <v>5.0000000000000001E-3</v>
      </c>
      <c r="C20" s="45">
        <v>5.0000000000000001E-3</v>
      </c>
      <c r="D20" s="45">
        <v>5.0000000000000001E-3</v>
      </c>
      <c r="E20" s="45">
        <v>1.2E-2</v>
      </c>
      <c r="F20" s="45">
        <v>2.3E-2</v>
      </c>
      <c r="G20" s="45">
        <v>0.78700000000000003</v>
      </c>
      <c r="H20" s="45">
        <v>0.78900000000000003</v>
      </c>
      <c r="I20" s="45">
        <v>0.81799999999999995</v>
      </c>
      <c r="J20" s="45">
        <v>0.83199999999999996</v>
      </c>
      <c r="K20" s="45">
        <v>0.84199999999999997</v>
      </c>
      <c r="L20" s="45">
        <v>0.872</v>
      </c>
      <c r="M20" s="49">
        <v>0.93300000000000005</v>
      </c>
      <c r="N20" s="50">
        <v>0.93700000000000006</v>
      </c>
      <c r="O20" s="45">
        <v>0.95</v>
      </c>
      <c r="P20" s="45">
        <v>1.01</v>
      </c>
      <c r="Q20" s="45">
        <v>1.077</v>
      </c>
      <c r="R20" s="45">
        <v>1.1200000000000001</v>
      </c>
      <c r="S20" s="45">
        <v>1.7909999999999999</v>
      </c>
      <c r="T20" s="45">
        <v>86.438000000000002</v>
      </c>
      <c r="U20" s="45">
        <v>87.072999999999993</v>
      </c>
      <c r="V20" s="45">
        <v>92.716999999999999</v>
      </c>
      <c r="W20" s="45">
        <v>104.771</v>
      </c>
      <c r="X20" s="45">
        <v>105.297</v>
      </c>
      <c r="Y20" s="49">
        <v>105.98</v>
      </c>
      <c r="Z20" s="45">
        <v>105.98</v>
      </c>
      <c r="AA20" s="45">
        <v>106.392</v>
      </c>
      <c r="AB20" s="45">
        <v>111.581</v>
      </c>
      <c r="AC20" s="45">
        <v>111.581</v>
      </c>
      <c r="AD20" s="45">
        <v>111.64100000000001</v>
      </c>
      <c r="AE20" s="45">
        <v>121.617</v>
      </c>
      <c r="AF20" s="45">
        <v>177.93899999999999</v>
      </c>
      <c r="AG20" s="45">
        <v>177.93899999999999</v>
      </c>
      <c r="AH20" s="45">
        <v>177.93899999999999</v>
      </c>
      <c r="AI20" s="45">
        <v>177.94200000000001</v>
      </c>
      <c r="AJ20" s="45">
        <v>181.327</v>
      </c>
      <c r="AK20" s="49">
        <v>181.327</v>
      </c>
      <c r="AL20" s="45">
        <v>181.327</v>
      </c>
      <c r="AM20" s="45">
        <v>181.327</v>
      </c>
      <c r="AN20" s="45">
        <v>186.166</v>
      </c>
      <c r="AO20" s="45">
        <v>192.941</v>
      </c>
      <c r="AP20" s="45">
        <v>192.947</v>
      </c>
      <c r="AQ20" s="45">
        <v>194.19200000000001</v>
      </c>
      <c r="AR20" s="45">
        <v>198.096</v>
      </c>
      <c r="AS20" s="45">
        <v>202.75</v>
      </c>
      <c r="AT20" s="45">
        <v>203.86</v>
      </c>
      <c r="AU20" s="45">
        <v>210.44800000000001</v>
      </c>
      <c r="AV20" s="45">
        <v>210.452</v>
      </c>
      <c r="AW20" s="49">
        <v>213.83199999999999</v>
      </c>
      <c r="AX20" s="45">
        <v>213.83199999999999</v>
      </c>
      <c r="AY20" s="45">
        <v>219.64500000000001</v>
      </c>
      <c r="AZ20" s="45">
        <v>229.172</v>
      </c>
      <c r="BA20" s="45">
        <v>234.166</v>
      </c>
      <c r="BB20" s="45">
        <v>245.434</v>
      </c>
      <c r="BC20" s="45">
        <v>255.26</v>
      </c>
      <c r="BD20" s="45">
        <v>260.18299999999999</v>
      </c>
      <c r="BE20" s="45">
        <v>263.80099999999999</v>
      </c>
      <c r="BF20" s="45">
        <v>265.58800000000002</v>
      </c>
      <c r="BG20" s="45">
        <v>265.87599999999998</v>
      </c>
      <c r="BH20" s="45">
        <v>268.85500000000002</v>
      </c>
      <c r="BI20" s="49">
        <v>285.61500000000001</v>
      </c>
      <c r="BJ20" s="45">
        <v>285.61500000000001</v>
      </c>
      <c r="BK20" s="45">
        <v>289.358</v>
      </c>
      <c r="BL20" s="45">
        <v>326.36799999999999</v>
      </c>
      <c r="BM20" s="45">
        <v>328.20800000000003</v>
      </c>
      <c r="BN20" s="45">
        <v>332.11399999999998</v>
      </c>
      <c r="BO20" s="45">
        <v>364.01100000000002</v>
      </c>
      <c r="BP20" s="45">
        <v>373.15499999999997</v>
      </c>
      <c r="BQ20" s="45">
        <v>382.76600000000002</v>
      </c>
      <c r="BR20" s="45">
        <v>404.47800000000001</v>
      </c>
      <c r="BS20" s="45">
        <v>438.08</v>
      </c>
      <c r="BT20" s="45">
        <v>478.149</v>
      </c>
      <c r="BU20" s="49">
        <v>786.798</v>
      </c>
      <c r="BV20" s="45">
        <v>787.06500000000005</v>
      </c>
      <c r="BW20" s="45">
        <v>792.495</v>
      </c>
      <c r="BX20" s="45">
        <v>803.65800000000002</v>
      </c>
      <c r="BY20" s="45">
        <v>803.65800000000002</v>
      </c>
      <c r="BZ20" s="45">
        <v>818.64200000000005</v>
      </c>
      <c r="CA20" s="45">
        <v>946.69299999999998</v>
      </c>
      <c r="CB20" s="45">
        <v>946.69299999999998</v>
      </c>
      <c r="CC20" s="45">
        <v>956.18</v>
      </c>
      <c r="CD20" s="45">
        <v>965.89499999999998</v>
      </c>
      <c r="CE20" s="45">
        <v>965.89499999999998</v>
      </c>
      <c r="CF20" s="45">
        <v>970.7</v>
      </c>
      <c r="CG20" s="124">
        <v>970.7</v>
      </c>
      <c r="CH20" s="69">
        <v>970.70399999999995</v>
      </c>
      <c r="CI20" s="45">
        <v>970.70399999999995</v>
      </c>
      <c r="CJ20" s="45">
        <v>975.71400000000006</v>
      </c>
      <c r="CK20" s="45">
        <v>975.71400000000006</v>
      </c>
      <c r="CL20" s="45">
        <v>975.71799999999996</v>
      </c>
      <c r="CM20" s="45">
        <v>975.71799999999996</v>
      </c>
      <c r="CN20" s="45">
        <v>975.71799999999996</v>
      </c>
      <c r="CO20" s="45">
        <v>975.71799999999996</v>
      </c>
      <c r="CP20" s="45">
        <v>975.71799999999996</v>
      </c>
      <c r="CQ20" s="45">
        <v>975.71799999999996</v>
      </c>
      <c r="CR20" s="45">
        <v>975.71799999999996</v>
      </c>
      <c r="CS20" s="124">
        <v>975.71799999999996</v>
      </c>
      <c r="CT20" s="69">
        <v>975.72199999999998</v>
      </c>
      <c r="CU20" s="45">
        <v>975.72199999999998</v>
      </c>
      <c r="CV20" s="45">
        <v>975.72199999999998</v>
      </c>
      <c r="CW20" s="45">
        <v>975.72199999999998</v>
      </c>
      <c r="CX20" s="45">
        <v>975.72199999999998</v>
      </c>
      <c r="CY20" s="45">
        <v>975.72199999999998</v>
      </c>
      <c r="CZ20" s="45">
        <v>975.72199999999998</v>
      </c>
      <c r="DA20" s="45">
        <v>975.72199999999998</v>
      </c>
      <c r="DB20" s="45">
        <v>975.72199999999998</v>
      </c>
      <c r="DC20" s="45">
        <v>975.72199999999998</v>
      </c>
      <c r="DD20" s="45">
        <v>975.72199999999998</v>
      </c>
      <c r="DE20" s="124">
        <v>975.72199999999998</v>
      </c>
      <c r="DF20" s="69">
        <v>975.72199999999998</v>
      </c>
      <c r="DG20" s="45">
        <v>975.72199999999998</v>
      </c>
      <c r="DH20" s="45">
        <v>975.72199999999998</v>
      </c>
      <c r="DI20" s="45">
        <v>975.72199999999998</v>
      </c>
      <c r="DJ20" s="45">
        <v>975.72199999999998</v>
      </c>
      <c r="DK20" s="45">
        <v>975.72199999999998</v>
      </c>
      <c r="DL20" s="45">
        <v>975.72199999999998</v>
      </c>
      <c r="DM20" s="45">
        <v>975.72199999999998</v>
      </c>
      <c r="DN20" s="45">
        <v>975.72199999999998</v>
      </c>
      <c r="DO20" s="45">
        <v>975.72199999999998</v>
      </c>
      <c r="DP20" s="45">
        <v>975.72199999999998</v>
      </c>
      <c r="DQ20" s="124">
        <v>975.72199999999998</v>
      </c>
      <c r="DR20" s="69">
        <v>975.72199999999998</v>
      </c>
      <c r="DS20" s="45">
        <v>975.72199999999998</v>
      </c>
      <c r="DT20" s="45">
        <v>975.72199999999998</v>
      </c>
      <c r="DU20" s="45">
        <v>975.72199999999998</v>
      </c>
      <c r="DV20" s="45">
        <v>975.72199999999998</v>
      </c>
      <c r="DW20" s="45">
        <v>975.72199999999998</v>
      </c>
      <c r="DX20" s="45">
        <v>975.72199999999998</v>
      </c>
      <c r="DY20" s="45">
        <v>975.72199999999998</v>
      </c>
      <c r="DZ20" s="45">
        <v>975.72199999999998</v>
      </c>
      <c r="EA20" s="45">
        <v>975.72199999999998</v>
      </c>
      <c r="EB20" s="45">
        <v>975.72199999999998</v>
      </c>
      <c r="EC20" s="45">
        <v>975.72199999999998</v>
      </c>
      <c r="ED20" s="69">
        <v>975.72199999999998</v>
      </c>
      <c r="EE20" s="45">
        <v>975.72199999999998</v>
      </c>
      <c r="EF20" s="45">
        <v>975.72199999999998</v>
      </c>
      <c r="EG20" s="45">
        <v>975.72199999999998</v>
      </c>
      <c r="EH20" s="45">
        <v>975.72199999999998</v>
      </c>
      <c r="EI20" s="45">
        <v>975.72199999999998</v>
      </c>
      <c r="EJ20" s="45">
        <v>975.72199999999998</v>
      </c>
      <c r="EK20" s="45">
        <v>975.72199999999998</v>
      </c>
      <c r="EL20" s="45">
        <v>975.72199999999998</v>
      </c>
      <c r="EM20" s="45">
        <v>975.72199999999998</v>
      </c>
      <c r="EN20" s="45">
        <v>975.72199999999998</v>
      </c>
      <c r="EO20" s="45">
        <v>975.72199999999998</v>
      </c>
      <c r="EP20" s="69">
        <v>975.72199999999998</v>
      </c>
      <c r="EQ20" s="45">
        <v>975.72199999999998</v>
      </c>
      <c r="ER20" s="45">
        <v>975.72199999999998</v>
      </c>
      <c r="ES20" s="45">
        <v>975.72199999999998</v>
      </c>
      <c r="ET20" s="45">
        <v>975.72199999999998</v>
      </c>
      <c r="EU20" s="45">
        <v>975.72199999999998</v>
      </c>
      <c r="EV20" s="45">
        <v>975.72199999999998</v>
      </c>
      <c r="EW20" s="45">
        <v>975.72199999999998</v>
      </c>
      <c r="EX20" s="45">
        <v>975.72199999999998</v>
      </c>
      <c r="EY20" s="45">
        <v>975.72199999999998</v>
      </c>
      <c r="EZ20" s="45">
        <v>975.72199999999998</v>
      </c>
      <c r="FA20" s="82">
        <v>975.72199999999998</v>
      </c>
      <c r="FB20" s="45">
        <v>975.72199999999998</v>
      </c>
      <c r="FC20" s="45">
        <v>975.72199999999998</v>
      </c>
      <c r="FD20" s="45">
        <v>975.72199999999998</v>
      </c>
      <c r="FE20" s="45">
        <v>975.72199999999998</v>
      </c>
      <c r="FF20" s="45">
        <v>975.72199999999998</v>
      </c>
      <c r="FG20" s="45">
        <v>975.72199999999998</v>
      </c>
      <c r="FH20" s="45">
        <v>975.72199999999998</v>
      </c>
      <c r="FI20" s="45">
        <v>975.72199999999998</v>
      </c>
      <c r="FJ20" s="45">
        <v>975.72199999999998</v>
      </c>
      <c r="FK20" s="45">
        <v>975.72199999999998</v>
      </c>
      <c r="FL20" s="45">
        <v>975.72199999999998</v>
      </c>
      <c r="FM20" s="45">
        <v>975.72199999999998</v>
      </c>
      <c r="FN20" s="69">
        <v>975.72199999999998</v>
      </c>
      <c r="FO20" s="45">
        <v>975.72199999999998</v>
      </c>
      <c r="FP20" s="45">
        <v>975.72199999999998</v>
      </c>
      <c r="FQ20" s="45">
        <v>975.72199999999998</v>
      </c>
      <c r="FR20" s="45">
        <v>975.72199999999998</v>
      </c>
      <c r="FS20" s="45">
        <v>975.72199999999998</v>
      </c>
      <c r="FT20" s="45">
        <v>975.72199999999998</v>
      </c>
      <c r="FU20" s="45">
        <v>975.72199999999998</v>
      </c>
      <c r="FV20" s="45">
        <v>975.72199999999998</v>
      </c>
      <c r="FW20" s="45">
        <v>975.72199999999998</v>
      </c>
      <c r="FX20" s="45">
        <v>975.72199999999998</v>
      </c>
      <c r="FY20" s="45">
        <v>975.72199999999998</v>
      </c>
      <c r="FZ20" s="69">
        <v>975.72199999999998</v>
      </c>
      <c r="GA20" s="45">
        <v>975.72199999999998</v>
      </c>
      <c r="GB20" s="45">
        <v>975.72199999999998</v>
      </c>
      <c r="GC20" s="45">
        <v>975.72199999999998</v>
      </c>
      <c r="GD20" s="45">
        <v>975.72199999999998</v>
      </c>
      <c r="GE20" s="45">
        <v>975.72199999999998</v>
      </c>
      <c r="GF20" s="45">
        <v>975.72199999999998</v>
      </c>
      <c r="GG20" s="45">
        <v>975.72199999999998</v>
      </c>
      <c r="GH20" s="45">
        <v>975.72199999999998</v>
      </c>
      <c r="GI20" s="45">
        <v>975.72199999999998</v>
      </c>
      <c r="GJ20" s="45">
        <v>975.72199999999998</v>
      </c>
      <c r="GK20" s="45">
        <v>975.72199999999998</v>
      </c>
      <c r="GL20" s="69">
        <v>975.72199999999998</v>
      </c>
      <c r="GM20" s="45">
        <v>975.72199999999998</v>
      </c>
      <c r="GN20" s="45">
        <v>975.72199999999998</v>
      </c>
      <c r="GO20" s="45">
        <v>975.72199999999998</v>
      </c>
      <c r="GP20" s="45">
        <v>975.72199999999998</v>
      </c>
    </row>
    <row r="21" spans="1:200" s="1" customFormat="1" ht="20.149999999999999" customHeight="1" x14ac:dyDescent="0.35">
      <c r="A21" s="31" t="s">
        <v>278</v>
      </c>
      <c r="B21" s="45">
        <v>12.845000000000001</v>
      </c>
      <c r="C21" s="45">
        <v>13.856999999999999</v>
      </c>
      <c r="D21" s="45">
        <v>15.819000000000001</v>
      </c>
      <c r="E21" s="45">
        <v>18.035</v>
      </c>
      <c r="F21" s="45">
        <v>21.678999999999998</v>
      </c>
      <c r="G21" s="45">
        <v>26.094000000000001</v>
      </c>
      <c r="H21" s="45">
        <v>31.177</v>
      </c>
      <c r="I21" s="45">
        <v>36.463999999999999</v>
      </c>
      <c r="J21" s="45">
        <v>43.343000000000004</v>
      </c>
      <c r="K21" s="45">
        <v>51.899000000000001</v>
      </c>
      <c r="L21" s="45">
        <v>61.375</v>
      </c>
      <c r="M21" s="49">
        <v>68.727999999999994</v>
      </c>
      <c r="N21" s="50">
        <v>78.876999999999995</v>
      </c>
      <c r="O21" s="45">
        <v>91.263999999999996</v>
      </c>
      <c r="P21" s="45">
        <v>109.855</v>
      </c>
      <c r="Q21" s="45">
        <v>133.27199999999999</v>
      </c>
      <c r="R21" s="45">
        <v>155.833</v>
      </c>
      <c r="S21" s="45">
        <v>187.97499999999999</v>
      </c>
      <c r="T21" s="45">
        <v>258.32299999999998</v>
      </c>
      <c r="U21" s="45">
        <v>301.97300000000001</v>
      </c>
      <c r="V21" s="45">
        <v>366.24299999999999</v>
      </c>
      <c r="W21" s="45">
        <v>468.44299999999998</v>
      </c>
      <c r="X21" s="45">
        <v>659.84699999999998</v>
      </c>
      <c r="Y21" s="49">
        <v>838.26900000000001</v>
      </c>
      <c r="Z21" s="45">
        <v>861.54200000000003</v>
      </c>
      <c r="AA21" s="45">
        <v>1029.3030000000001</v>
      </c>
      <c r="AB21" s="45">
        <v>1129.694</v>
      </c>
      <c r="AC21" s="45">
        <v>1145.461</v>
      </c>
      <c r="AD21" s="45">
        <v>1179.6369999999999</v>
      </c>
      <c r="AE21" s="45">
        <v>1232.527</v>
      </c>
      <c r="AF21" s="45">
        <v>1365.8869999999999</v>
      </c>
      <c r="AG21" s="45">
        <v>1379.604</v>
      </c>
      <c r="AH21" s="45">
        <v>1397.1780000000001</v>
      </c>
      <c r="AI21" s="45">
        <v>1439.5060000000001</v>
      </c>
      <c r="AJ21" s="45">
        <v>1460.954</v>
      </c>
      <c r="AK21" s="49">
        <v>1481.809</v>
      </c>
      <c r="AL21" s="45">
        <v>1505.348</v>
      </c>
      <c r="AM21" s="45">
        <v>1532.778</v>
      </c>
      <c r="AN21" s="45">
        <v>1564.847</v>
      </c>
      <c r="AO21" s="45">
        <v>1611.0809999999999</v>
      </c>
      <c r="AP21" s="45">
        <v>1647.5050000000001</v>
      </c>
      <c r="AQ21" s="45">
        <v>1713.261</v>
      </c>
      <c r="AR21" s="45">
        <v>1742.0730000000001</v>
      </c>
      <c r="AS21" s="45">
        <v>1779.2139999999999</v>
      </c>
      <c r="AT21" s="45">
        <v>1815.9290000000001</v>
      </c>
      <c r="AU21" s="45">
        <v>1853.0050000000001</v>
      </c>
      <c r="AV21" s="45">
        <v>1896.32</v>
      </c>
      <c r="AW21" s="49">
        <v>1939.405</v>
      </c>
      <c r="AX21" s="45">
        <v>1973.627</v>
      </c>
      <c r="AY21" s="45">
        <v>2010.3620000000001</v>
      </c>
      <c r="AZ21" s="45">
        <v>2092.16</v>
      </c>
      <c r="BA21" s="45">
        <v>2128.4090000000001</v>
      </c>
      <c r="BB21" s="45">
        <v>2164.9960000000001</v>
      </c>
      <c r="BC21" s="45">
        <v>2225.0390000000002</v>
      </c>
      <c r="BD21" s="45">
        <v>2269.6909999999998</v>
      </c>
      <c r="BE21" s="45">
        <v>2313.4960000000001</v>
      </c>
      <c r="BF21" s="45">
        <v>2367.6959999999999</v>
      </c>
      <c r="BG21" s="45">
        <v>2424.8090000000002</v>
      </c>
      <c r="BH21" s="45">
        <v>2478.7249999999999</v>
      </c>
      <c r="BI21" s="49">
        <v>2551.1849999999999</v>
      </c>
      <c r="BJ21" s="45">
        <v>2583.3270000000002</v>
      </c>
      <c r="BK21" s="45">
        <v>2623.1889999999999</v>
      </c>
      <c r="BL21" s="45">
        <v>2711.2669999999998</v>
      </c>
      <c r="BM21" s="45">
        <v>2753.3420000000001</v>
      </c>
      <c r="BN21" s="45">
        <v>2801.4549999999999</v>
      </c>
      <c r="BO21" s="45">
        <v>2891.5219999999999</v>
      </c>
      <c r="BP21" s="45">
        <v>2942.0169999999998</v>
      </c>
      <c r="BQ21" s="45">
        <v>2993.5059999999999</v>
      </c>
      <c r="BR21" s="45">
        <v>3089.1280000000002</v>
      </c>
      <c r="BS21" s="45">
        <v>3164.587</v>
      </c>
      <c r="BT21" s="45">
        <v>3268.7570000000001</v>
      </c>
      <c r="BU21" s="49">
        <v>3472.1320000000001</v>
      </c>
      <c r="BV21" s="45">
        <v>3563.2489999999998</v>
      </c>
      <c r="BW21" s="45">
        <v>3582.5880000000002</v>
      </c>
      <c r="BX21" s="45">
        <v>3650.223</v>
      </c>
      <c r="BY21" s="45">
        <v>3659.5419999999999</v>
      </c>
      <c r="BZ21" s="45">
        <v>3675.181</v>
      </c>
      <c r="CA21" s="45">
        <v>3687.9609999999998</v>
      </c>
      <c r="CB21" s="45">
        <v>3700.32</v>
      </c>
      <c r="CC21" s="45">
        <v>3714.6840000000002</v>
      </c>
      <c r="CD21" s="45">
        <v>3734.759</v>
      </c>
      <c r="CE21" s="45">
        <v>3744.1840000000002</v>
      </c>
      <c r="CF21" s="45">
        <v>3753.857</v>
      </c>
      <c r="CG21" s="124">
        <v>3765.01</v>
      </c>
      <c r="CH21" s="69">
        <v>3769.7959999999998</v>
      </c>
      <c r="CI21" s="45">
        <v>3777.192</v>
      </c>
      <c r="CJ21" s="45">
        <v>3788.2489999999998</v>
      </c>
      <c r="CK21" s="45">
        <v>3796.078</v>
      </c>
      <c r="CL21" s="45">
        <v>3805.9589999999998</v>
      </c>
      <c r="CM21" s="45">
        <v>3817.9639999999999</v>
      </c>
      <c r="CN21" s="45">
        <v>3829.3490000000002</v>
      </c>
      <c r="CO21" s="45">
        <v>3843.1970000000001</v>
      </c>
      <c r="CP21" s="45">
        <v>3855.953</v>
      </c>
      <c r="CQ21" s="45">
        <v>3865.1489999999999</v>
      </c>
      <c r="CR21" s="45">
        <v>3876.2979999999998</v>
      </c>
      <c r="CS21" s="124">
        <v>3884.3519999999999</v>
      </c>
      <c r="CT21" s="69">
        <v>3892.1460000000002</v>
      </c>
      <c r="CU21" s="45">
        <v>3899.3510000000001</v>
      </c>
      <c r="CV21" s="45">
        <v>3911.4349999999999</v>
      </c>
      <c r="CW21" s="45">
        <v>3921.3150000000001</v>
      </c>
      <c r="CX21" s="45">
        <v>3931.78</v>
      </c>
      <c r="CY21" s="45">
        <v>3944.444</v>
      </c>
      <c r="CZ21" s="45">
        <v>3955.866</v>
      </c>
      <c r="DA21" s="45">
        <v>3967.7049999999999</v>
      </c>
      <c r="DB21" s="45">
        <v>3980.846</v>
      </c>
      <c r="DC21" s="45">
        <v>3992.8960000000002</v>
      </c>
      <c r="DD21" s="45">
        <v>4008.0219999999999</v>
      </c>
      <c r="DE21" s="124">
        <v>4026.8679999999999</v>
      </c>
      <c r="DF21" s="69">
        <v>4043.8629999999998</v>
      </c>
      <c r="DG21" s="45">
        <v>4068.7080000000001</v>
      </c>
      <c r="DH21" s="45">
        <v>4132.2510000000002</v>
      </c>
      <c r="DI21" s="45">
        <v>4136.4049999999997</v>
      </c>
      <c r="DJ21" s="45">
        <v>4137.1880000000001</v>
      </c>
      <c r="DK21" s="45">
        <v>4138.9549999999999</v>
      </c>
      <c r="DL21" s="45">
        <v>4140.3389999999999</v>
      </c>
      <c r="DM21" s="45">
        <v>4142.6559999999999</v>
      </c>
      <c r="DN21" s="45">
        <v>4145.34</v>
      </c>
      <c r="DO21" s="45">
        <v>4145.6840000000002</v>
      </c>
      <c r="DP21" s="45">
        <v>4146.1459999999997</v>
      </c>
      <c r="DQ21" s="124">
        <v>4146.5169999999998</v>
      </c>
      <c r="DR21" s="69">
        <v>4147.1409999999996</v>
      </c>
      <c r="DS21" s="45">
        <v>4147.9679999999998</v>
      </c>
      <c r="DT21" s="45">
        <v>4150.1779999999999</v>
      </c>
      <c r="DU21" s="45">
        <v>4150.1779999999999</v>
      </c>
      <c r="DV21" s="45">
        <v>4150.1779999999999</v>
      </c>
      <c r="DW21" s="45">
        <v>4150.2079999999996</v>
      </c>
      <c r="DX21" s="45">
        <v>4150.2380000000003</v>
      </c>
      <c r="DY21" s="45">
        <v>4150.4660000000003</v>
      </c>
      <c r="DZ21" s="45">
        <v>4150.6790000000001</v>
      </c>
      <c r="EA21" s="45">
        <v>4150.6869999999999</v>
      </c>
      <c r="EB21" s="45">
        <v>4150.6869999999999</v>
      </c>
      <c r="EC21" s="45">
        <v>4150.7470000000003</v>
      </c>
      <c r="ED21" s="69">
        <v>4150.7969999999996</v>
      </c>
      <c r="EE21" s="45">
        <v>4150.7969999999996</v>
      </c>
      <c r="EF21" s="45">
        <v>4150.7969999999996</v>
      </c>
      <c r="EG21" s="45">
        <v>4150.7969999999996</v>
      </c>
      <c r="EH21" s="45">
        <v>4150.7969999999996</v>
      </c>
      <c r="EI21" s="45">
        <v>4150.7969999999996</v>
      </c>
      <c r="EJ21" s="45">
        <v>4150.7969999999996</v>
      </c>
      <c r="EK21" s="45">
        <v>4150.7969999999996</v>
      </c>
      <c r="EL21" s="45">
        <v>4150.7969999999996</v>
      </c>
      <c r="EM21" s="45">
        <v>4150.7969999999996</v>
      </c>
      <c r="EN21" s="45">
        <v>4150.7969999999996</v>
      </c>
      <c r="EO21" s="45">
        <v>4150.7969999999996</v>
      </c>
      <c r="EP21" s="69">
        <v>4150.7969999999996</v>
      </c>
      <c r="EQ21" s="45">
        <v>4150.7969999999996</v>
      </c>
      <c r="ER21" s="45">
        <v>4150.7969999999996</v>
      </c>
      <c r="ES21" s="45">
        <v>4150.7969999999996</v>
      </c>
      <c r="ET21" s="45">
        <v>4150.7969999999996</v>
      </c>
      <c r="EU21" s="45">
        <v>4150.7969999999996</v>
      </c>
      <c r="EV21" s="45">
        <v>4150.7969999999996</v>
      </c>
      <c r="EW21" s="45">
        <v>4150.7969999999996</v>
      </c>
      <c r="EX21" s="45">
        <v>4150.7969999999996</v>
      </c>
      <c r="EY21" s="45">
        <v>4150.7969999999996</v>
      </c>
      <c r="EZ21" s="45">
        <v>4150.7969999999996</v>
      </c>
      <c r="FA21" s="82">
        <v>4150.7969999999996</v>
      </c>
      <c r="FB21" s="45">
        <v>4150.7969999999996</v>
      </c>
      <c r="FC21" s="45">
        <v>4150.7969999999996</v>
      </c>
      <c r="FD21" s="45">
        <v>4150.7969999999996</v>
      </c>
      <c r="FE21" s="45">
        <v>4150.7969999999996</v>
      </c>
      <c r="FF21" s="45">
        <v>4150.7969999999996</v>
      </c>
      <c r="FG21" s="45">
        <v>4150.7969999999996</v>
      </c>
      <c r="FH21" s="45">
        <v>4150.7969999999996</v>
      </c>
      <c r="FI21" s="45">
        <v>4150.7969999999996</v>
      </c>
      <c r="FJ21" s="45">
        <v>4150.7969999999996</v>
      </c>
      <c r="FK21" s="45">
        <v>4150.7969999999996</v>
      </c>
      <c r="FL21" s="45">
        <v>4150.7969999999996</v>
      </c>
      <c r="FM21" s="45">
        <v>4150.7969999999996</v>
      </c>
      <c r="FN21" s="69">
        <v>4150.7969999999996</v>
      </c>
      <c r="FO21" s="45">
        <v>4150.7969999999996</v>
      </c>
      <c r="FP21" s="45">
        <v>4150.7969999999996</v>
      </c>
      <c r="FQ21" s="45">
        <v>4150.7969999999996</v>
      </c>
      <c r="FR21" s="45">
        <v>4150.7969999999996</v>
      </c>
      <c r="FS21" s="45">
        <v>4150.7969999999996</v>
      </c>
      <c r="FT21" s="45">
        <v>4150.7969999999996</v>
      </c>
      <c r="FU21" s="45">
        <v>4150.7969999999996</v>
      </c>
      <c r="FV21" s="45">
        <v>4150.7969999999996</v>
      </c>
      <c r="FW21" s="45">
        <v>4150.7969999999996</v>
      </c>
      <c r="FX21" s="45">
        <v>4150.7969999999996</v>
      </c>
      <c r="FY21" s="45">
        <v>4150.7969999999996</v>
      </c>
      <c r="FZ21" s="69">
        <v>4150.7969999999996</v>
      </c>
      <c r="GA21" s="45">
        <v>4150.7969999999996</v>
      </c>
      <c r="GB21" s="45">
        <v>4150.7969999999996</v>
      </c>
      <c r="GC21" s="45">
        <v>4150.7969999999996</v>
      </c>
      <c r="GD21" s="45">
        <v>4150.7969999999996</v>
      </c>
      <c r="GE21" s="45">
        <v>4150.7969999999996</v>
      </c>
      <c r="GF21" s="45">
        <v>4150.7969999999996</v>
      </c>
      <c r="GG21" s="45">
        <v>4150.7969999999996</v>
      </c>
      <c r="GH21" s="45">
        <v>4150.7969999999996</v>
      </c>
      <c r="GI21" s="45">
        <v>4150.7969999999996</v>
      </c>
      <c r="GJ21" s="45">
        <v>4150.7969999999996</v>
      </c>
      <c r="GK21" s="45">
        <v>4150.7969999999996</v>
      </c>
      <c r="GL21" s="69">
        <v>4150.7969999999996</v>
      </c>
      <c r="GM21" s="45">
        <v>4150.7969999999996</v>
      </c>
      <c r="GN21" s="45">
        <v>4150.7969999999996</v>
      </c>
      <c r="GO21" s="45">
        <v>4150.7969999999996</v>
      </c>
      <c r="GP21" s="45">
        <v>4150.7969999999996</v>
      </c>
    </row>
    <row r="22" spans="1:200" s="1" customFormat="1" ht="20.149999999999999" customHeight="1" x14ac:dyDescent="0.35">
      <c r="A22" s="31" t="s">
        <v>279</v>
      </c>
      <c r="B22" s="45">
        <v>0</v>
      </c>
      <c r="C22" s="45">
        <v>0</v>
      </c>
      <c r="D22" s="45">
        <v>0</v>
      </c>
      <c r="E22" s="45">
        <v>0</v>
      </c>
      <c r="F22" s="45">
        <v>0</v>
      </c>
      <c r="G22" s="45">
        <v>0</v>
      </c>
      <c r="H22" s="45">
        <v>0</v>
      </c>
      <c r="I22" s="45">
        <v>0</v>
      </c>
      <c r="J22" s="45">
        <v>0</v>
      </c>
      <c r="K22" s="45">
        <v>0</v>
      </c>
      <c r="L22" s="45">
        <v>0</v>
      </c>
      <c r="M22" s="49">
        <v>0</v>
      </c>
      <c r="N22" s="50">
        <v>0</v>
      </c>
      <c r="O22" s="45">
        <v>0</v>
      </c>
      <c r="P22" s="45">
        <v>0</v>
      </c>
      <c r="Q22" s="45">
        <v>0</v>
      </c>
      <c r="R22" s="45">
        <v>0</v>
      </c>
      <c r="S22" s="45">
        <v>0</v>
      </c>
      <c r="T22" s="45">
        <v>1.4410000000000001</v>
      </c>
      <c r="U22" s="45">
        <v>1.4410000000000001</v>
      </c>
      <c r="V22" s="45">
        <v>1.4410000000000001</v>
      </c>
      <c r="W22" s="45">
        <v>1.4410000000000001</v>
      </c>
      <c r="X22" s="45">
        <v>1.4410000000000001</v>
      </c>
      <c r="Y22" s="49">
        <v>6.4409999999999998</v>
      </c>
      <c r="Z22" s="45">
        <v>6.4409999999999998</v>
      </c>
      <c r="AA22" s="45">
        <v>6.4409999999999998</v>
      </c>
      <c r="AB22" s="45">
        <v>6.4409999999999998</v>
      </c>
      <c r="AC22" s="45">
        <v>6.4409999999999998</v>
      </c>
      <c r="AD22" s="45">
        <v>6.4409999999999998</v>
      </c>
      <c r="AE22" s="45">
        <v>6.4409999999999998</v>
      </c>
      <c r="AF22" s="45">
        <v>6.4409999999999998</v>
      </c>
      <c r="AG22" s="45">
        <v>6.4409999999999998</v>
      </c>
      <c r="AH22" s="45">
        <v>6.4409999999999998</v>
      </c>
      <c r="AI22" s="45">
        <v>6.4409999999999998</v>
      </c>
      <c r="AJ22" s="45">
        <v>6.4409999999999998</v>
      </c>
      <c r="AK22" s="49">
        <v>6.4409999999999998</v>
      </c>
      <c r="AL22" s="45">
        <v>6.4409999999999998</v>
      </c>
      <c r="AM22" s="45">
        <v>6.4409999999999998</v>
      </c>
      <c r="AN22" s="45">
        <v>93.528999999999996</v>
      </c>
      <c r="AO22" s="45">
        <v>99.16</v>
      </c>
      <c r="AP22" s="45">
        <v>118.131</v>
      </c>
      <c r="AQ22" s="45">
        <v>176.33500000000001</v>
      </c>
      <c r="AR22" s="45">
        <v>180.78800000000001</v>
      </c>
      <c r="AS22" s="45">
        <v>203.63399999999999</v>
      </c>
      <c r="AT22" s="45">
        <v>206.53399999999999</v>
      </c>
      <c r="AU22" s="45">
        <v>206.53399999999999</v>
      </c>
      <c r="AV22" s="45">
        <v>261.53500000000003</v>
      </c>
      <c r="AW22" s="49">
        <v>271.57900000000001</v>
      </c>
      <c r="AX22" s="45">
        <v>357.81900000000002</v>
      </c>
      <c r="AY22" s="45">
        <v>397.91199999999998</v>
      </c>
      <c r="AZ22" s="45">
        <v>1292.3420000000001</v>
      </c>
      <c r="BA22" s="45">
        <v>1301.3330000000001</v>
      </c>
      <c r="BB22" s="45">
        <v>1352.367</v>
      </c>
      <c r="BC22" s="45">
        <v>1412.1610000000001</v>
      </c>
      <c r="BD22" s="45">
        <v>1524.8610000000001</v>
      </c>
      <c r="BE22" s="45">
        <v>1535.962</v>
      </c>
      <c r="BF22" s="45">
        <v>1680.5409999999999</v>
      </c>
      <c r="BG22" s="45">
        <v>1784.5129999999999</v>
      </c>
      <c r="BH22" s="45">
        <v>1856.7940000000001</v>
      </c>
      <c r="BI22" s="49">
        <v>2068.0369999999998</v>
      </c>
      <c r="BJ22" s="45">
        <v>2100.4749999999999</v>
      </c>
      <c r="BK22" s="45">
        <v>2209.6840000000002</v>
      </c>
      <c r="BL22" s="45">
        <v>4426.5820000000003</v>
      </c>
      <c r="BM22" s="45">
        <v>4428.4669999999996</v>
      </c>
      <c r="BN22" s="45">
        <v>4433.09</v>
      </c>
      <c r="BO22" s="45">
        <v>4433.09</v>
      </c>
      <c r="BP22" s="45">
        <v>4453.4080000000004</v>
      </c>
      <c r="BQ22" s="45">
        <v>4487.8549999999996</v>
      </c>
      <c r="BR22" s="45">
        <v>4491.8459999999995</v>
      </c>
      <c r="BS22" s="45">
        <v>4543.027</v>
      </c>
      <c r="BT22" s="45">
        <v>4580.5209999999997</v>
      </c>
      <c r="BU22" s="49">
        <v>4673.1750000000002</v>
      </c>
      <c r="BV22" s="45">
        <v>4710.43</v>
      </c>
      <c r="BW22" s="45">
        <v>4784.7579999999998</v>
      </c>
      <c r="BX22" s="45">
        <v>5831.6030000000001</v>
      </c>
      <c r="BY22" s="45">
        <v>5878.1610000000001</v>
      </c>
      <c r="BZ22" s="45">
        <v>5892.9579999999996</v>
      </c>
      <c r="CA22" s="45">
        <v>5912.924</v>
      </c>
      <c r="CB22" s="45">
        <v>5922.902</v>
      </c>
      <c r="CC22" s="45">
        <v>5937.3509999999997</v>
      </c>
      <c r="CD22" s="45">
        <v>5946.97</v>
      </c>
      <c r="CE22" s="45">
        <v>5973.8440000000001</v>
      </c>
      <c r="CF22" s="45">
        <v>5996.84</v>
      </c>
      <c r="CG22" s="124">
        <v>6053.018</v>
      </c>
      <c r="CH22" s="69">
        <v>6071.433</v>
      </c>
      <c r="CI22" s="45">
        <v>6153.5690000000004</v>
      </c>
      <c r="CJ22" s="45">
        <v>6646.5209999999997</v>
      </c>
      <c r="CK22" s="45">
        <v>6654.51</v>
      </c>
      <c r="CL22" s="45">
        <v>6658.89</v>
      </c>
      <c r="CM22" s="45">
        <v>6658.89</v>
      </c>
      <c r="CN22" s="45">
        <v>6663.7929999999997</v>
      </c>
      <c r="CO22" s="45">
        <v>6663.7929999999997</v>
      </c>
      <c r="CP22" s="45">
        <v>6663.7929999999997</v>
      </c>
      <c r="CQ22" s="45">
        <v>6663.7929999999997</v>
      </c>
      <c r="CR22" s="45">
        <v>6663.7929999999997</v>
      </c>
      <c r="CS22" s="124">
        <v>6669.7529999999997</v>
      </c>
      <c r="CT22" s="69">
        <v>6696.8530000000001</v>
      </c>
      <c r="CU22" s="45">
        <v>6703.3530000000001</v>
      </c>
      <c r="CV22" s="45">
        <v>6727.4470000000001</v>
      </c>
      <c r="CW22" s="45">
        <v>6740.4470000000001</v>
      </c>
      <c r="CX22" s="45">
        <v>6740.4470000000001</v>
      </c>
      <c r="CY22" s="45">
        <v>6743.7389999999996</v>
      </c>
      <c r="CZ22" s="45">
        <v>6743.7389999999996</v>
      </c>
      <c r="DA22" s="45">
        <v>6743.7389999999996</v>
      </c>
      <c r="DB22" s="45">
        <v>6743.7389999999996</v>
      </c>
      <c r="DC22" s="45">
        <v>6743.7389999999996</v>
      </c>
      <c r="DD22" s="45">
        <v>6743.7389999999996</v>
      </c>
      <c r="DE22" s="124">
        <v>6743.7389999999996</v>
      </c>
      <c r="DF22" s="69">
        <v>6743.7389999999996</v>
      </c>
      <c r="DG22" s="45">
        <v>6743.7389999999996</v>
      </c>
      <c r="DH22" s="45">
        <v>6743.7389999999996</v>
      </c>
      <c r="DI22" s="45">
        <v>6743.7389999999996</v>
      </c>
      <c r="DJ22" s="45">
        <v>6743.7389999999996</v>
      </c>
      <c r="DK22" s="45">
        <v>6743.7389999999996</v>
      </c>
      <c r="DL22" s="45">
        <v>6743.7389999999996</v>
      </c>
      <c r="DM22" s="45">
        <v>6743.7389999999996</v>
      </c>
      <c r="DN22" s="45">
        <v>6743.7389999999996</v>
      </c>
      <c r="DO22" s="45">
        <v>6743.7389999999996</v>
      </c>
      <c r="DP22" s="45">
        <v>6743.7389999999996</v>
      </c>
      <c r="DQ22" s="124">
        <v>6743.7389999999996</v>
      </c>
      <c r="DR22" s="69">
        <v>6743.7389999999996</v>
      </c>
      <c r="DS22" s="45">
        <v>6743.7389999999996</v>
      </c>
      <c r="DT22" s="45">
        <v>6743.7389999999996</v>
      </c>
      <c r="DU22" s="45">
        <v>6743.7389999999996</v>
      </c>
      <c r="DV22" s="45">
        <v>6743.7389999999996</v>
      </c>
      <c r="DW22" s="45">
        <v>6743.7389999999996</v>
      </c>
      <c r="DX22" s="45">
        <v>6743.7389999999996</v>
      </c>
      <c r="DY22" s="45">
        <v>6743.7389999999996</v>
      </c>
      <c r="DZ22" s="45">
        <v>6743.7389999999996</v>
      </c>
      <c r="EA22" s="45">
        <v>6743.7389999999996</v>
      </c>
      <c r="EB22" s="45">
        <v>6743.7389999999996</v>
      </c>
      <c r="EC22" s="45">
        <v>6743.7389999999996</v>
      </c>
      <c r="ED22" s="69">
        <v>6743.7389999999996</v>
      </c>
      <c r="EE22" s="45">
        <v>6743.7389999999996</v>
      </c>
      <c r="EF22" s="45">
        <v>6743.7389999999996</v>
      </c>
      <c r="EG22" s="45">
        <v>6743.7389999999996</v>
      </c>
      <c r="EH22" s="45">
        <v>6743.7389999999996</v>
      </c>
      <c r="EI22" s="45">
        <v>6743.7389999999996</v>
      </c>
      <c r="EJ22" s="45">
        <v>6743.7389999999996</v>
      </c>
      <c r="EK22" s="45">
        <v>6743.7389999999996</v>
      </c>
      <c r="EL22" s="45">
        <v>6743.7389999999996</v>
      </c>
      <c r="EM22" s="45">
        <v>6743.7389999999996</v>
      </c>
      <c r="EN22" s="45">
        <v>6743.7389999999996</v>
      </c>
      <c r="EO22" s="45">
        <v>6743.7389999999996</v>
      </c>
      <c r="EP22" s="69">
        <v>6743.7389999999996</v>
      </c>
      <c r="EQ22" s="45">
        <v>6743.7389999999996</v>
      </c>
      <c r="ER22" s="45">
        <v>6743.7389999999996</v>
      </c>
      <c r="ES22" s="45">
        <v>6743.7389999999996</v>
      </c>
      <c r="ET22" s="45">
        <v>6743.7389999999996</v>
      </c>
      <c r="EU22" s="45">
        <v>6743.7389999999996</v>
      </c>
      <c r="EV22" s="45">
        <v>6743.7389999999996</v>
      </c>
      <c r="EW22" s="45">
        <v>6743.7389999999996</v>
      </c>
      <c r="EX22" s="45">
        <v>6743.7389999999996</v>
      </c>
      <c r="EY22" s="45">
        <v>6743.7389999999996</v>
      </c>
      <c r="EZ22" s="45">
        <v>6743.7389999999996</v>
      </c>
      <c r="FA22" s="82">
        <v>6743.7389999999996</v>
      </c>
      <c r="FB22" s="45">
        <v>6743.7389999999996</v>
      </c>
      <c r="FC22" s="45">
        <v>6743.7389999999996</v>
      </c>
      <c r="FD22" s="45">
        <v>6743.7389999999996</v>
      </c>
      <c r="FE22" s="45">
        <v>6743.7389999999996</v>
      </c>
      <c r="FF22" s="45">
        <v>6743.7389999999996</v>
      </c>
      <c r="FG22" s="45">
        <v>6743.7389999999996</v>
      </c>
      <c r="FH22" s="45">
        <v>6743.7389999999996</v>
      </c>
      <c r="FI22" s="45">
        <v>6743.7389999999996</v>
      </c>
      <c r="FJ22" s="45">
        <v>6743.7389999999996</v>
      </c>
      <c r="FK22" s="45">
        <v>6743.7389999999996</v>
      </c>
      <c r="FL22" s="45">
        <v>6743.7389999999996</v>
      </c>
      <c r="FM22" s="45">
        <v>6743.7389999999996</v>
      </c>
      <c r="FN22" s="69">
        <v>6743.7389999999996</v>
      </c>
      <c r="FO22" s="45">
        <v>6743.7389999999996</v>
      </c>
      <c r="FP22" s="45">
        <v>6743.7389999999996</v>
      </c>
      <c r="FQ22" s="45">
        <v>6743.7389999999996</v>
      </c>
      <c r="FR22" s="45">
        <v>6743.7389999999996</v>
      </c>
      <c r="FS22" s="45">
        <v>6743.7389999999996</v>
      </c>
      <c r="FT22" s="45">
        <v>6743.7389999999996</v>
      </c>
      <c r="FU22" s="45">
        <v>6743.7389999999996</v>
      </c>
      <c r="FV22" s="45">
        <v>6743.7389999999996</v>
      </c>
      <c r="FW22" s="45">
        <v>6743.7389999999996</v>
      </c>
      <c r="FX22" s="45">
        <v>6743.7389999999996</v>
      </c>
      <c r="FY22" s="45">
        <v>6743.7389999999996</v>
      </c>
      <c r="FZ22" s="69">
        <v>6743.7389999999996</v>
      </c>
      <c r="GA22" s="45">
        <v>6743.7389999999996</v>
      </c>
      <c r="GB22" s="45">
        <v>6743.7389999999996</v>
      </c>
      <c r="GC22" s="45">
        <v>6743.7389999999996</v>
      </c>
      <c r="GD22" s="45">
        <v>6743.7389999999996</v>
      </c>
      <c r="GE22" s="45">
        <v>6743.7389999999996</v>
      </c>
      <c r="GF22" s="45">
        <v>6743.7389999999996</v>
      </c>
      <c r="GG22" s="45">
        <v>6743.7389999999996</v>
      </c>
      <c r="GH22" s="45">
        <v>6743.7389999999996</v>
      </c>
      <c r="GI22" s="45">
        <v>6743.7389999999996</v>
      </c>
      <c r="GJ22" s="45">
        <v>6743.7389999999996</v>
      </c>
      <c r="GK22" s="45">
        <v>6743.7389999999996</v>
      </c>
      <c r="GL22" s="69">
        <v>6743.7389999999996</v>
      </c>
      <c r="GM22" s="45">
        <v>6743.7389999999996</v>
      </c>
      <c r="GN22" s="45">
        <v>6743.7389999999996</v>
      </c>
      <c r="GO22" s="45">
        <v>6743.7389999999996</v>
      </c>
      <c r="GP22" s="45">
        <v>6743.7389999999996</v>
      </c>
    </row>
    <row r="23" spans="1:200" s="1" customFormat="1" ht="20.149999999999999" customHeight="1" x14ac:dyDescent="0.35">
      <c r="A23" s="31" t="s">
        <v>280</v>
      </c>
      <c r="B23" s="45">
        <v>1.95</v>
      </c>
      <c r="C23" s="45">
        <v>1.95</v>
      </c>
      <c r="D23" s="45">
        <v>1.99</v>
      </c>
      <c r="E23" s="45">
        <v>2.0030000000000001</v>
      </c>
      <c r="F23" s="45">
        <v>2.0089999999999999</v>
      </c>
      <c r="G23" s="45">
        <v>2.0369999999999999</v>
      </c>
      <c r="H23" s="45">
        <v>2.056</v>
      </c>
      <c r="I23" s="45">
        <v>2.0590000000000002</v>
      </c>
      <c r="J23" s="45">
        <v>2.06</v>
      </c>
      <c r="K23" s="45">
        <v>2.0720000000000001</v>
      </c>
      <c r="L23" s="45">
        <v>2.0910000000000002</v>
      </c>
      <c r="M23" s="49">
        <v>2.1019999999999999</v>
      </c>
      <c r="N23" s="50">
        <v>2.1019999999999999</v>
      </c>
      <c r="O23" s="45">
        <v>2.1110000000000002</v>
      </c>
      <c r="P23" s="45">
        <v>2.1259999999999999</v>
      </c>
      <c r="Q23" s="45">
        <v>2.1339999999999999</v>
      </c>
      <c r="R23" s="45">
        <v>2.1859999999999999</v>
      </c>
      <c r="S23" s="45">
        <v>2.23</v>
      </c>
      <c r="T23" s="45">
        <v>2.2469999999999999</v>
      </c>
      <c r="U23" s="45">
        <v>2.2799999999999998</v>
      </c>
      <c r="V23" s="45">
        <v>2.33</v>
      </c>
      <c r="W23" s="45">
        <v>7.2510000000000003</v>
      </c>
      <c r="X23" s="45">
        <v>7.3689999999999998</v>
      </c>
      <c r="Y23" s="49">
        <v>7.5380000000000003</v>
      </c>
      <c r="Z23" s="45">
        <v>7.7220000000000004</v>
      </c>
      <c r="AA23" s="45">
        <v>7.806</v>
      </c>
      <c r="AB23" s="45">
        <v>8.9450000000000003</v>
      </c>
      <c r="AC23" s="45">
        <v>9.0370000000000008</v>
      </c>
      <c r="AD23" s="45">
        <v>9.1180000000000003</v>
      </c>
      <c r="AE23" s="45">
        <v>9.2260000000000009</v>
      </c>
      <c r="AF23" s="45">
        <v>9.327</v>
      </c>
      <c r="AG23" s="45">
        <v>9.7739999999999991</v>
      </c>
      <c r="AH23" s="45">
        <v>10.223000000000001</v>
      </c>
      <c r="AI23" s="45">
        <v>10.978999999999999</v>
      </c>
      <c r="AJ23" s="45">
        <v>13.85</v>
      </c>
      <c r="AK23" s="49">
        <v>14.477</v>
      </c>
      <c r="AL23" s="45">
        <v>18.105</v>
      </c>
      <c r="AM23" s="45">
        <v>59.723999999999997</v>
      </c>
      <c r="AN23" s="45">
        <v>331.01100000000002</v>
      </c>
      <c r="AO23" s="45">
        <v>331.82900000000001</v>
      </c>
      <c r="AP23" s="45">
        <v>345.44400000000002</v>
      </c>
      <c r="AQ23" s="45">
        <v>346.68299999999999</v>
      </c>
      <c r="AR23" s="45">
        <v>348.72500000000002</v>
      </c>
      <c r="AS23" s="45">
        <v>351.50900000000001</v>
      </c>
      <c r="AT23" s="45">
        <v>354.30900000000003</v>
      </c>
      <c r="AU23" s="45">
        <v>356.98200000000003</v>
      </c>
      <c r="AV23" s="45">
        <v>360.41399999999999</v>
      </c>
      <c r="AW23" s="49">
        <v>362.98399999999998</v>
      </c>
      <c r="AX23" s="45">
        <v>366.54</v>
      </c>
      <c r="AY23" s="45">
        <v>409.517</v>
      </c>
      <c r="AZ23" s="45">
        <v>431.02600000000001</v>
      </c>
      <c r="BA23" s="45">
        <v>433.31200000000001</v>
      </c>
      <c r="BB23" s="45">
        <v>436.21800000000002</v>
      </c>
      <c r="BC23" s="45">
        <v>439.98099999999999</v>
      </c>
      <c r="BD23" s="45">
        <v>443.15</v>
      </c>
      <c r="BE23" s="45">
        <v>445.31400000000002</v>
      </c>
      <c r="BF23" s="45">
        <v>447.97899999999998</v>
      </c>
      <c r="BG23" s="45">
        <v>450.971</v>
      </c>
      <c r="BH23" s="45">
        <v>453.31</v>
      </c>
      <c r="BI23" s="49">
        <v>457.48899999999998</v>
      </c>
      <c r="BJ23" s="45">
        <v>466.33300000000003</v>
      </c>
      <c r="BK23" s="45">
        <v>469.065</v>
      </c>
      <c r="BL23" s="45">
        <v>475.51400000000001</v>
      </c>
      <c r="BM23" s="45">
        <v>478.16800000000001</v>
      </c>
      <c r="BN23" s="45">
        <v>485.67500000000001</v>
      </c>
      <c r="BO23" s="45">
        <v>489.005</v>
      </c>
      <c r="BP23" s="45">
        <v>491.61700000000002</v>
      </c>
      <c r="BQ23" s="45">
        <v>496.7</v>
      </c>
      <c r="BR23" s="45">
        <v>508.495</v>
      </c>
      <c r="BS23" s="45">
        <v>512.71699999999998</v>
      </c>
      <c r="BT23" s="45">
        <v>516.33399999999995</v>
      </c>
      <c r="BU23" s="49">
        <v>517.87699999999995</v>
      </c>
      <c r="BV23" s="45">
        <v>523.28800000000001</v>
      </c>
      <c r="BW23" s="45">
        <v>527.03800000000001</v>
      </c>
      <c r="BX23" s="45">
        <v>541.91499999999996</v>
      </c>
      <c r="BY23" s="45">
        <v>545.01599999999996</v>
      </c>
      <c r="BZ23" s="45">
        <v>546.27200000000005</v>
      </c>
      <c r="CA23" s="45">
        <v>549.16</v>
      </c>
      <c r="CB23" s="45">
        <v>551.07000000000005</v>
      </c>
      <c r="CC23" s="45">
        <v>553.33000000000004</v>
      </c>
      <c r="CD23" s="45">
        <v>560.43899999999996</v>
      </c>
      <c r="CE23" s="45">
        <v>560.60199999999998</v>
      </c>
      <c r="CF23" s="45">
        <v>560.87</v>
      </c>
      <c r="CG23" s="124">
        <v>561.11500000000001</v>
      </c>
      <c r="CH23" s="69">
        <v>561.31500000000005</v>
      </c>
      <c r="CI23" s="45">
        <v>561.86</v>
      </c>
      <c r="CJ23" s="45">
        <v>564.12599999999998</v>
      </c>
      <c r="CK23" s="45">
        <v>564.12599999999998</v>
      </c>
      <c r="CL23" s="45">
        <v>564.12599999999998</v>
      </c>
      <c r="CM23" s="45">
        <v>564.12599999999998</v>
      </c>
      <c r="CN23" s="45">
        <v>564.12599999999998</v>
      </c>
      <c r="CO23" s="45">
        <v>564.12599999999998</v>
      </c>
      <c r="CP23" s="45">
        <v>564.12599999999998</v>
      </c>
      <c r="CQ23" s="45">
        <v>564.12599999999998</v>
      </c>
      <c r="CR23" s="45">
        <v>564.12599999999998</v>
      </c>
      <c r="CS23" s="124">
        <v>564.12599999999998</v>
      </c>
      <c r="CT23" s="69">
        <v>564.12599999999998</v>
      </c>
      <c r="CU23" s="45">
        <v>564.12599999999998</v>
      </c>
      <c r="CV23" s="45">
        <v>564.29600000000005</v>
      </c>
      <c r="CW23" s="45">
        <v>564.29600000000005</v>
      </c>
      <c r="CX23" s="45">
        <v>564.29600000000005</v>
      </c>
      <c r="CY23" s="45">
        <v>564.29600000000005</v>
      </c>
      <c r="CZ23" s="45">
        <v>564.29600000000005</v>
      </c>
      <c r="DA23" s="45">
        <v>564.29600000000005</v>
      </c>
      <c r="DB23" s="45">
        <v>564.29600000000005</v>
      </c>
      <c r="DC23" s="45">
        <v>564.29600000000005</v>
      </c>
      <c r="DD23" s="45">
        <v>564.29600000000005</v>
      </c>
      <c r="DE23" s="124">
        <v>564.29600000000005</v>
      </c>
      <c r="DF23" s="69">
        <v>564.29600000000005</v>
      </c>
      <c r="DG23" s="45">
        <v>564.29600000000005</v>
      </c>
      <c r="DH23" s="45">
        <v>564.29600000000005</v>
      </c>
      <c r="DI23" s="45">
        <v>564.29600000000005</v>
      </c>
      <c r="DJ23" s="45">
        <v>564.29600000000005</v>
      </c>
      <c r="DK23" s="45">
        <v>564.29600000000005</v>
      </c>
      <c r="DL23" s="45">
        <v>564.29600000000005</v>
      </c>
      <c r="DM23" s="45">
        <v>564.29600000000005</v>
      </c>
      <c r="DN23" s="45">
        <v>564.29600000000005</v>
      </c>
      <c r="DO23" s="45">
        <v>564.29600000000005</v>
      </c>
      <c r="DP23" s="45">
        <v>564.29600000000005</v>
      </c>
      <c r="DQ23" s="124">
        <v>564.29600000000005</v>
      </c>
      <c r="DR23" s="69">
        <v>564.29600000000005</v>
      </c>
      <c r="DS23" s="45">
        <v>564.29600000000005</v>
      </c>
      <c r="DT23" s="45">
        <v>564.29600000000005</v>
      </c>
      <c r="DU23" s="45">
        <v>564.29600000000005</v>
      </c>
      <c r="DV23" s="45">
        <v>564.29600000000005</v>
      </c>
      <c r="DW23" s="45">
        <v>564.29600000000005</v>
      </c>
      <c r="DX23" s="45">
        <v>564.29600000000005</v>
      </c>
      <c r="DY23" s="45">
        <v>564.29600000000005</v>
      </c>
      <c r="DZ23" s="45">
        <v>564.29600000000005</v>
      </c>
      <c r="EA23" s="45">
        <v>564.29600000000005</v>
      </c>
      <c r="EB23" s="45">
        <v>564.29600000000005</v>
      </c>
      <c r="EC23" s="45">
        <v>564.29600000000005</v>
      </c>
      <c r="ED23" s="69">
        <v>564.29600000000005</v>
      </c>
      <c r="EE23" s="45">
        <v>564.29600000000005</v>
      </c>
      <c r="EF23" s="45">
        <v>564.29600000000005</v>
      </c>
      <c r="EG23" s="45">
        <v>564.29600000000005</v>
      </c>
      <c r="EH23" s="45">
        <v>564.29600000000005</v>
      </c>
      <c r="EI23" s="45">
        <v>564.29600000000005</v>
      </c>
      <c r="EJ23" s="45">
        <v>564.29600000000005</v>
      </c>
      <c r="EK23" s="45">
        <v>564.29600000000005</v>
      </c>
      <c r="EL23" s="45">
        <v>564.29600000000005</v>
      </c>
      <c r="EM23" s="45">
        <v>564.29600000000005</v>
      </c>
      <c r="EN23" s="45">
        <v>564.29600000000005</v>
      </c>
      <c r="EO23" s="45">
        <v>564.29600000000005</v>
      </c>
      <c r="EP23" s="69">
        <v>564.29600000000005</v>
      </c>
      <c r="EQ23" s="45">
        <v>564.29600000000005</v>
      </c>
      <c r="ER23" s="45">
        <v>564.29600000000005</v>
      </c>
      <c r="ES23" s="45">
        <v>564.29600000000005</v>
      </c>
      <c r="ET23" s="45">
        <v>564.29600000000005</v>
      </c>
      <c r="EU23" s="45">
        <v>564.29600000000005</v>
      </c>
      <c r="EV23" s="45">
        <v>564.29600000000005</v>
      </c>
      <c r="EW23" s="45">
        <v>564.29600000000005</v>
      </c>
      <c r="EX23" s="45">
        <v>564.29600000000005</v>
      </c>
      <c r="EY23" s="45">
        <v>564.29600000000005</v>
      </c>
      <c r="EZ23" s="45">
        <v>564.29600000000005</v>
      </c>
      <c r="FA23" s="82">
        <v>564.29600000000005</v>
      </c>
      <c r="FB23" s="45">
        <v>564.29600000000005</v>
      </c>
      <c r="FC23" s="45">
        <v>564.29600000000005</v>
      </c>
      <c r="FD23" s="45">
        <v>564.29600000000005</v>
      </c>
      <c r="FE23" s="45">
        <v>564.29600000000005</v>
      </c>
      <c r="FF23" s="45">
        <v>564.29600000000005</v>
      </c>
      <c r="FG23" s="45">
        <v>564.29600000000005</v>
      </c>
      <c r="FH23" s="45">
        <v>564.29600000000005</v>
      </c>
      <c r="FI23" s="45">
        <v>564.29600000000005</v>
      </c>
      <c r="FJ23" s="45">
        <v>564.29600000000005</v>
      </c>
      <c r="FK23" s="45">
        <v>564.29600000000005</v>
      </c>
      <c r="FL23" s="45">
        <v>564.29600000000005</v>
      </c>
      <c r="FM23" s="45">
        <v>564.29600000000005</v>
      </c>
      <c r="FN23" s="69">
        <v>587.51599999999996</v>
      </c>
      <c r="FO23" s="45">
        <v>587.51599999999996</v>
      </c>
      <c r="FP23" s="45">
        <v>591.98500000000001</v>
      </c>
      <c r="FQ23" s="45">
        <v>591.98500000000001</v>
      </c>
      <c r="FR23" s="45">
        <v>594.08199999999999</v>
      </c>
      <c r="FS23" s="45">
        <v>594.73199999999997</v>
      </c>
      <c r="FT23" s="45">
        <v>594.73199999999997</v>
      </c>
      <c r="FU23" s="45">
        <v>595.45799999999997</v>
      </c>
      <c r="FV23" s="45">
        <v>595.45799999999997</v>
      </c>
      <c r="FW23" s="45">
        <v>619.54</v>
      </c>
      <c r="FX23" s="45">
        <v>619.54</v>
      </c>
      <c r="FY23" s="45">
        <v>619.54</v>
      </c>
      <c r="FZ23" s="69">
        <v>619.54</v>
      </c>
      <c r="GA23" s="45">
        <v>619.54</v>
      </c>
      <c r="GB23" s="45">
        <v>619.54</v>
      </c>
      <c r="GC23" s="45">
        <v>619.54</v>
      </c>
      <c r="GD23" s="45">
        <v>619.54</v>
      </c>
      <c r="GE23" s="45">
        <v>619.54</v>
      </c>
      <c r="GF23" s="45">
        <v>619.54</v>
      </c>
      <c r="GG23" s="45">
        <v>619.54</v>
      </c>
      <c r="GH23" s="45">
        <v>619.54</v>
      </c>
      <c r="GI23" s="45">
        <v>619.54</v>
      </c>
      <c r="GJ23" s="45">
        <v>619.54</v>
      </c>
      <c r="GK23" s="45">
        <v>619.54</v>
      </c>
      <c r="GL23" s="69">
        <v>619.54</v>
      </c>
      <c r="GM23" s="45">
        <v>619.54</v>
      </c>
      <c r="GN23" s="45">
        <v>619.54</v>
      </c>
      <c r="GO23" s="45">
        <v>619.54</v>
      </c>
      <c r="GP23" s="45">
        <v>619.54</v>
      </c>
      <c r="GQ23" s="206"/>
      <c r="GR23" s="206"/>
    </row>
    <row r="24" spans="1:200" s="1" customFormat="1" ht="20.149999999999999" customHeight="1" x14ac:dyDescent="0.35">
      <c r="A24" s="31" t="s">
        <v>281</v>
      </c>
      <c r="B24" s="45">
        <v>0</v>
      </c>
      <c r="C24" s="45">
        <v>0</v>
      </c>
      <c r="D24" s="45">
        <v>0</v>
      </c>
      <c r="E24" s="45">
        <v>0</v>
      </c>
      <c r="F24" s="45">
        <v>0</v>
      </c>
      <c r="G24" s="45">
        <v>0</v>
      </c>
      <c r="H24" s="45">
        <v>0</v>
      </c>
      <c r="I24" s="45">
        <v>0</v>
      </c>
      <c r="J24" s="45">
        <v>0</v>
      </c>
      <c r="K24" s="45">
        <v>0</v>
      </c>
      <c r="L24" s="45">
        <v>0</v>
      </c>
      <c r="M24" s="49">
        <v>0</v>
      </c>
      <c r="N24" s="50">
        <v>0</v>
      </c>
      <c r="O24" s="45">
        <v>0</v>
      </c>
      <c r="P24" s="45">
        <v>0</v>
      </c>
      <c r="Q24" s="45">
        <v>0</v>
      </c>
      <c r="R24" s="45">
        <v>0</v>
      </c>
      <c r="S24" s="45">
        <v>0</v>
      </c>
      <c r="T24" s="45">
        <v>0</v>
      </c>
      <c r="U24" s="45">
        <v>0</v>
      </c>
      <c r="V24" s="45">
        <v>0</v>
      </c>
      <c r="W24" s="45">
        <v>0</v>
      </c>
      <c r="X24" s="45">
        <v>0</v>
      </c>
      <c r="Y24" s="49">
        <v>0</v>
      </c>
      <c r="Z24" s="45">
        <v>0</v>
      </c>
      <c r="AA24" s="45">
        <v>0</v>
      </c>
      <c r="AB24" s="45">
        <v>0</v>
      </c>
      <c r="AC24" s="45">
        <v>0</v>
      </c>
      <c r="AD24" s="45">
        <v>0</v>
      </c>
      <c r="AE24" s="45">
        <v>0</v>
      </c>
      <c r="AF24" s="45">
        <v>0</v>
      </c>
      <c r="AG24" s="45">
        <v>0</v>
      </c>
      <c r="AH24" s="45">
        <v>0</v>
      </c>
      <c r="AI24" s="45">
        <v>0</v>
      </c>
      <c r="AJ24" s="45">
        <v>0</v>
      </c>
      <c r="AK24" s="49">
        <v>0</v>
      </c>
      <c r="AL24" s="45">
        <v>0</v>
      </c>
      <c r="AM24" s="45">
        <v>0</v>
      </c>
      <c r="AN24" s="45">
        <v>0</v>
      </c>
      <c r="AO24" s="45">
        <v>0</v>
      </c>
      <c r="AP24" s="45">
        <v>0</v>
      </c>
      <c r="AQ24" s="45">
        <v>0</v>
      </c>
      <c r="AR24" s="45">
        <v>0</v>
      </c>
      <c r="AS24" s="45">
        <v>0</v>
      </c>
      <c r="AT24" s="45">
        <v>0</v>
      </c>
      <c r="AU24" s="45">
        <v>0</v>
      </c>
      <c r="AV24" s="45">
        <v>0</v>
      </c>
      <c r="AW24" s="49">
        <v>0</v>
      </c>
      <c r="AX24" s="45">
        <v>0</v>
      </c>
      <c r="AY24" s="45">
        <v>0</v>
      </c>
      <c r="AZ24" s="45">
        <v>0</v>
      </c>
      <c r="BA24" s="45">
        <v>0</v>
      </c>
      <c r="BB24" s="45">
        <v>0</v>
      </c>
      <c r="BC24" s="45">
        <v>0</v>
      </c>
      <c r="BD24" s="45">
        <v>0</v>
      </c>
      <c r="BE24" s="45">
        <v>0</v>
      </c>
      <c r="BF24" s="45">
        <v>0</v>
      </c>
      <c r="BG24" s="45">
        <v>0</v>
      </c>
      <c r="BH24" s="45">
        <v>0</v>
      </c>
      <c r="BI24" s="49">
        <v>0</v>
      </c>
      <c r="BJ24" s="45">
        <v>0</v>
      </c>
      <c r="BK24" s="45">
        <v>0</v>
      </c>
      <c r="BL24" s="45">
        <v>0</v>
      </c>
      <c r="BM24" s="45">
        <v>0</v>
      </c>
      <c r="BN24" s="45">
        <v>0</v>
      </c>
      <c r="BO24" s="45">
        <v>0</v>
      </c>
      <c r="BP24" s="45">
        <v>0</v>
      </c>
      <c r="BQ24" s="45">
        <v>0</v>
      </c>
      <c r="BR24" s="45">
        <v>0</v>
      </c>
      <c r="BS24" s="45">
        <v>0</v>
      </c>
      <c r="BT24" s="45">
        <v>0</v>
      </c>
      <c r="BU24" s="49">
        <v>0</v>
      </c>
      <c r="BV24" s="45">
        <v>0</v>
      </c>
      <c r="BW24" s="45">
        <v>0</v>
      </c>
      <c r="BX24" s="45">
        <v>0</v>
      </c>
      <c r="BY24" s="45">
        <v>0</v>
      </c>
      <c r="BZ24" s="45">
        <v>0</v>
      </c>
      <c r="CA24" s="45">
        <v>11.94</v>
      </c>
      <c r="CB24" s="45">
        <v>11.94</v>
      </c>
      <c r="CC24" s="45">
        <v>11.94</v>
      </c>
      <c r="CD24" s="45">
        <v>11.94</v>
      </c>
      <c r="CE24" s="45">
        <v>11.94</v>
      </c>
      <c r="CF24" s="45">
        <v>11.94</v>
      </c>
      <c r="CG24" s="124">
        <v>11.94</v>
      </c>
      <c r="CH24" s="69">
        <v>11.94</v>
      </c>
      <c r="CI24" s="45">
        <v>11.94</v>
      </c>
      <c r="CJ24" s="45">
        <v>11.94</v>
      </c>
      <c r="CK24" s="45">
        <v>11.94</v>
      </c>
      <c r="CL24" s="45">
        <v>11.94</v>
      </c>
      <c r="CM24" s="45">
        <v>11.94</v>
      </c>
      <c r="CN24" s="45">
        <v>22.84</v>
      </c>
      <c r="CO24" s="45">
        <v>22.84</v>
      </c>
      <c r="CP24" s="45">
        <v>22.84</v>
      </c>
      <c r="CQ24" s="45">
        <v>22.84</v>
      </c>
      <c r="CR24" s="45">
        <v>22.84</v>
      </c>
      <c r="CS24" s="124">
        <v>22.84</v>
      </c>
      <c r="CT24" s="69">
        <v>22.84</v>
      </c>
      <c r="CU24" s="45">
        <v>22.84</v>
      </c>
      <c r="CV24" s="45">
        <v>22.84</v>
      </c>
      <c r="CW24" s="45">
        <v>22.84</v>
      </c>
      <c r="CX24" s="45">
        <v>22.84</v>
      </c>
      <c r="CY24" s="45">
        <v>22.84</v>
      </c>
      <c r="CZ24" s="45">
        <v>22.84</v>
      </c>
      <c r="DA24" s="45">
        <v>22.84</v>
      </c>
      <c r="DB24" s="45">
        <v>22.84</v>
      </c>
      <c r="DC24" s="45">
        <v>22.84</v>
      </c>
      <c r="DD24" s="45">
        <v>22.84</v>
      </c>
      <c r="DE24" s="124">
        <v>22.84</v>
      </c>
      <c r="DF24" s="69">
        <v>22.84</v>
      </c>
      <c r="DG24" s="45">
        <v>22.84</v>
      </c>
      <c r="DH24" s="45">
        <v>22.84</v>
      </c>
      <c r="DI24" s="45">
        <v>22.84</v>
      </c>
      <c r="DJ24" s="45">
        <v>22.84</v>
      </c>
      <c r="DK24" s="45">
        <v>22.84</v>
      </c>
      <c r="DL24" s="45">
        <v>22.84</v>
      </c>
      <c r="DM24" s="45">
        <v>22.84</v>
      </c>
      <c r="DN24" s="45">
        <v>22.84</v>
      </c>
      <c r="DO24" s="45">
        <v>22.84</v>
      </c>
      <c r="DP24" s="45">
        <v>22.84</v>
      </c>
      <c r="DQ24" s="124">
        <v>22.84</v>
      </c>
      <c r="DR24" s="69">
        <v>22.84</v>
      </c>
      <c r="DS24" s="45">
        <v>22.84</v>
      </c>
      <c r="DT24" s="45">
        <v>22.84</v>
      </c>
      <c r="DU24" s="45">
        <v>22.84</v>
      </c>
      <c r="DV24" s="45">
        <v>22.84</v>
      </c>
      <c r="DW24" s="45">
        <v>22.84</v>
      </c>
      <c r="DX24" s="45">
        <v>22.84</v>
      </c>
      <c r="DY24" s="45">
        <v>22.84</v>
      </c>
      <c r="DZ24" s="45">
        <v>22.84</v>
      </c>
      <c r="EA24" s="45">
        <v>22.84</v>
      </c>
      <c r="EB24" s="45">
        <v>22.84</v>
      </c>
      <c r="EC24" s="45">
        <v>22.84</v>
      </c>
      <c r="ED24" s="69">
        <v>22.84</v>
      </c>
      <c r="EE24" s="45">
        <v>22.84</v>
      </c>
      <c r="EF24" s="45">
        <v>22.84</v>
      </c>
      <c r="EG24" s="45">
        <v>22.84</v>
      </c>
      <c r="EH24" s="45">
        <v>22.84</v>
      </c>
      <c r="EI24" s="45">
        <v>22.84</v>
      </c>
      <c r="EJ24" s="45">
        <v>22.84</v>
      </c>
      <c r="EK24" s="45">
        <v>22.84</v>
      </c>
      <c r="EL24" s="45">
        <v>22.84</v>
      </c>
      <c r="EM24" s="45">
        <v>22.84</v>
      </c>
      <c r="EN24" s="45">
        <v>22.84</v>
      </c>
      <c r="EO24" s="45">
        <v>22.84</v>
      </c>
      <c r="EP24" s="69">
        <v>22.84</v>
      </c>
      <c r="EQ24" s="45">
        <v>22.84</v>
      </c>
      <c r="ER24" s="45">
        <v>22.84</v>
      </c>
      <c r="ES24" s="45">
        <v>22.84</v>
      </c>
      <c r="ET24" s="45">
        <v>22.84</v>
      </c>
      <c r="EU24" s="45">
        <v>22.84</v>
      </c>
      <c r="EV24" s="45">
        <v>22.84</v>
      </c>
      <c r="EW24" s="45">
        <v>22.84</v>
      </c>
      <c r="EX24" s="45">
        <v>22.84</v>
      </c>
      <c r="EY24" s="45">
        <v>22.84</v>
      </c>
      <c r="EZ24" s="45">
        <v>22.84</v>
      </c>
      <c r="FA24" s="82">
        <v>22.84</v>
      </c>
      <c r="FB24" s="45">
        <v>22.84</v>
      </c>
      <c r="FC24" s="45">
        <v>22.84</v>
      </c>
      <c r="FD24" s="45">
        <v>22.84</v>
      </c>
      <c r="FE24" s="45">
        <v>22.84</v>
      </c>
      <c r="FF24" s="45">
        <v>22.84</v>
      </c>
      <c r="FG24" s="45">
        <v>22.84</v>
      </c>
      <c r="FH24" s="45">
        <v>22.84</v>
      </c>
      <c r="FI24" s="45">
        <v>22.84</v>
      </c>
      <c r="FJ24" s="45">
        <v>22.84</v>
      </c>
      <c r="FK24" s="45">
        <v>22.84</v>
      </c>
      <c r="FL24" s="45">
        <v>22.84</v>
      </c>
      <c r="FM24" s="45">
        <v>22.84</v>
      </c>
      <c r="FN24" s="69">
        <v>22.84</v>
      </c>
      <c r="FO24" s="45">
        <v>22.84</v>
      </c>
      <c r="FP24" s="45">
        <v>22.84</v>
      </c>
      <c r="FQ24" s="45">
        <v>22.84</v>
      </c>
      <c r="FR24" s="45">
        <v>22.84</v>
      </c>
      <c r="FS24" s="45">
        <v>22.84</v>
      </c>
      <c r="FT24" s="45">
        <v>22.84</v>
      </c>
      <c r="FU24" s="45">
        <v>22.84</v>
      </c>
      <c r="FV24" s="45">
        <v>22.84</v>
      </c>
      <c r="FW24" s="45">
        <v>22.84</v>
      </c>
      <c r="FX24" s="45">
        <v>22.84</v>
      </c>
      <c r="FY24" s="45">
        <v>22.84</v>
      </c>
      <c r="FZ24" s="69">
        <v>117.316</v>
      </c>
      <c r="GA24" s="45">
        <v>117.316</v>
      </c>
      <c r="GB24" s="45">
        <v>140.316</v>
      </c>
      <c r="GC24" s="45">
        <v>148.316</v>
      </c>
      <c r="GD24" s="45">
        <v>186.57</v>
      </c>
      <c r="GE24" s="45">
        <v>226.63</v>
      </c>
      <c r="GF24" s="45">
        <v>336.63</v>
      </c>
      <c r="GG24" s="45">
        <v>363.33</v>
      </c>
      <c r="GH24" s="45">
        <v>363.33</v>
      </c>
      <c r="GI24" s="45">
        <v>401.21</v>
      </c>
      <c r="GJ24" s="45">
        <v>511</v>
      </c>
      <c r="GK24" s="45">
        <v>544.6</v>
      </c>
      <c r="GL24" s="69">
        <v>624.5</v>
      </c>
      <c r="GM24" s="45">
        <v>624.5</v>
      </c>
      <c r="GN24" s="45">
        <v>699.4</v>
      </c>
      <c r="GO24" s="45">
        <v>854.2</v>
      </c>
      <c r="GP24" s="45">
        <v>854.2</v>
      </c>
    </row>
    <row r="25" spans="1:200" s="1" customFormat="1" ht="20.149999999999999" customHeight="1" x14ac:dyDescent="0.35">
      <c r="A25" s="33" t="s">
        <v>284</v>
      </c>
      <c r="B25" s="46">
        <v>15.071999999999999</v>
      </c>
      <c r="C25" s="46">
        <v>15.476000000000001</v>
      </c>
      <c r="D25" s="46">
        <v>16.007000000000001</v>
      </c>
      <c r="E25" s="46">
        <v>16.431999999999999</v>
      </c>
      <c r="F25" s="46">
        <v>17.074000000000002</v>
      </c>
      <c r="G25" s="46">
        <v>17.507000000000001</v>
      </c>
      <c r="H25" s="46">
        <v>18.298999999999999</v>
      </c>
      <c r="I25" s="46">
        <v>18.803000000000001</v>
      </c>
      <c r="J25" s="46">
        <v>19.433</v>
      </c>
      <c r="K25" s="46">
        <v>20.302</v>
      </c>
      <c r="L25" s="46">
        <v>21.239000000000001</v>
      </c>
      <c r="M25" s="48">
        <v>21.815999999999999</v>
      </c>
      <c r="N25" s="47">
        <v>22.87</v>
      </c>
      <c r="O25" s="46">
        <v>23.943000000000001</v>
      </c>
      <c r="P25" s="46">
        <v>25.196999999999999</v>
      </c>
      <c r="Q25" s="46">
        <v>26.138000000000002</v>
      </c>
      <c r="R25" s="46">
        <v>27.175999999999998</v>
      </c>
      <c r="S25" s="46">
        <v>28.312999999999999</v>
      </c>
      <c r="T25" s="46">
        <v>29.706</v>
      </c>
      <c r="U25" s="46">
        <v>31.353000000000002</v>
      </c>
      <c r="V25" s="46">
        <v>33.35</v>
      </c>
      <c r="W25" s="46">
        <v>35.820999999999998</v>
      </c>
      <c r="X25" s="46">
        <v>42.389000000000003</v>
      </c>
      <c r="Y25" s="48">
        <v>51.841000000000001</v>
      </c>
      <c r="Z25" s="46">
        <v>58.978999999999999</v>
      </c>
      <c r="AA25" s="46">
        <v>65.346999999999994</v>
      </c>
      <c r="AB25" s="46">
        <v>70.861999999999995</v>
      </c>
      <c r="AC25" s="46">
        <v>72.394999999999996</v>
      </c>
      <c r="AD25" s="46">
        <v>74.352000000000004</v>
      </c>
      <c r="AE25" s="46">
        <v>76.647999999999996</v>
      </c>
      <c r="AF25" s="46">
        <v>82.715999999999994</v>
      </c>
      <c r="AG25" s="46">
        <v>84.037000000000006</v>
      </c>
      <c r="AH25" s="46">
        <v>85.388999999999996</v>
      </c>
      <c r="AI25" s="46">
        <v>87.492999999999995</v>
      </c>
      <c r="AJ25" s="46">
        <v>89.197999999999993</v>
      </c>
      <c r="AK25" s="48">
        <v>90.876999999999995</v>
      </c>
      <c r="AL25" s="46">
        <v>93.16</v>
      </c>
      <c r="AM25" s="46">
        <v>95.070999999999998</v>
      </c>
      <c r="AN25" s="46">
        <v>97.838999999999999</v>
      </c>
      <c r="AO25" s="46">
        <v>100.405</v>
      </c>
      <c r="AP25" s="46">
        <v>102.40600000000001</v>
      </c>
      <c r="AQ25" s="46">
        <v>105.084</v>
      </c>
      <c r="AR25" s="46">
        <v>106.914</v>
      </c>
      <c r="AS25" s="46">
        <v>108.92400000000001</v>
      </c>
      <c r="AT25" s="46">
        <v>111.473</v>
      </c>
      <c r="AU25" s="46">
        <v>114.048</v>
      </c>
      <c r="AV25" s="46">
        <v>117.292</v>
      </c>
      <c r="AW25" s="48">
        <v>131.38300000000001</v>
      </c>
      <c r="AX25" s="46">
        <v>133.55799999999999</v>
      </c>
      <c r="AY25" s="46">
        <v>135.80699999999999</v>
      </c>
      <c r="AZ25" s="46">
        <v>170.79</v>
      </c>
      <c r="BA25" s="46">
        <v>205.14500000000001</v>
      </c>
      <c r="BB25" s="46">
        <v>207.834</v>
      </c>
      <c r="BC25" s="46">
        <v>210.91499999999999</v>
      </c>
      <c r="BD25" s="46">
        <v>214.00399999999999</v>
      </c>
      <c r="BE25" s="46">
        <v>217.322</v>
      </c>
      <c r="BF25" s="46">
        <v>221.49700000000001</v>
      </c>
      <c r="BG25" s="46">
        <v>225.375</v>
      </c>
      <c r="BH25" s="46">
        <v>234.89400000000001</v>
      </c>
      <c r="BI25" s="48">
        <v>238.16300000000001</v>
      </c>
      <c r="BJ25" s="46">
        <v>264.81</v>
      </c>
      <c r="BK25" s="46">
        <v>274.161</v>
      </c>
      <c r="BL25" s="46">
        <v>296.77800000000002</v>
      </c>
      <c r="BM25" s="46">
        <v>300.387</v>
      </c>
      <c r="BN25" s="46">
        <v>307.14100000000002</v>
      </c>
      <c r="BO25" s="46">
        <v>317.834</v>
      </c>
      <c r="BP25" s="46">
        <v>322.697</v>
      </c>
      <c r="BQ25" s="46">
        <v>343.99</v>
      </c>
      <c r="BR25" s="46">
        <v>349.86900000000003</v>
      </c>
      <c r="BS25" s="46">
        <v>356.33699999999999</v>
      </c>
      <c r="BT25" s="46">
        <v>382.42200000000003</v>
      </c>
      <c r="BU25" s="48">
        <v>459.34500000000003</v>
      </c>
      <c r="BV25" s="46">
        <v>490.82100000000003</v>
      </c>
      <c r="BW25" s="46">
        <v>493.60300000000001</v>
      </c>
      <c r="BX25" s="46">
        <v>522.85</v>
      </c>
      <c r="BY25" s="46">
        <v>536.71799999999996</v>
      </c>
      <c r="BZ25" s="46">
        <v>539.38400000000001</v>
      </c>
      <c r="CA25" s="46">
        <v>583.39399999999989</v>
      </c>
      <c r="CB25" s="46">
        <v>601.74499999999989</v>
      </c>
      <c r="CC25" s="46">
        <v>624.22400000000005</v>
      </c>
      <c r="CD25" s="46">
        <v>628.58000000000004</v>
      </c>
      <c r="CE25" s="46">
        <v>632.726</v>
      </c>
      <c r="CF25" s="46">
        <v>637.13</v>
      </c>
      <c r="CG25" s="46">
        <v>646.13100000000009</v>
      </c>
      <c r="CH25" s="69">
        <v>661.53800000000001</v>
      </c>
      <c r="CI25" s="45">
        <v>665.02700000000004</v>
      </c>
      <c r="CJ25" s="45">
        <v>715.28700000000003</v>
      </c>
      <c r="CK25" s="45">
        <v>718.49400000000003</v>
      </c>
      <c r="CL25" s="45">
        <v>722.06200000000001</v>
      </c>
      <c r="CM25" s="45">
        <v>727.20100000000002</v>
      </c>
      <c r="CN25" s="45">
        <v>728.745</v>
      </c>
      <c r="CO25" s="45">
        <v>732.34399999999994</v>
      </c>
      <c r="CP25" s="45">
        <v>736.38199999999995</v>
      </c>
      <c r="CQ25" s="45">
        <v>751.87399999999991</v>
      </c>
      <c r="CR25" s="45">
        <v>756.64699999999993</v>
      </c>
      <c r="CS25" s="124">
        <v>766.12</v>
      </c>
      <c r="CT25" s="69">
        <v>770.63299999999992</v>
      </c>
      <c r="CU25" s="45">
        <v>774.39799999999991</v>
      </c>
      <c r="CV25" s="45">
        <v>779.0089999999999</v>
      </c>
      <c r="CW25" s="45">
        <v>783.03899999999999</v>
      </c>
      <c r="CX25" s="45">
        <v>795.40099999999995</v>
      </c>
      <c r="CY25" s="45">
        <v>799.93399999999997</v>
      </c>
      <c r="CZ25" s="45">
        <v>804</v>
      </c>
      <c r="DA25" s="45">
        <v>809.32799999999997</v>
      </c>
      <c r="DB25" s="45">
        <v>813.47899999999993</v>
      </c>
      <c r="DC25" s="45">
        <v>827.52499999999998</v>
      </c>
      <c r="DD25" s="46">
        <v>839.53</v>
      </c>
      <c r="DE25" s="46">
        <v>850.11199999999997</v>
      </c>
      <c r="DF25" s="69">
        <v>857.06</v>
      </c>
      <c r="DG25" s="45">
        <v>864.53099999999995</v>
      </c>
      <c r="DH25" s="46">
        <v>888.49799999999993</v>
      </c>
      <c r="DI25" s="45">
        <v>902.63499999999999</v>
      </c>
      <c r="DJ25" s="45">
        <v>909.53399999999999</v>
      </c>
      <c r="DK25" s="45">
        <v>918.08799999999997</v>
      </c>
      <c r="DL25" s="46">
        <v>935.40699999999993</v>
      </c>
      <c r="DM25" s="45">
        <v>949.976</v>
      </c>
      <c r="DN25" s="45">
        <v>973.68399999999997</v>
      </c>
      <c r="DO25" s="45">
        <v>986.55099999999993</v>
      </c>
      <c r="DP25" s="45">
        <v>998.96499999999992</v>
      </c>
      <c r="DQ25" s="46">
        <v>1043.3129999999999</v>
      </c>
      <c r="DR25" s="69">
        <v>1125.251</v>
      </c>
      <c r="DS25" s="45">
        <v>1141.4569999999999</v>
      </c>
      <c r="DT25" s="45">
        <v>1155.3989999999999</v>
      </c>
      <c r="DU25" s="45">
        <v>1160.4259999999999</v>
      </c>
      <c r="DV25" s="45">
        <v>1174.4259999999999</v>
      </c>
      <c r="DW25" s="45">
        <v>1184.8229999999999</v>
      </c>
      <c r="DX25" s="45">
        <v>1203.9379999999999</v>
      </c>
      <c r="DY25" s="45">
        <v>1221.0409999999999</v>
      </c>
      <c r="DZ25" s="45">
        <v>1236.7539999999999</v>
      </c>
      <c r="EA25" s="45">
        <v>1255.694</v>
      </c>
      <c r="EB25" s="45">
        <v>1273.7819999999999</v>
      </c>
      <c r="EC25" s="45">
        <v>1350.8889999999999</v>
      </c>
      <c r="ED25" s="69">
        <v>1372.7149999999999</v>
      </c>
      <c r="EE25" s="45">
        <v>1388.1589999999999</v>
      </c>
      <c r="EF25" s="45">
        <v>1523.011</v>
      </c>
      <c r="EG25" s="45">
        <v>1591.55</v>
      </c>
      <c r="EH25" s="45">
        <v>1618.414</v>
      </c>
      <c r="EI25" s="45">
        <v>1653.203</v>
      </c>
      <c r="EJ25" s="45">
        <v>1679.0940000000001</v>
      </c>
      <c r="EK25" s="45">
        <v>1700.846</v>
      </c>
      <c r="EL25" s="45">
        <v>1731.8709999999999</v>
      </c>
      <c r="EM25" s="45">
        <v>1758.2559999999999</v>
      </c>
      <c r="EN25" s="45">
        <v>1789.549</v>
      </c>
      <c r="EO25" s="45">
        <v>1813.5429999999999</v>
      </c>
      <c r="EP25" s="69">
        <v>1901.577</v>
      </c>
      <c r="EQ25" s="45">
        <v>1934.941</v>
      </c>
      <c r="ER25" s="45">
        <v>1988.3109999999999</v>
      </c>
      <c r="ES25" s="45">
        <v>2036.0819999999999</v>
      </c>
      <c r="ET25" s="45">
        <v>2096.8320000000003</v>
      </c>
      <c r="EU25" s="45">
        <v>2148.5630000000001</v>
      </c>
      <c r="EV25" s="45">
        <v>2220.3510000000001</v>
      </c>
      <c r="EW25" s="45">
        <v>2276.7750000000001</v>
      </c>
      <c r="EX25" s="45">
        <v>2362.335</v>
      </c>
      <c r="EY25" s="45">
        <v>2476.9340000000002</v>
      </c>
      <c r="EZ25" s="45">
        <v>2557.6550000000002</v>
      </c>
      <c r="FA25" s="82">
        <v>2681.3390000000004</v>
      </c>
      <c r="FB25" s="45">
        <v>3107.634</v>
      </c>
      <c r="FC25" s="45">
        <v>3473.0029999999997</v>
      </c>
      <c r="FD25" s="45">
        <v>4012.7070000000003</v>
      </c>
      <c r="FE25" s="45">
        <v>4102.0789999999997</v>
      </c>
      <c r="FF25" s="45">
        <v>4270.3629999999994</v>
      </c>
      <c r="FG25" s="45">
        <v>4423.0910000000003</v>
      </c>
      <c r="FH25" s="45">
        <v>4511.2279999999992</v>
      </c>
      <c r="FI25" s="45">
        <v>4598.8130000000001</v>
      </c>
      <c r="FJ25" s="45">
        <v>4786.2979999999998</v>
      </c>
      <c r="FK25" s="45">
        <v>4913.6970000000001</v>
      </c>
      <c r="FL25" s="45">
        <v>5037.7289999999994</v>
      </c>
      <c r="FM25" s="45">
        <v>5092.5839999999998</v>
      </c>
      <c r="FN25" s="69">
        <v>5224.9849999999997</v>
      </c>
      <c r="FO25" s="45">
        <v>5323.8359999999993</v>
      </c>
      <c r="FP25" s="45">
        <v>5557.451</v>
      </c>
      <c r="FQ25" s="45">
        <v>5685.7970000000005</v>
      </c>
      <c r="FR25" s="45">
        <v>5820.5770000000002</v>
      </c>
      <c r="FS25" s="45">
        <v>5989.0780000000004</v>
      </c>
      <c r="FT25" s="45">
        <v>6133.4070000000002</v>
      </c>
      <c r="FU25" s="45">
        <v>6242.585</v>
      </c>
      <c r="FV25" s="45">
        <v>6323.4250000000002</v>
      </c>
      <c r="FW25" s="45">
        <v>6666.0950000000003</v>
      </c>
      <c r="FX25" s="45">
        <v>6807.6279999999997</v>
      </c>
      <c r="FY25" s="45">
        <v>6914.0370000000003</v>
      </c>
      <c r="FZ25" s="69">
        <v>7014.3119999999999</v>
      </c>
      <c r="GA25" s="45">
        <v>7117.4949999999999</v>
      </c>
      <c r="GB25" s="45">
        <v>7449.1949999999997</v>
      </c>
      <c r="GC25" s="45">
        <v>7587.6019999999999</v>
      </c>
      <c r="GD25" s="45">
        <v>7690.9219999999996</v>
      </c>
      <c r="GE25" s="45">
        <v>7825.97</v>
      </c>
      <c r="GF25" s="45">
        <v>8293.5220000000008</v>
      </c>
      <c r="GG25" s="45">
        <v>8462.4120000000003</v>
      </c>
      <c r="GH25" s="45">
        <v>8617.4510000000009</v>
      </c>
      <c r="GI25" s="45">
        <v>8856.5600000000013</v>
      </c>
      <c r="GJ25" s="45">
        <v>8921.8670000000002</v>
      </c>
      <c r="GK25" s="45">
        <v>9031.1170000000002</v>
      </c>
      <c r="GL25" s="69">
        <v>9042.4150000000009</v>
      </c>
      <c r="GM25" s="45">
        <v>9146.0429999999997</v>
      </c>
      <c r="GN25" s="45">
        <v>9247.4009999999998</v>
      </c>
      <c r="GO25" s="45">
        <v>9203.9339999999993</v>
      </c>
      <c r="GP25" s="45">
        <v>9288.9979999999996</v>
      </c>
      <c r="GR25" s="213"/>
    </row>
    <row r="26" spans="1:200" s="25" customFormat="1" ht="20.149999999999999" customHeight="1" thickBot="1" x14ac:dyDescent="0.4">
      <c r="A26" s="135" t="s">
        <v>267</v>
      </c>
      <c r="B26" s="136">
        <f>SUM(B20:B25)</f>
        <v>29.872</v>
      </c>
      <c r="C26" s="137">
        <f t="shared" ref="C26:BN26" si="8">SUM(C20:C25)</f>
        <v>31.288</v>
      </c>
      <c r="D26" s="137">
        <f t="shared" si="8"/>
        <v>33.820999999999998</v>
      </c>
      <c r="E26" s="137">
        <f t="shared" si="8"/>
        <v>36.481999999999999</v>
      </c>
      <c r="F26" s="137">
        <f t="shared" si="8"/>
        <v>40.784999999999997</v>
      </c>
      <c r="G26" s="137">
        <f t="shared" si="8"/>
        <v>46.424999999999997</v>
      </c>
      <c r="H26" s="137">
        <f t="shared" si="8"/>
        <v>52.320999999999998</v>
      </c>
      <c r="I26" s="137">
        <f t="shared" si="8"/>
        <v>58.143999999999991</v>
      </c>
      <c r="J26" s="137">
        <f t="shared" si="8"/>
        <v>65.668000000000006</v>
      </c>
      <c r="K26" s="137">
        <f t="shared" si="8"/>
        <v>75.115000000000009</v>
      </c>
      <c r="L26" s="137">
        <f t="shared" si="8"/>
        <v>85.576999999999998</v>
      </c>
      <c r="M26" s="137">
        <f t="shared" si="8"/>
        <v>93.579000000000008</v>
      </c>
      <c r="N26" s="136">
        <f t="shared" si="8"/>
        <v>104.786</v>
      </c>
      <c r="O26" s="137">
        <f t="shared" si="8"/>
        <v>118.268</v>
      </c>
      <c r="P26" s="137">
        <f t="shared" si="8"/>
        <v>138.18800000000002</v>
      </c>
      <c r="Q26" s="137">
        <f t="shared" si="8"/>
        <v>162.62099999999998</v>
      </c>
      <c r="R26" s="137">
        <f t="shared" si="8"/>
        <v>186.315</v>
      </c>
      <c r="S26" s="137">
        <f t="shared" si="8"/>
        <v>220.30899999999997</v>
      </c>
      <c r="T26" s="137">
        <f t="shared" si="8"/>
        <v>378.15499999999997</v>
      </c>
      <c r="U26" s="137">
        <f t="shared" si="8"/>
        <v>424.11999999999995</v>
      </c>
      <c r="V26" s="137">
        <f t="shared" si="8"/>
        <v>496.08099999999996</v>
      </c>
      <c r="W26" s="137">
        <f t="shared" si="8"/>
        <v>617.72699999999998</v>
      </c>
      <c r="X26" s="137">
        <f t="shared" si="8"/>
        <v>816.34300000000007</v>
      </c>
      <c r="Y26" s="138">
        <f t="shared" si="8"/>
        <v>1010.0690000000001</v>
      </c>
      <c r="Z26" s="137">
        <f t="shared" si="8"/>
        <v>1040.664</v>
      </c>
      <c r="AA26" s="137">
        <f t="shared" si="8"/>
        <v>1215.2890000000002</v>
      </c>
      <c r="AB26" s="137">
        <f t="shared" si="8"/>
        <v>1327.5229999999999</v>
      </c>
      <c r="AC26" s="137">
        <f t="shared" si="8"/>
        <v>1344.915</v>
      </c>
      <c r="AD26" s="137">
        <f t="shared" si="8"/>
        <v>1381.1890000000001</v>
      </c>
      <c r="AE26" s="137">
        <f t="shared" si="8"/>
        <v>1446.4590000000001</v>
      </c>
      <c r="AF26" s="137">
        <f t="shared" si="8"/>
        <v>1642.31</v>
      </c>
      <c r="AG26" s="137">
        <f t="shared" si="8"/>
        <v>1657.7950000000001</v>
      </c>
      <c r="AH26" s="137">
        <f t="shared" si="8"/>
        <v>1677.17</v>
      </c>
      <c r="AI26" s="137">
        <f t="shared" si="8"/>
        <v>1722.3610000000001</v>
      </c>
      <c r="AJ26" s="137">
        <f t="shared" si="8"/>
        <v>1751.77</v>
      </c>
      <c r="AK26" s="138">
        <f t="shared" si="8"/>
        <v>1774.931</v>
      </c>
      <c r="AL26" s="137">
        <f t="shared" si="8"/>
        <v>1804.3810000000001</v>
      </c>
      <c r="AM26" s="137">
        <f t="shared" si="8"/>
        <v>1875.3409999999999</v>
      </c>
      <c r="AN26" s="137">
        <f t="shared" si="8"/>
        <v>2273.3919999999998</v>
      </c>
      <c r="AO26" s="137">
        <f t="shared" si="8"/>
        <v>2335.4160000000002</v>
      </c>
      <c r="AP26" s="137">
        <f t="shared" si="8"/>
        <v>2406.4330000000004</v>
      </c>
      <c r="AQ26" s="137">
        <f t="shared" si="8"/>
        <v>2535.5549999999998</v>
      </c>
      <c r="AR26" s="137">
        <f t="shared" si="8"/>
        <v>2576.5960000000005</v>
      </c>
      <c r="AS26" s="137">
        <f t="shared" si="8"/>
        <v>2646.0309999999999</v>
      </c>
      <c r="AT26" s="137">
        <f t="shared" si="8"/>
        <v>2692.1050000000005</v>
      </c>
      <c r="AU26" s="137">
        <f t="shared" si="8"/>
        <v>2741.0169999999998</v>
      </c>
      <c r="AV26" s="137">
        <f t="shared" si="8"/>
        <v>2846.0129999999995</v>
      </c>
      <c r="AW26" s="138">
        <f t="shared" si="8"/>
        <v>2919.183</v>
      </c>
      <c r="AX26" s="137">
        <f t="shared" si="8"/>
        <v>3045.3759999999997</v>
      </c>
      <c r="AY26" s="137">
        <f t="shared" si="8"/>
        <v>3173.2429999999995</v>
      </c>
      <c r="AZ26" s="137">
        <f t="shared" si="8"/>
        <v>4215.49</v>
      </c>
      <c r="BA26" s="137">
        <f t="shared" si="8"/>
        <v>4302.3650000000007</v>
      </c>
      <c r="BB26" s="137">
        <f t="shared" si="8"/>
        <v>4406.8490000000002</v>
      </c>
      <c r="BC26" s="137">
        <f t="shared" si="8"/>
        <v>4543.3559999999998</v>
      </c>
      <c r="BD26" s="137">
        <f t="shared" si="8"/>
        <v>4711.8889999999992</v>
      </c>
      <c r="BE26" s="137">
        <f t="shared" si="8"/>
        <v>4775.8950000000004</v>
      </c>
      <c r="BF26" s="137">
        <f t="shared" si="8"/>
        <v>4983.3010000000004</v>
      </c>
      <c r="BG26" s="137">
        <f t="shared" si="8"/>
        <v>5151.5439999999999</v>
      </c>
      <c r="BH26" s="137">
        <f t="shared" si="8"/>
        <v>5292.5780000000004</v>
      </c>
      <c r="BI26" s="138">
        <f t="shared" si="8"/>
        <v>5600.4889999999996</v>
      </c>
      <c r="BJ26" s="137">
        <f t="shared" si="8"/>
        <v>5700.5599999999995</v>
      </c>
      <c r="BK26" s="137">
        <f t="shared" si="8"/>
        <v>5865.4569999999994</v>
      </c>
      <c r="BL26" s="137">
        <f t="shared" si="8"/>
        <v>8236.509</v>
      </c>
      <c r="BM26" s="137">
        <f t="shared" si="8"/>
        <v>8288.5720000000001</v>
      </c>
      <c r="BN26" s="137">
        <f t="shared" si="8"/>
        <v>8359.4750000000004</v>
      </c>
      <c r="BO26" s="137">
        <f t="shared" ref="BO26:DZ26" si="9">SUM(BO20:BO25)</f>
        <v>8495.4619999999995</v>
      </c>
      <c r="BP26" s="137">
        <f t="shared" si="9"/>
        <v>8582.8940000000002</v>
      </c>
      <c r="BQ26" s="137">
        <f t="shared" si="9"/>
        <v>8704.8169999999991</v>
      </c>
      <c r="BR26" s="137">
        <f t="shared" si="9"/>
        <v>8843.8160000000007</v>
      </c>
      <c r="BS26" s="137">
        <f t="shared" si="9"/>
        <v>9014.7479999999996</v>
      </c>
      <c r="BT26" s="137">
        <f t="shared" si="9"/>
        <v>9226.1830000000009</v>
      </c>
      <c r="BU26" s="138">
        <f t="shared" si="9"/>
        <v>9909.3269999999993</v>
      </c>
      <c r="BV26" s="137">
        <f t="shared" si="9"/>
        <v>10074.853000000001</v>
      </c>
      <c r="BW26" s="137">
        <f t="shared" si="9"/>
        <v>10180.482</v>
      </c>
      <c r="BX26" s="137">
        <f t="shared" si="9"/>
        <v>11350.249000000002</v>
      </c>
      <c r="BY26" s="137">
        <f t="shared" si="9"/>
        <v>11423.095000000001</v>
      </c>
      <c r="BZ26" s="137">
        <f t="shared" si="9"/>
        <v>11472.437</v>
      </c>
      <c r="CA26" s="137">
        <f t="shared" si="9"/>
        <v>11692.072</v>
      </c>
      <c r="CB26" s="137">
        <f t="shared" si="9"/>
        <v>11734.670000000002</v>
      </c>
      <c r="CC26" s="137">
        <f t="shared" si="9"/>
        <v>11797.709000000001</v>
      </c>
      <c r="CD26" s="137">
        <f t="shared" si="9"/>
        <v>11848.583000000001</v>
      </c>
      <c r="CE26" s="137">
        <f t="shared" si="9"/>
        <v>11889.191000000001</v>
      </c>
      <c r="CF26" s="137">
        <f t="shared" si="9"/>
        <v>11931.337000000001</v>
      </c>
      <c r="CG26" s="137">
        <f t="shared" si="9"/>
        <v>12007.913999999999</v>
      </c>
      <c r="CH26" s="139">
        <f t="shared" si="9"/>
        <v>12046.726000000002</v>
      </c>
      <c r="CI26" s="137">
        <f t="shared" si="9"/>
        <v>12140.292000000001</v>
      </c>
      <c r="CJ26" s="137">
        <f t="shared" si="9"/>
        <v>12701.837000000001</v>
      </c>
      <c r="CK26" s="137">
        <f t="shared" si="9"/>
        <v>12720.862000000001</v>
      </c>
      <c r="CL26" s="137">
        <f t="shared" si="9"/>
        <v>12738.695</v>
      </c>
      <c r="CM26" s="137">
        <f t="shared" si="9"/>
        <v>12755.839</v>
      </c>
      <c r="CN26" s="137">
        <f t="shared" si="9"/>
        <v>12784.571000000002</v>
      </c>
      <c r="CO26" s="137">
        <f t="shared" si="9"/>
        <v>12802.017999999998</v>
      </c>
      <c r="CP26" s="137">
        <f t="shared" si="9"/>
        <v>12818.812</v>
      </c>
      <c r="CQ26" s="137">
        <f t="shared" si="9"/>
        <v>12843.5</v>
      </c>
      <c r="CR26" s="137">
        <f t="shared" si="9"/>
        <v>12859.421999999999</v>
      </c>
      <c r="CS26" s="137">
        <f t="shared" si="9"/>
        <v>12882.909000000001</v>
      </c>
      <c r="CT26" s="139">
        <f t="shared" si="9"/>
        <v>12922.320000000002</v>
      </c>
      <c r="CU26" s="137">
        <f t="shared" si="9"/>
        <v>12939.789999999999</v>
      </c>
      <c r="CV26" s="137">
        <f t="shared" si="9"/>
        <v>12980.749</v>
      </c>
      <c r="CW26" s="137">
        <f t="shared" si="9"/>
        <v>13007.659000000001</v>
      </c>
      <c r="CX26" s="137">
        <f t="shared" si="9"/>
        <v>13030.486000000001</v>
      </c>
      <c r="CY26" s="137">
        <f t="shared" si="9"/>
        <v>13050.974999999999</v>
      </c>
      <c r="CZ26" s="137">
        <f t="shared" si="9"/>
        <v>13066.463</v>
      </c>
      <c r="DA26" s="137">
        <f t="shared" si="9"/>
        <v>13083.63</v>
      </c>
      <c r="DB26" s="137">
        <f t="shared" si="9"/>
        <v>13100.922</v>
      </c>
      <c r="DC26" s="137">
        <f t="shared" si="9"/>
        <v>13127.018</v>
      </c>
      <c r="DD26" s="137">
        <f t="shared" si="9"/>
        <v>13154.149000000001</v>
      </c>
      <c r="DE26" s="137">
        <f t="shared" si="9"/>
        <v>13183.576999999999</v>
      </c>
      <c r="DF26" s="139">
        <f t="shared" si="9"/>
        <v>13207.52</v>
      </c>
      <c r="DG26" s="137">
        <f t="shared" si="9"/>
        <v>13239.835999999999</v>
      </c>
      <c r="DH26" s="137">
        <f t="shared" si="9"/>
        <v>13327.346</v>
      </c>
      <c r="DI26" s="137">
        <f t="shared" si="9"/>
        <v>13345.636999999999</v>
      </c>
      <c r="DJ26" s="137">
        <f t="shared" si="9"/>
        <v>13353.319</v>
      </c>
      <c r="DK26" s="137">
        <f t="shared" si="9"/>
        <v>13363.64</v>
      </c>
      <c r="DL26" s="137">
        <f t="shared" si="9"/>
        <v>13382.342999999999</v>
      </c>
      <c r="DM26" s="137">
        <f t="shared" si="9"/>
        <v>13399.228999999999</v>
      </c>
      <c r="DN26" s="137">
        <f t="shared" si="9"/>
        <v>13425.620999999999</v>
      </c>
      <c r="DO26" s="137">
        <f t="shared" si="9"/>
        <v>13438.832</v>
      </c>
      <c r="DP26" s="137">
        <f t="shared" si="9"/>
        <v>13451.708000000001</v>
      </c>
      <c r="DQ26" s="137">
        <f t="shared" si="9"/>
        <v>13496.427</v>
      </c>
      <c r="DR26" s="139">
        <f t="shared" si="9"/>
        <v>13578.989</v>
      </c>
      <c r="DS26" s="137">
        <f t="shared" si="9"/>
        <v>13596.022000000001</v>
      </c>
      <c r="DT26" s="137">
        <f t="shared" si="9"/>
        <v>13612.173999999999</v>
      </c>
      <c r="DU26" s="137">
        <f t="shared" si="9"/>
        <v>13617.200999999999</v>
      </c>
      <c r="DV26" s="137">
        <f t="shared" si="9"/>
        <v>13631.200999999999</v>
      </c>
      <c r="DW26" s="137">
        <f t="shared" si="9"/>
        <v>13641.627999999999</v>
      </c>
      <c r="DX26" s="137">
        <f t="shared" si="9"/>
        <v>13660.773000000001</v>
      </c>
      <c r="DY26" s="137">
        <f t="shared" si="9"/>
        <v>13678.103999999999</v>
      </c>
      <c r="DZ26" s="137">
        <f t="shared" si="9"/>
        <v>13694.029999999999</v>
      </c>
      <c r="EA26" s="137">
        <f t="shared" ref="EA26:GL26" si="10">SUM(EA20:EA25)</f>
        <v>13712.977999999999</v>
      </c>
      <c r="EB26" s="137">
        <f t="shared" si="10"/>
        <v>13731.065999999999</v>
      </c>
      <c r="EC26" s="137">
        <f t="shared" si="10"/>
        <v>13808.232999999998</v>
      </c>
      <c r="ED26" s="139">
        <f t="shared" si="10"/>
        <v>13830.108999999999</v>
      </c>
      <c r="EE26" s="137">
        <f t="shared" si="10"/>
        <v>13845.552999999998</v>
      </c>
      <c r="EF26" s="137">
        <f t="shared" si="10"/>
        <v>13980.404999999999</v>
      </c>
      <c r="EG26" s="137">
        <f t="shared" si="10"/>
        <v>14048.943999999998</v>
      </c>
      <c r="EH26" s="137">
        <f t="shared" si="10"/>
        <v>14075.807999999999</v>
      </c>
      <c r="EI26" s="137">
        <f t="shared" si="10"/>
        <v>14110.596999999998</v>
      </c>
      <c r="EJ26" s="137">
        <f t="shared" si="10"/>
        <v>14136.487999999998</v>
      </c>
      <c r="EK26" s="137">
        <f t="shared" si="10"/>
        <v>14158.239999999998</v>
      </c>
      <c r="EL26" s="137">
        <f t="shared" si="10"/>
        <v>14189.264999999998</v>
      </c>
      <c r="EM26" s="137">
        <f t="shared" si="10"/>
        <v>14215.649999999998</v>
      </c>
      <c r="EN26" s="137">
        <f t="shared" si="10"/>
        <v>14246.942999999999</v>
      </c>
      <c r="EO26" s="137">
        <f t="shared" si="10"/>
        <v>14270.936999999998</v>
      </c>
      <c r="EP26" s="139">
        <f t="shared" si="10"/>
        <v>14358.970999999998</v>
      </c>
      <c r="EQ26" s="137">
        <f t="shared" si="10"/>
        <v>14392.334999999999</v>
      </c>
      <c r="ER26" s="137">
        <f t="shared" si="10"/>
        <v>14445.704999999998</v>
      </c>
      <c r="ES26" s="137">
        <f t="shared" si="10"/>
        <v>14493.475999999999</v>
      </c>
      <c r="ET26" s="137">
        <f t="shared" si="10"/>
        <v>14554.225999999999</v>
      </c>
      <c r="EU26" s="137">
        <f t="shared" si="10"/>
        <v>14605.956999999999</v>
      </c>
      <c r="EV26" s="137">
        <f t="shared" si="10"/>
        <v>14677.744999999999</v>
      </c>
      <c r="EW26" s="137">
        <f t="shared" si="10"/>
        <v>14734.168999999998</v>
      </c>
      <c r="EX26" s="137">
        <f t="shared" si="10"/>
        <v>14819.728999999999</v>
      </c>
      <c r="EY26" s="137">
        <f t="shared" si="10"/>
        <v>14934.327999999998</v>
      </c>
      <c r="EZ26" s="137">
        <f t="shared" si="10"/>
        <v>15015.048999999999</v>
      </c>
      <c r="FA26" s="140">
        <f t="shared" si="10"/>
        <v>15138.732999999998</v>
      </c>
      <c r="FB26" s="137">
        <f t="shared" si="10"/>
        <v>15565.027999999998</v>
      </c>
      <c r="FC26" s="137">
        <f t="shared" si="10"/>
        <v>15930.396999999997</v>
      </c>
      <c r="FD26" s="137">
        <f t="shared" si="10"/>
        <v>16470.100999999999</v>
      </c>
      <c r="FE26" s="137">
        <f t="shared" si="10"/>
        <v>16559.472999999998</v>
      </c>
      <c r="FF26" s="137">
        <f t="shared" si="10"/>
        <v>16727.756999999998</v>
      </c>
      <c r="FG26" s="137">
        <f t="shared" si="10"/>
        <v>16880.485000000001</v>
      </c>
      <c r="FH26" s="137">
        <f t="shared" si="10"/>
        <v>16968.621999999996</v>
      </c>
      <c r="FI26" s="137">
        <f t="shared" si="10"/>
        <v>17056.206999999999</v>
      </c>
      <c r="FJ26" s="137">
        <f t="shared" si="10"/>
        <v>17243.691999999999</v>
      </c>
      <c r="FK26" s="137">
        <f t="shared" si="10"/>
        <v>17371.091</v>
      </c>
      <c r="FL26" s="137">
        <f t="shared" si="10"/>
        <v>17495.123</v>
      </c>
      <c r="FM26" s="137">
        <f t="shared" si="10"/>
        <v>17549.977999999999</v>
      </c>
      <c r="FN26" s="139">
        <f t="shared" si="10"/>
        <v>17705.598999999998</v>
      </c>
      <c r="FO26" s="137">
        <f t="shared" si="10"/>
        <v>17804.449999999997</v>
      </c>
      <c r="FP26" s="137">
        <f t="shared" si="10"/>
        <v>18042.534</v>
      </c>
      <c r="FQ26" s="137">
        <f t="shared" si="10"/>
        <v>18170.879999999997</v>
      </c>
      <c r="FR26" s="137">
        <f t="shared" si="10"/>
        <v>18307.756999999998</v>
      </c>
      <c r="FS26" s="137">
        <f t="shared" si="10"/>
        <v>18476.907999999999</v>
      </c>
      <c r="FT26" s="137">
        <f t="shared" si="10"/>
        <v>18621.236999999997</v>
      </c>
      <c r="FU26" s="137">
        <f t="shared" si="10"/>
        <v>18731.141</v>
      </c>
      <c r="FV26" s="137">
        <f t="shared" si="10"/>
        <v>18811.981</v>
      </c>
      <c r="FW26" s="137">
        <f t="shared" si="10"/>
        <v>19178.733</v>
      </c>
      <c r="FX26" s="137">
        <f t="shared" si="10"/>
        <v>19320.266</v>
      </c>
      <c r="FY26" s="137">
        <f t="shared" si="10"/>
        <v>19426.674999999999</v>
      </c>
      <c r="FZ26" s="139">
        <f t="shared" si="10"/>
        <v>19621.425999999999</v>
      </c>
      <c r="GA26" s="137">
        <f t="shared" si="10"/>
        <v>19724.609</v>
      </c>
      <c r="GB26" s="137">
        <f t="shared" si="10"/>
        <v>20079.309000000001</v>
      </c>
      <c r="GC26" s="137">
        <f t="shared" si="10"/>
        <v>20225.716</v>
      </c>
      <c r="GD26" s="137">
        <f t="shared" si="10"/>
        <v>20367.289999999997</v>
      </c>
      <c r="GE26" s="137">
        <f t="shared" si="10"/>
        <v>20542.397999999997</v>
      </c>
      <c r="GF26" s="137">
        <f t="shared" si="10"/>
        <v>21119.949999999997</v>
      </c>
      <c r="GG26" s="137">
        <f t="shared" si="10"/>
        <v>21315.54</v>
      </c>
      <c r="GH26" s="137">
        <f t="shared" si="10"/>
        <v>21470.578999999998</v>
      </c>
      <c r="GI26" s="137">
        <f t="shared" si="10"/>
        <v>21747.567999999999</v>
      </c>
      <c r="GJ26" s="137">
        <f t="shared" si="10"/>
        <v>21922.665000000001</v>
      </c>
      <c r="GK26" s="137">
        <f t="shared" si="10"/>
        <v>22065.514999999999</v>
      </c>
      <c r="GL26" s="139">
        <f t="shared" si="10"/>
        <v>22156.713</v>
      </c>
      <c r="GM26" s="137">
        <f t="shared" ref="GM26:GP26" si="11">SUM(GM20:GM25)</f>
        <v>22260.341</v>
      </c>
      <c r="GN26" s="137">
        <f t="shared" si="11"/>
        <v>22436.598999999998</v>
      </c>
      <c r="GO26" s="137">
        <f t="shared" si="11"/>
        <v>22547.932000000001</v>
      </c>
      <c r="GP26" s="137">
        <f t="shared" si="11"/>
        <v>22632.995999999999</v>
      </c>
    </row>
    <row r="27" spans="1:200" s="25" customFormat="1" ht="20.149999999999999" customHeight="1" x14ac:dyDescent="0.35">
      <c r="A27" s="35"/>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134"/>
      <c r="DS27" s="134"/>
      <c r="DT27" s="134"/>
      <c r="DU27" s="134"/>
      <c r="DV27" s="134"/>
      <c r="DW27" s="134"/>
      <c r="DX27" s="134"/>
      <c r="DY27" s="134"/>
      <c r="DZ27" s="134"/>
      <c r="EA27" s="134"/>
      <c r="EB27" s="134"/>
      <c r="EC27" s="134"/>
      <c r="ED27" s="134"/>
      <c r="EE27" s="134"/>
      <c r="EF27" s="134"/>
      <c r="EG27" s="134"/>
      <c r="EH27" s="134"/>
      <c r="EI27" s="134"/>
      <c r="EJ27" s="134"/>
      <c r="EK27" s="134"/>
      <c r="EL27" s="134"/>
      <c r="EM27" s="134"/>
      <c r="EN27" s="134"/>
      <c r="EO27" s="134"/>
      <c r="EP27" s="134"/>
      <c r="EQ27" s="134"/>
      <c r="ER27" s="134"/>
      <c r="ES27" s="134"/>
      <c r="ET27" s="134"/>
      <c r="EU27" s="134"/>
      <c r="EV27" s="134"/>
      <c r="EW27" s="134"/>
      <c r="EX27" s="134"/>
      <c r="EY27" s="134"/>
      <c r="EZ27" s="134"/>
      <c r="FA27" s="134"/>
      <c r="GQ27" s="211"/>
    </row>
    <row r="28" spans="1:200" s="1" customFormat="1" ht="30.65" customHeight="1" x14ac:dyDescent="0.35">
      <c r="A28" s="144" t="s">
        <v>272</v>
      </c>
      <c r="B28" s="145" t="s">
        <v>76</v>
      </c>
      <c r="C28" s="43" t="s">
        <v>77</v>
      </c>
      <c r="D28" s="43" t="s">
        <v>78</v>
      </c>
      <c r="E28" s="43" t="s">
        <v>79</v>
      </c>
      <c r="F28" s="43" t="s">
        <v>80</v>
      </c>
      <c r="G28" s="43" t="s">
        <v>81</v>
      </c>
      <c r="H28" s="43" t="s">
        <v>82</v>
      </c>
      <c r="I28" s="43" t="s">
        <v>83</v>
      </c>
      <c r="J28" s="43" t="s">
        <v>84</v>
      </c>
      <c r="K28" s="43" t="s">
        <v>85</v>
      </c>
      <c r="L28" s="43" t="s">
        <v>86</v>
      </c>
      <c r="M28" s="43" t="s">
        <v>87</v>
      </c>
      <c r="N28" s="145" t="s">
        <v>88</v>
      </c>
      <c r="O28" s="43" t="s">
        <v>89</v>
      </c>
      <c r="P28" s="43" t="s">
        <v>90</v>
      </c>
      <c r="Q28" s="43" t="s">
        <v>91</v>
      </c>
      <c r="R28" s="43" t="s">
        <v>92</v>
      </c>
      <c r="S28" s="43" t="s">
        <v>93</v>
      </c>
      <c r="T28" s="43" t="s">
        <v>94</v>
      </c>
      <c r="U28" s="43" t="s">
        <v>95</v>
      </c>
      <c r="V28" s="43" t="s">
        <v>96</v>
      </c>
      <c r="W28" s="43" t="s">
        <v>97</v>
      </c>
      <c r="X28" s="43" t="s">
        <v>98</v>
      </c>
      <c r="Y28" s="146" t="s">
        <v>99</v>
      </c>
      <c r="Z28" s="43" t="s">
        <v>100</v>
      </c>
      <c r="AA28" s="43" t="s">
        <v>101</v>
      </c>
      <c r="AB28" s="43" t="s">
        <v>102</v>
      </c>
      <c r="AC28" s="43" t="s">
        <v>103</v>
      </c>
      <c r="AD28" s="43" t="s">
        <v>104</v>
      </c>
      <c r="AE28" s="43" t="s">
        <v>105</v>
      </c>
      <c r="AF28" s="43" t="s">
        <v>106</v>
      </c>
      <c r="AG28" s="43" t="s">
        <v>107</v>
      </c>
      <c r="AH28" s="43" t="s">
        <v>108</v>
      </c>
      <c r="AI28" s="43" t="s">
        <v>109</v>
      </c>
      <c r="AJ28" s="43" t="s">
        <v>110</v>
      </c>
      <c r="AK28" s="146" t="s">
        <v>111</v>
      </c>
      <c r="AL28" s="43" t="s">
        <v>112</v>
      </c>
      <c r="AM28" s="43" t="s">
        <v>113</v>
      </c>
      <c r="AN28" s="43" t="s">
        <v>114</v>
      </c>
      <c r="AO28" s="43" t="s">
        <v>115</v>
      </c>
      <c r="AP28" s="43" t="s">
        <v>116</v>
      </c>
      <c r="AQ28" s="43" t="s">
        <v>117</v>
      </c>
      <c r="AR28" s="43" t="s">
        <v>118</v>
      </c>
      <c r="AS28" s="43" t="s">
        <v>119</v>
      </c>
      <c r="AT28" s="43" t="s">
        <v>120</v>
      </c>
      <c r="AU28" s="43" t="s">
        <v>121</v>
      </c>
      <c r="AV28" s="43" t="s">
        <v>122</v>
      </c>
      <c r="AW28" s="146" t="s">
        <v>123</v>
      </c>
      <c r="AX28" s="43" t="s">
        <v>124</v>
      </c>
      <c r="AY28" s="43" t="s">
        <v>125</v>
      </c>
      <c r="AZ28" s="43" t="s">
        <v>126</v>
      </c>
      <c r="BA28" s="43" t="s">
        <v>127</v>
      </c>
      <c r="BB28" s="43" t="s">
        <v>128</v>
      </c>
      <c r="BC28" s="43" t="s">
        <v>129</v>
      </c>
      <c r="BD28" s="43" t="s">
        <v>130</v>
      </c>
      <c r="BE28" s="43" t="s">
        <v>131</v>
      </c>
      <c r="BF28" s="43" t="s">
        <v>132</v>
      </c>
      <c r="BG28" s="43" t="s">
        <v>133</v>
      </c>
      <c r="BH28" s="43" t="s">
        <v>134</v>
      </c>
      <c r="BI28" s="146" t="s">
        <v>135</v>
      </c>
      <c r="BJ28" s="43" t="s">
        <v>136</v>
      </c>
      <c r="BK28" s="43" t="s">
        <v>137</v>
      </c>
      <c r="BL28" s="43" t="s">
        <v>138</v>
      </c>
      <c r="BM28" s="43" t="s">
        <v>139</v>
      </c>
      <c r="BN28" s="43" t="s">
        <v>140</v>
      </c>
      <c r="BO28" s="43" t="s">
        <v>141</v>
      </c>
      <c r="BP28" s="43" t="s">
        <v>142</v>
      </c>
      <c r="BQ28" s="43" t="s">
        <v>143</v>
      </c>
      <c r="BR28" s="43" t="s">
        <v>144</v>
      </c>
      <c r="BS28" s="43" t="s">
        <v>145</v>
      </c>
      <c r="BT28" s="43" t="s">
        <v>146</v>
      </c>
      <c r="BU28" s="146" t="s">
        <v>147</v>
      </c>
      <c r="BV28" s="43" t="s">
        <v>148</v>
      </c>
      <c r="BW28" s="43" t="s">
        <v>149</v>
      </c>
      <c r="BX28" s="43" t="s">
        <v>150</v>
      </c>
      <c r="BY28" s="43" t="s">
        <v>151</v>
      </c>
      <c r="BZ28" s="43" t="s">
        <v>152</v>
      </c>
      <c r="CA28" s="43" t="s">
        <v>153</v>
      </c>
      <c r="CB28" s="43" t="s">
        <v>154</v>
      </c>
      <c r="CC28" s="43" t="s">
        <v>155</v>
      </c>
      <c r="CD28" s="43" t="s">
        <v>156</v>
      </c>
      <c r="CE28" s="43" t="s">
        <v>157</v>
      </c>
      <c r="CF28" s="43" t="s">
        <v>158</v>
      </c>
      <c r="CG28" s="146" t="s">
        <v>159</v>
      </c>
      <c r="CH28" s="43" t="s">
        <v>160</v>
      </c>
      <c r="CI28" s="43" t="s">
        <v>161</v>
      </c>
      <c r="CJ28" s="43" t="s">
        <v>162</v>
      </c>
      <c r="CK28" s="43" t="s">
        <v>163</v>
      </c>
      <c r="CL28" s="43" t="s">
        <v>164</v>
      </c>
      <c r="CM28" s="43" t="s">
        <v>165</v>
      </c>
      <c r="CN28" s="43" t="s">
        <v>166</v>
      </c>
      <c r="CO28" s="43" t="s">
        <v>167</v>
      </c>
      <c r="CP28" s="43" t="s">
        <v>168</v>
      </c>
      <c r="CQ28" s="43" t="s">
        <v>169</v>
      </c>
      <c r="CR28" s="43" t="s">
        <v>170</v>
      </c>
      <c r="CS28" s="146" t="s">
        <v>171</v>
      </c>
      <c r="CT28" s="43" t="s">
        <v>172</v>
      </c>
      <c r="CU28" s="43" t="s">
        <v>173</v>
      </c>
      <c r="CV28" s="43" t="s">
        <v>174</v>
      </c>
      <c r="CW28" s="43" t="s">
        <v>175</v>
      </c>
      <c r="CX28" s="43" t="s">
        <v>176</v>
      </c>
      <c r="CY28" s="43" t="s">
        <v>177</v>
      </c>
      <c r="CZ28" s="43" t="s">
        <v>178</v>
      </c>
      <c r="DA28" s="43" t="s">
        <v>179</v>
      </c>
      <c r="DB28" s="43" t="s">
        <v>180</v>
      </c>
      <c r="DC28" s="43" t="s">
        <v>181</v>
      </c>
      <c r="DD28" s="43" t="s">
        <v>182</v>
      </c>
      <c r="DE28" s="146" t="s">
        <v>183</v>
      </c>
      <c r="DF28" s="43" t="s">
        <v>184</v>
      </c>
      <c r="DG28" s="43" t="s">
        <v>185</v>
      </c>
      <c r="DH28" s="43" t="s">
        <v>186</v>
      </c>
      <c r="DI28" s="43" t="s">
        <v>187</v>
      </c>
      <c r="DJ28" s="43" t="s">
        <v>188</v>
      </c>
      <c r="DK28" s="43" t="s">
        <v>189</v>
      </c>
      <c r="DL28" s="43" t="s">
        <v>190</v>
      </c>
      <c r="DM28" s="43" t="s">
        <v>191</v>
      </c>
      <c r="DN28" s="43" t="s">
        <v>192</v>
      </c>
      <c r="DO28" s="43" t="s">
        <v>193</v>
      </c>
      <c r="DP28" s="43" t="s">
        <v>194</v>
      </c>
      <c r="DQ28" s="146" t="s">
        <v>195</v>
      </c>
      <c r="DR28" s="43" t="s">
        <v>196</v>
      </c>
      <c r="DS28" s="43" t="s">
        <v>197</v>
      </c>
      <c r="DT28" s="43" t="s">
        <v>198</v>
      </c>
      <c r="DU28" s="43" t="s">
        <v>199</v>
      </c>
      <c r="DV28" s="43" t="s">
        <v>200</v>
      </c>
      <c r="DW28" s="43" t="s">
        <v>201</v>
      </c>
      <c r="DX28" s="43" t="s">
        <v>202</v>
      </c>
      <c r="DY28" s="43" t="s">
        <v>203</v>
      </c>
      <c r="DZ28" s="43" t="s">
        <v>204</v>
      </c>
      <c r="EA28" s="43" t="s">
        <v>205</v>
      </c>
      <c r="EB28" s="43" t="s">
        <v>206</v>
      </c>
      <c r="EC28" s="146" t="s">
        <v>207</v>
      </c>
      <c r="ED28" s="43" t="s">
        <v>208</v>
      </c>
      <c r="EE28" s="43" t="s">
        <v>209</v>
      </c>
      <c r="EF28" s="43" t="s">
        <v>210</v>
      </c>
      <c r="EG28" s="43" t="s">
        <v>211</v>
      </c>
      <c r="EH28" s="43" t="s">
        <v>212</v>
      </c>
      <c r="EI28" s="43" t="s">
        <v>213</v>
      </c>
      <c r="EJ28" s="43" t="s">
        <v>275</v>
      </c>
      <c r="EK28" s="43" t="s">
        <v>215</v>
      </c>
      <c r="EL28" s="43" t="s">
        <v>216</v>
      </c>
      <c r="EM28" s="43" t="s">
        <v>217</v>
      </c>
      <c r="EN28" s="43" t="s">
        <v>218</v>
      </c>
      <c r="EO28" s="43" t="s">
        <v>231</v>
      </c>
      <c r="EP28" s="147" t="s">
        <v>220</v>
      </c>
      <c r="EQ28" s="43" t="s">
        <v>221</v>
      </c>
      <c r="ER28" s="43" t="s">
        <v>222</v>
      </c>
      <c r="ES28" s="43" t="s">
        <v>223</v>
      </c>
      <c r="ET28" s="43" t="s">
        <v>224</v>
      </c>
      <c r="EU28" s="43" t="s">
        <v>225</v>
      </c>
      <c r="EV28" s="43" t="s">
        <v>226</v>
      </c>
      <c r="EW28" s="43" t="s">
        <v>276</v>
      </c>
      <c r="EX28" s="43" t="s">
        <v>228</v>
      </c>
      <c r="EY28" s="43" t="s">
        <v>229</v>
      </c>
      <c r="EZ28" s="43" t="s">
        <v>230</v>
      </c>
      <c r="FA28" s="141" t="s">
        <v>243</v>
      </c>
      <c r="FB28" s="43" t="s">
        <v>232</v>
      </c>
      <c r="FC28" s="43" t="s">
        <v>233</v>
      </c>
      <c r="FD28" s="43" t="s">
        <v>234</v>
      </c>
      <c r="FE28" s="43" t="s">
        <v>235</v>
      </c>
      <c r="FF28" s="43" t="s">
        <v>236</v>
      </c>
      <c r="FG28" s="43" t="s">
        <v>237</v>
      </c>
      <c r="FH28" s="43" t="s">
        <v>238</v>
      </c>
      <c r="FI28" s="43" t="s">
        <v>239</v>
      </c>
      <c r="FJ28" s="43" t="s">
        <v>240</v>
      </c>
      <c r="FK28" s="43" t="s">
        <v>241</v>
      </c>
      <c r="FL28" s="43" t="s">
        <v>242</v>
      </c>
      <c r="FM28" s="43" t="s">
        <v>285</v>
      </c>
      <c r="FN28" s="147" t="s">
        <v>244</v>
      </c>
      <c r="FO28" s="43" t="s">
        <v>245</v>
      </c>
      <c r="FP28" s="43" t="s">
        <v>246</v>
      </c>
      <c r="FQ28" s="43" t="s">
        <v>247</v>
      </c>
      <c r="FR28" s="43" t="s">
        <v>248</v>
      </c>
      <c r="FS28" s="43" t="s">
        <v>249</v>
      </c>
      <c r="FT28" s="43" t="s">
        <v>250</v>
      </c>
      <c r="FU28" s="43" t="s">
        <v>251</v>
      </c>
      <c r="FV28" s="43" t="s">
        <v>252</v>
      </c>
      <c r="FW28" s="43" t="s">
        <v>253</v>
      </c>
      <c r="FX28" s="43" t="s">
        <v>254</v>
      </c>
      <c r="FY28" s="43" t="s">
        <v>255</v>
      </c>
      <c r="FZ28" s="147" t="s">
        <v>256</v>
      </c>
      <c r="GA28" s="43" t="s">
        <v>257</v>
      </c>
      <c r="GB28" s="43" t="s">
        <v>258</v>
      </c>
      <c r="GC28" s="43" t="s">
        <v>259</v>
      </c>
      <c r="GD28" s="43" t="s">
        <v>260</v>
      </c>
      <c r="GE28" s="43" t="s">
        <v>261</v>
      </c>
      <c r="GF28" s="43" t="s">
        <v>262</v>
      </c>
      <c r="GG28" s="43" t="s">
        <v>263</v>
      </c>
      <c r="GH28" s="43" t="s">
        <v>264</v>
      </c>
      <c r="GI28" s="43" t="s">
        <v>265</v>
      </c>
      <c r="GJ28" s="43" t="s">
        <v>1622</v>
      </c>
      <c r="GK28" s="43" t="s">
        <v>1629</v>
      </c>
      <c r="GL28" s="147" t="s">
        <v>1630</v>
      </c>
      <c r="GM28" s="43" t="s">
        <v>1635</v>
      </c>
      <c r="GN28" s="43" t="s">
        <v>1638</v>
      </c>
      <c r="GO28" s="43" t="s">
        <v>1645</v>
      </c>
      <c r="GP28" s="43" t="s">
        <v>1649</v>
      </c>
    </row>
    <row r="29" spans="1:200" s="1" customFormat="1" ht="20.149999999999999" customHeight="1" x14ac:dyDescent="0.35">
      <c r="A29" s="26" t="s">
        <v>266</v>
      </c>
      <c r="B29" s="27"/>
      <c r="C29" s="27"/>
      <c r="D29" s="27"/>
      <c r="E29" s="27"/>
      <c r="F29" s="27"/>
      <c r="G29" s="27"/>
      <c r="H29" s="27"/>
      <c r="I29" s="27"/>
      <c r="J29" s="27"/>
      <c r="K29" s="27"/>
      <c r="L29" s="27"/>
      <c r="M29" s="28"/>
      <c r="N29" s="29"/>
      <c r="O29" s="27"/>
      <c r="P29" s="27"/>
      <c r="Q29" s="27"/>
      <c r="R29" s="27"/>
      <c r="S29" s="27"/>
      <c r="T29" s="27"/>
      <c r="U29" s="27"/>
      <c r="V29" s="27"/>
      <c r="W29" s="27"/>
      <c r="X29" s="27"/>
      <c r="Y29" s="28"/>
      <c r="Z29" s="27"/>
      <c r="AA29" s="27"/>
      <c r="AB29" s="27"/>
      <c r="AC29" s="27"/>
      <c r="AD29" s="27"/>
      <c r="AE29" s="27"/>
      <c r="AF29" s="27"/>
      <c r="AG29" s="27"/>
      <c r="AH29" s="27"/>
      <c r="AI29" s="27"/>
      <c r="AJ29" s="27"/>
      <c r="AK29" s="28"/>
      <c r="AL29" s="27"/>
      <c r="AM29" s="27"/>
      <c r="AN29" s="27"/>
      <c r="AO29" s="27"/>
      <c r="AP29" s="27"/>
      <c r="AQ29" s="27"/>
      <c r="AR29" s="27"/>
      <c r="AS29" s="27"/>
      <c r="AT29" s="27"/>
      <c r="AU29" s="27"/>
      <c r="AV29" s="27"/>
      <c r="AW29" s="28"/>
      <c r="AX29" s="27"/>
      <c r="AY29" s="27"/>
      <c r="AZ29" s="27"/>
      <c r="BA29" s="27"/>
      <c r="BB29" s="27"/>
      <c r="BC29" s="27"/>
      <c r="BD29" s="27"/>
      <c r="BE29" s="27"/>
      <c r="BF29" s="27"/>
      <c r="BG29" s="27"/>
      <c r="BH29" s="27"/>
      <c r="BI29" s="28"/>
      <c r="BJ29" s="27"/>
      <c r="BK29" s="27"/>
      <c r="BL29" s="27"/>
      <c r="BM29" s="27"/>
      <c r="BN29" s="27"/>
      <c r="BO29" s="27"/>
      <c r="BP29" s="27"/>
      <c r="BQ29" s="27"/>
      <c r="BR29" s="27"/>
      <c r="BS29" s="27"/>
      <c r="BT29" s="27"/>
      <c r="BU29" s="28"/>
      <c r="BV29" s="27"/>
      <c r="BW29" s="27"/>
      <c r="BX29" s="27"/>
      <c r="BY29" s="27"/>
      <c r="BZ29" s="27"/>
      <c r="CA29" s="27"/>
      <c r="CB29" s="27"/>
      <c r="CC29" s="27"/>
      <c r="CD29" s="27"/>
      <c r="CE29" s="27"/>
      <c r="CF29" s="27"/>
      <c r="CG29" s="28"/>
      <c r="CH29" s="27"/>
      <c r="CI29" s="27"/>
      <c r="CJ29" s="27"/>
      <c r="CK29" s="27"/>
      <c r="CL29" s="27"/>
      <c r="CM29" s="27"/>
      <c r="CN29" s="27"/>
      <c r="CO29" s="27"/>
      <c r="CP29" s="27"/>
      <c r="CQ29" s="27"/>
      <c r="CR29" s="27"/>
      <c r="CS29" s="28"/>
      <c r="CT29" s="27"/>
      <c r="CU29" s="27"/>
      <c r="CV29" s="27"/>
      <c r="CW29" s="27"/>
      <c r="CX29" s="27"/>
      <c r="CY29" s="27"/>
      <c r="CZ29" s="27"/>
      <c r="DA29" s="27"/>
      <c r="DB29" s="27"/>
      <c r="DC29" s="27"/>
      <c r="DD29" s="27"/>
      <c r="DE29" s="79"/>
      <c r="DF29" s="71"/>
      <c r="DG29" s="27"/>
      <c r="DH29" s="27"/>
      <c r="DI29" s="27"/>
      <c r="DJ29" s="27"/>
      <c r="DK29" s="27"/>
      <c r="DL29" s="27"/>
      <c r="DM29" s="27"/>
      <c r="DN29" s="27"/>
      <c r="DO29" s="27"/>
      <c r="DP29" s="27"/>
      <c r="DQ29" s="79"/>
      <c r="DR29" s="71"/>
      <c r="DS29" s="27"/>
      <c r="DT29" s="27"/>
      <c r="DU29" s="27"/>
      <c r="DV29" s="27"/>
      <c r="DW29" s="27"/>
      <c r="DX29" s="27"/>
      <c r="DY29" s="27"/>
      <c r="DZ29" s="27"/>
      <c r="EA29" s="27"/>
      <c r="EB29" s="27"/>
      <c r="EC29" s="79"/>
      <c r="ED29" s="71"/>
      <c r="EE29" s="27"/>
      <c r="EF29" s="27"/>
      <c r="EG29" s="27"/>
      <c r="EH29" s="27"/>
      <c r="EI29" s="27"/>
      <c r="EJ29" s="27"/>
      <c r="EK29" s="27"/>
      <c r="EL29" s="142"/>
      <c r="EM29" s="142"/>
      <c r="EN29" s="142"/>
      <c r="EO29" s="142"/>
      <c r="EP29" s="143"/>
      <c r="EQ29" s="142"/>
      <c r="ER29" s="68"/>
      <c r="ES29" s="68"/>
      <c r="ET29" s="68"/>
      <c r="EU29" s="68"/>
      <c r="EV29" s="68"/>
      <c r="EW29" s="68"/>
      <c r="EX29" s="68"/>
      <c r="EY29" s="68"/>
      <c r="EZ29" s="68"/>
      <c r="FA29" s="131"/>
      <c r="FB29" s="68"/>
      <c r="FC29" s="68"/>
      <c r="FD29" s="68"/>
      <c r="FE29" s="68"/>
      <c r="FF29" s="68"/>
      <c r="FG29" s="126"/>
      <c r="FH29" s="126"/>
      <c r="FI29" s="126"/>
      <c r="FJ29" s="126"/>
      <c r="FK29" s="126"/>
      <c r="FL29" s="126"/>
      <c r="FM29" s="126"/>
      <c r="FN29" s="172"/>
      <c r="FO29" s="126"/>
      <c r="FP29" s="126"/>
      <c r="FQ29" s="126"/>
      <c r="FR29" s="126"/>
      <c r="FS29" s="126"/>
      <c r="FT29" s="126"/>
      <c r="FU29" s="126"/>
      <c r="FV29" s="45"/>
      <c r="FW29" s="45"/>
      <c r="FX29" s="45"/>
      <c r="FY29" s="45"/>
      <c r="FZ29" s="172"/>
      <c r="GA29" s="45"/>
      <c r="GB29" s="45"/>
      <c r="GC29" s="45"/>
      <c r="GD29" s="45"/>
      <c r="GE29" s="45"/>
      <c r="GF29" s="45"/>
      <c r="GG29" s="45"/>
      <c r="GH29" s="45"/>
      <c r="GI29" s="45"/>
      <c r="GJ29" s="45"/>
      <c r="GK29" s="45"/>
      <c r="GL29" s="172"/>
      <c r="GM29" s="45"/>
      <c r="GN29" s="208"/>
      <c r="GO29" s="208"/>
      <c r="GP29" s="208"/>
    </row>
    <row r="30" spans="1:200" s="1" customFormat="1" ht="20.149999999999999" customHeight="1" x14ac:dyDescent="0.35">
      <c r="A30" s="31" t="s">
        <v>277</v>
      </c>
      <c r="B30" s="55">
        <v>1</v>
      </c>
      <c r="C30" s="55">
        <v>1</v>
      </c>
      <c r="D30" s="55">
        <v>1</v>
      </c>
      <c r="E30" s="55">
        <v>2</v>
      </c>
      <c r="F30" s="55">
        <v>4</v>
      </c>
      <c r="G30" s="55">
        <v>6</v>
      </c>
      <c r="H30" s="55">
        <v>7</v>
      </c>
      <c r="I30" s="55">
        <v>9</v>
      </c>
      <c r="J30" s="55">
        <v>12</v>
      </c>
      <c r="K30" s="55">
        <v>13</v>
      </c>
      <c r="L30" s="55">
        <v>16</v>
      </c>
      <c r="M30" s="56">
        <v>20</v>
      </c>
      <c r="N30" s="57">
        <v>21</v>
      </c>
      <c r="O30" s="55">
        <v>23</v>
      </c>
      <c r="P30" s="55">
        <v>29</v>
      </c>
      <c r="Q30" s="55">
        <v>35</v>
      </c>
      <c r="R30" s="55">
        <v>40</v>
      </c>
      <c r="S30" s="55">
        <v>51</v>
      </c>
      <c r="T30" s="55">
        <v>100</v>
      </c>
      <c r="U30" s="55">
        <v>109</v>
      </c>
      <c r="V30" s="55">
        <v>121</v>
      </c>
      <c r="W30" s="55">
        <v>135</v>
      </c>
      <c r="X30" s="55">
        <v>174</v>
      </c>
      <c r="Y30" s="56">
        <v>232</v>
      </c>
      <c r="Z30" s="55">
        <v>232</v>
      </c>
      <c r="AA30" s="55">
        <v>253</v>
      </c>
      <c r="AB30" s="55">
        <v>267</v>
      </c>
      <c r="AC30" s="55">
        <v>267</v>
      </c>
      <c r="AD30" s="55">
        <v>271</v>
      </c>
      <c r="AE30" s="55">
        <v>273</v>
      </c>
      <c r="AF30" s="55">
        <v>300</v>
      </c>
      <c r="AG30" s="55">
        <v>300</v>
      </c>
      <c r="AH30" s="55">
        <v>300</v>
      </c>
      <c r="AI30" s="55">
        <v>301</v>
      </c>
      <c r="AJ30" s="55">
        <v>304</v>
      </c>
      <c r="AK30" s="56">
        <v>304</v>
      </c>
      <c r="AL30" s="55">
        <v>304</v>
      </c>
      <c r="AM30" s="55">
        <v>304</v>
      </c>
      <c r="AN30" s="55">
        <v>305</v>
      </c>
      <c r="AO30" s="55">
        <v>313</v>
      </c>
      <c r="AP30" s="55">
        <v>315</v>
      </c>
      <c r="AQ30" s="55">
        <v>316</v>
      </c>
      <c r="AR30" s="55">
        <v>320</v>
      </c>
      <c r="AS30" s="55">
        <v>323</v>
      </c>
      <c r="AT30" s="55">
        <v>328</v>
      </c>
      <c r="AU30" s="55">
        <v>332</v>
      </c>
      <c r="AV30" s="55">
        <v>333</v>
      </c>
      <c r="AW30" s="56">
        <v>335</v>
      </c>
      <c r="AX30" s="55">
        <v>335</v>
      </c>
      <c r="AY30" s="55">
        <v>337</v>
      </c>
      <c r="AZ30" s="55">
        <v>342</v>
      </c>
      <c r="BA30" s="55">
        <v>343</v>
      </c>
      <c r="BB30" s="55">
        <v>348</v>
      </c>
      <c r="BC30" s="55">
        <v>354</v>
      </c>
      <c r="BD30" s="55">
        <v>357</v>
      </c>
      <c r="BE30" s="55">
        <v>361</v>
      </c>
      <c r="BF30" s="55">
        <v>364</v>
      </c>
      <c r="BG30" s="55">
        <v>369</v>
      </c>
      <c r="BH30" s="55">
        <v>372</v>
      </c>
      <c r="BI30" s="56">
        <v>379</v>
      </c>
      <c r="BJ30" s="55">
        <v>379</v>
      </c>
      <c r="BK30" s="55">
        <v>382</v>
      </c>
      <c r="BL30" s="55">
        <v>393</v>
      </c>
      <c r="BM30" s="55">
        <v>395</v>
      </c>
      <c r="BN30" s="55">
        <v>399</v>
      </c>
      <c r="BO30" s="55">
        <v>409</v>
      </c>
      <c r="BP30" s="55">
        <v>412</v>
      </c>
      <c r="BQ30" s="55">
        <v>415</v>
      </c>
      <c r="BR30" s="55">
        <v>425</v>
      </c>
      <c r="BS30" s="55">
        <v>435</v>
      </c>
      <c r="BT30" s="55">
        <v>448</v>
      </c>
      <c r="BU30" s="56">
        <v>525</v>
      </c>
      <c r="BV30" s="55">
        <v>527</v>
      </c>
      <c r="BW30" s="55">
        <v>529</v>
      </c>
      <c r="BX30" s="55">
        <v>532</v>
      </c>
      <c r="BY30" s="55">
        <v>532</v>
      </c>
      <c r="BZ30" s="55">
        <v>535</v>
      </c>
      <c r="CA30" s="55">
        <v>564</v>
      </c>
      <c r="CB30" s="55">
        <v>564</v>
      </c>
      <c r="CC30" s="55">
        <v>567</v>
      </c>
      <c r="CD30" s="55">
        <v>569</v>
      </c>
      <c r="CE30" s="55">
        <v>569</v>
      </c>
      <c r="CF30" s="55">
        <v>570</v>
      </c>
      <c r="CG30" s="121">
        <v>570</v>
      </c>
      <c r="CH30" s="77">
        <v>571</v>
      </c>
      <c r="CI30" s="55">
        <v>571</v>
      </c>
      <c r="CJ30" s="55">
        <v>573</v>
      </c>
      <c r="CK30" s="55">
        <v>573</v>
      </c>
      <c r="CL30" s="55">
        <v>574</v>
      </c>
      <c r="CM30" s="55">
        <v>574</v>
      </c>
      <c r="CN30" s="55">
        <v>575</v>
      </c>
      <c r="CO30" s="55">
        <v>575</v>
      </c>
      <c r="CP30" s="55">
        <v>575</v>
      </c>
      <c r="CQ30" s="55">
        <v>575</v>
      </c>
      <c r="CR30" s="55">
        <v>575</v>
      </c>
      <c r="CS30" s="121">
        <v>575</v>
      </c>
      <c r="CT30" s="77">
        <v>576</v>
      </c>
      <c r="CU30" s="55">
        <v>576</v>
      </c>
      <c r="CV30" s="55">
        <v>576</v>
      </c>
      <c r="CW30" s="55">
        <v>576</v>
      </c>
      <c r="CX30" s="55">
        <v>576</v>
      </c>
      <c r="CY30" s="55">
        <v>576</v>
      </c>
      <c r="CZ30" s="55">
        <v>576</v>
      </c>
      <c r="DA30" s="55">
        <v>576</v>
      </c>
      <c r="DB30" s="55">
        <v>576</v>
      </c>
      <c r="DC30" s="55">
        <v>576</v>
      </c>
      <c r="DD30" s="55">
        <v>576</v>
      </c>
      <c r="DE30" s="121">
        <v>576</v>
      </c>
      <c r="DF30" s="77">
        <v>576</v>
      </c>
      <c r="DG30" s="55">
        <v>576</v>
      </c>
      <c r="DH30" s="55">
        <v>576</v>
      </c>
      <c r="DI30" s="55">
        <v>576</v>
      </c>
      <c r="DJ30" s="55">
        <v>576</v>
      </c>
      <c r="DK30" s="55">
        <v>576</v>
      </c>
      <c r="DL30" s="55">
        <v>576</v>
      </c>
      <c r="DM30" s="55">
        <v>576</v>
      </c>
      <c r="DN30" s="55">
        <v>576</v>
      </c>
      <c r="DO30" s="55">
        <v>576</v>
      </c>
      <c r="DP30" s="55">
        <v>576</v>
      </c>
      <c r="DQ30" s="121">
        <v>576</v>
      </c>
      <c r="DR30" s="77">
        <v>576</v>
      </c>
      <c r="DS30" s="55">
        <v>576</v>
      </c>
      <c r="DT30" s="55">
        <v>576</v>
      </c>
      <c r="DU30" s="55">
        <v>576</v>
      </c>
      <c r="DV30" s="55">
        <v>576</v>
      </c>
      <c r="DW30" s="55">
        <v>576</v>
      </c>
      <c r="DX30" s="55">
        <v>576</v>
      </c>
      <c r="DY30" s="55">
        <v>576</v>
      </c>
      <c r="DZ30" s="55">
        <v>576</v>
      </c>
      <c r="EA30" s="55">
        <v>576</v>
      </c>
      <c r="EB30" s="55">
        <v>576</v>
      </c>
      <c r="EC30" s="55">
        <v>576</v>
      </c>
      <c r="ED30" s="77">
        <v>576</v>
      </c>
      <c r="EE30" s="55">
        <v>576</v>
      </c>
      <c r="EF30" s="55">
        <v>576</v>
      </c>
      <c r="EG30" s="55">
        <v>576</v>
      </c>
      <c r="EH30" s="55">
        <v>576</v>
      </c>
      <c r="EI30" s="55">
        <v>576</v>
      </c>
      <c r="EJ30" s="55">
        <v>576</v>
      </c>
      <c r="EK30" s="55">
        <v>576</v>
      </c>
      <c r="EL30" s="55">
        <v>576</v>
      </c>
      <c r="EM30" s="55">
        <v>576</v>
      </c>
      <c r="EN30" s="55">
        <v>576</v>
      </c>
      <c r="EO30" s="55">
        <v>576</v>
      </c>
      <c r="EP30" s="77">
        <v>576</v>
      </c>
      <c r="EQ30" s="55">
        <v>576</v>
      </c>
      <c r="ER30" s="55">
        <v>576</v>
      </c>
      <c r="ES30" s="55">
        <v>576</v>
      </c>
      <c r="ET30" s="55">
        <v>576</v>
      </c>
      <c r="EU30" s="55">
        <v>576</v>
      </c>
      <c r="EV30" s="55">
        <v>576</v>
      </c>
      <c r="EW30" s="55">
        <v>576</v>
      </c>
      <c r="EX30" s="55">
        <v>576</v>
      </c>
      <c r="EY30" s="55">
        <v>576</v>
      </c>
      <c r="EZ30" s="55">
        <v>576</v>
      </c>
      <c r="FA30" s="83">
        <v>576</v>
      </c>
      <c r="FB30" s="55">
        <v>576</v>
      </c>
      <c r="FC30" s="55">
        <v>576</v>
      </c>
      <c r="FD30" s="55">
        <v>576</v>
      </c>
      <c r="FE30" s="55">
        <v>576</v>
      </c>
      <c r="FF30" s="55">
        <v>576</v>
      </c>
      <c r="FG30" s="55">
        <v>576</v>
      </c>
      <c r="FH30" s="55">
        <v>576</v>
      </c>
      <c r="FI30" s="55">
        <v>576</v>
      </c>
      <c r="FJ30" s="55">
        <v>576</v>
      </c>
      <c r="FK30" s="55">
        <v>576</v>
      </c>
      <c r="FL30" s="55">
        <v>576</v>
      </c>
      <c r="FM30" s="55">
        <v>576</v>
      </c>
      <c r="FN30" s="77">
        <v>576</v>
      </c>
      <c r="FO30" s="55">
        <v>576</v>
      </c>
      <c r="FP30" s="55">
        <v>576</v>
      </c>
      <c r="FQ30" s="55">
        <v>576</v>
      </c>
      <c r="FR30" s="55">
        <v>576</v>
      </c>
      <c r="FS30" s="55">
        <v>576</v>
      </c>
      <c r="FT30" s="55">
        <v>576</v>
      </c>
      <c r="FU30" s="55">
        <v>576</v>
      </c>
      <c r="FV30" s="55">
        <v>576</v>
      </c>
      <c r="FW30" s="55">
        <v>576</v>
      </c>
      <c r="FX30" s="55">
        <v>576</v>
      </c>
      <c r="FY30" s="55">
        <v>576</v>
      </c>
      <c r="FZ30" s="77">
        <v>576</v>
      </c>
      <c r="GA30" s="55">
        <v>576</v>
      </c>
      <c r="GB30" s="55">
        <v>576</v>
      </c>
      <c r="GC30" s="55">
        <v>576</v>
      </c>
      <c r="GD30" s="55">
        <v>576</v>
      </c>
      <c r="GE30" s="55">
        <v>576</v>
      </c>
      <c r="GF30" s="55">
        <v>576</v>
      </c>
      <c r="GG30" s="55">
        <v>576</v>
      </c>
      <c r="GH30" s="55">
        <v>576</v>
      </c>
      <c r="GI30" s="55">
        <v>576</v>
      </c>
      <c r="GJ30" s="55">
        <v>576</v>
      </c>
      <c r="GK30" s="55">
        <v>576</v>
      </c>
      <c r="GL30" s="77">
        <v>576</v>
      </c>
      <c r="GM30" s="55">
        <v>576</v>
      </c>
      <c r="GN30" s="55">
        <v>576</v>
      </c>
      <c r="GO30" s="55">
        <v>576</v>
      </c>
      <c r="GP30" s="55">
        <v>576</v>
      </c>
    </row>
    <row r="31" spans="1:200" s="1" customFormat="1" ht="20.149999999999999" customHeight="1" x14ac:dyDescent="0.35">
      <c r="A31" s="31" t="s">
        <v>278</v>
      </c>
      <c r="B31" s="55">
        <v>4514</v>
      </c>
      <c r="C31" s="55">
        <v>4935</v>
      </c>
      <c r="D31" s="55">
        <v>5722</v>
      </c>
      <c r="E31" s="55">
        <v>6629</v>
      </c>
      <c r="F31" s="55">
        <v>7969</v>
      </c>
      <c r="G31" s="55">
        <v>9669</v>
      </c>
      <c r="H31" s="55">
        <v>11684</v>
      </c>
      <c r="I31" s="55">
        <v>13756</v>
      </c>
      <c r="J31" s="55">
        <v>16352</v>
      </c>
      <c r="K31" s="55">
        <v>19451</v>
      </c>
      <c r="L31" s="55">
        <v>23006</v>
      </c>
      <c r="M31" s="56">
        <v>25679</v>
      </c>
      <c r="N31" s="57">
        <v>29353</v>
      </c>
      <c r="O31" s="55">
        <v>33531</v>
      </c>
      <c r="P31" s="55">
        <v>39806</v>
      </c>
      <c r="Q31" s="55">
        <v>45757</v>
      </c>
      <c r="R31" s="55">
        <v>52706</v>
      </c>
      <c r="S31" s="55">
        <v>61789</v>
      </c>
      <c r="T31" s="55">
        <v>72569</v>
      </c>
      <c r="U31" s="55">
        <v>86110</v>
      </c>
      <c r="V31" s="55">
        <v>102766</v>
      </c>
      <c r="W31" s="55">
        <v>122214</v>
      </c>
      <c r="X31" s="55">
        <v>177201</v>
      </c>
      <c r="Y31" s="56">
        <v>220906</v>
      </c>
      <c r="Z31" s="55">
        <v>228759</v>
      </c>
      <c r="AA31" s="55">
        <v>270860</v>
      </c>
      <c r="AB31" s="55">
        <v>296105</v>
      </c>
      <c r="AC31" s="55">
        <v>300920</v>
      </c>
      <c r="AD31" s="55">
        <v>310590</v>
      </c>
      <c r="AE31" s="55">
        <v>322955</v>
      </c>
      <c r="AF31" s="55">
        <v>348058</v>
      </c>
      <c r="AG31" s="55">
        <v>351434</v>
      </c>
      <c r="AH31" s="55">
        <v>356039</v>
      </c>
      <c r="AI31" s="55">
        <v>366026</v>
      </c>
      <c r="AJ31" s="55">
        <v>371121</v>
      </c>
      <c r="AK31" s="56">
        <v>376576</v>
      </c>
      <c r="AL31" s="55">
        <v>382385</v>
      </c>
      <c r="AM31" s="55">
        <v>388819</v>
      </c>
      <c r="AN31" s="55">
        <v>396070</v>
      </c>
      <c r="AO31" s="55">
        <v>403745</v>
      </c>
      <c r="AP31" s="55">
        <v>411704</v>
      </c>
      <c r="AQ31" s="55">
        <v>423647</v>
      </c>
      <c r="AR31" s="55">
        <v>429727</v>
      </c>
      <c r="AS31" s="55">
        <v>436992</v>
      </c>
      <c r="AT31" s="55">
        <v>444656</v>
      </c>
      <c r="AU31" s="55">
        <v>452815</v>
      </c>
      <c r="AV31" s="55">
        <v>462068</v>
      </c>
      <c r="AW31" s="56">
        <v>469931</v>
      </c>
      <c r="AX31" s="55">
        <v>477545</v>
      </c>
      <c r="AY31" s="55">
        <v>485833</v>
      </c>
      <c r="AZ31" s="55">
        <v>500523</v>
      </c>
      <c r="BA31" s="55">
        <v>507950</v>
      </c>
      <c r="BB31" s="55">
        <v>516133</v>
      </c>
      <c r="BC31" s="55">
        <v>525194</v>
      </c>
      <c r="BD31" s="55">
        <v>535413</v>
      </c>
      <c r="BE31" s="55">
        <v>545292</v>
      </c>
      <c r="BF31" s="55">
        <v>556906</v>
      </c>
      <c r="BG31" s="55">
        <v>568962</v>
      </c>
      <c r="BH31" s="55">
        <v>580568</v>
      </c>
      <c r="BI31" s="56">
        <v>592852</v>
      </c>
      <c r="BJ31" s="55">
        <v>600256</v>
      </c>
      <c r="BK31" s="55">
        <v>609407</v>
      </c>
      <c r="BL31" s="55">
        <v>624372</v>
      </c>
      <c r="BM31" s="55">
        <v>634058</v>
      </c>
      <c r="BN31" s="55">
        <v>644267</v>
      </c>
      <c r="BO31" s="55">
        <v>659339</v>
      </c>
      <c r="BP31" s="55">
        <v>669453</v>
      </c>
      <c r="BQ31" s="55">
        <v>679698</v>
      </c>
      <c r="BR31" s="55">
        <v>697193</v>
      </c>
      <c r="BS31" s="55">
        <v>712179</v>
      </c>
      <c r="BT31" s="55">
        <v>731856</v>
      </c>
      <c r="BU31" s="56">
        <v>755784</v>
      </c>
      <c r="BV31" s="55">
        <v>768751</v>
      </c>
      <c r="BW31" s="55">
        <v>770993</v>
      </c>
      <c r="BX31" s="55">
        <v>774078</v>
      </c>
      <c r="BY31" s="55">
        <v>776278</v>
      </c>
      <c r="BZ31" s="55">
        <v>778623</v>
      </c>
      <c r="CA31" s="55">
        <v>781386</v>
      </c>
      <c r="CB31" s="55">
        <v>783496</v>
      </c>
      <c r="CC31" s="55">
        <v>785565</v>
      </c>
      <c r="CD31" s="55">
        <v>787947</v>
      </c>
      <c r="CE31" s="55">
        <v>789689</v>
      </c>
      <c r="CF31" s="55">
        <v>791695</v>
      </c>
      <c r="CG31" s="121">
        <v>793381</v>
      </c>
      <c r="CH31" s="77">
        <v>794752</v>
      </c>
      <c r="CI31" s="55">
        <v>796340</v>
      </c>
      <c r="CJ31" s="55">
        <v>798577</v>
      </c>
      <c r="CK31" s="55">
        <v>800120</v>
      </c>
      <c r="CL31" s="55">
        <v>802056</v>
      </c>
      <c r="CM31" s="55">
        <v>804005</v>
      </c>
      <c r="CN31" s="55">
        <v>805738</v>
      </c>
      <c r="CO31" s="55">
        <v>807771</v>
      </c>
      <c r="CP31" s="55">
        <v>809794</v>
      </c>
      <c r="CQ31" s="55">
        <v>811619</v>
      </c>
      <c r="CR31" s="55">
        <v>813753</v>
      </c>
      <c r="CS31" s="121">
        <v>815294</v>
      </c>
      <c r="CT31" s="77">
        <v>816891</v>
      </c>
      <c r="CU31" s="55">
        <v>818417</v>
      </c>
      <c r="CV31" s="55">
        <v>820375</v>
      </c>
      <c r="CW31" s="55">
        <v>822120</v>
      </c>
      <c r="CX31" s="55">
        <v>824079</v>
      </c>
      <c r="CY31" s="55">
        <v>826199</v>
      </c>
      <c r="CZ31" s="55">
        <v>828129</v>
      </c>
      <c r="DA31" s="55">
        <v>830346</v>
      </c>
      <c r="DB31" s="55">
        <v>832823</v>
      </c>
      <c r="DC31" s="55">
        <v>835502</v>
      </c>
      <c r="DD31" s="55">
        <v>838522</v>
      </c>
      <c r="DE31" s="121">
        <v>841222</v>
      </c>
      <c r="DF31" s="77">
        <v>844880</v>
      </c>
      <c r="DG31" s="55">
        <v>849275</v>
      </c>
      <c r="DH31" s="55">
        <v>859362</v>
      </c>
      <c r="DI31" s="55">
        <v>859380</v>
      </c>
      <c r="DJ31" s="55">
        <v>859392</v>
      </c>
      <c r="DK31" s="55">
        <v>859406</v>
      </c>
      <c r="DL31" s="55">
        <v>859421</v>
      </c>
      <c r="DM31" s="55">
        <v>859448</v>
      </c>
      <c r="DN31" s="55">
        <v>859478</v>
      </c>
      <c r="DO31" s="55">
        <v>859490</v>
      </c>
      <c r="DP31" s="55">
        <v>859505</v>
      </c>
      <c r="DQ31" s="121">
        <v>859518</v>
      </c>
      <c r="DR31" s="77">
        <v>859542</v>
      </c>
      <c r="DS31" s="55">
        <v>859574</v>
      </c>
      <c r="DT31" s="55">
        <v>859658</v>
      </c>
      <c r="DU31" s="55">
        <v>859658</v>
      </c>
      <c r="DV31" s="55">
        <v>859658</v>
      </c>
      <c r="DW31" s="55">
        <v>859659</v>
      </c>
      <c r="DX31" s="55">
        <v>859660</v>
      </c>
      <c r="DY31" s="55">
        <v>859666</v>
      </c>
      <c r="DZ31" s="55">
        <v>859672</v>
      </c>
      <c r="EA31" s="55">
        <v>859673</v>
      </c>
      <c r="EB31" s="55">
        <v>859673</v>
      </c>
      <c r="EC31" s="55">
        <v>859675</v>
      </c>
      <c r="ED31" s="77">
        <v>859676</v>
      </c>
      <c r="EE31" s="55">
        <v>859676</v>
      </c>
      <c r="EF31" s="55">
        <v>859676</v>
      </c>
      <c r="EG31" s="55">
        <v>859676</v>
      </c>
      <c r="EH31" s="55">
        <v>859676</v>
      </c>
      <c r="EI31" s="55">
        <v>859676</v>
      </c>
      <c r="EJ31" s="55">
        <v>859676</v>
      </c>
      <c r="EK31" s="55">
        <v>859676</v>
      </c>
      <c r="EL31" s="55">
        <v>859676</v>
      </c>
      <c r="EM31" s="55">
        <v>859676</v>
      </c>
      <c r="EN31" s="55">
        <v>859676</v>
      </c>
      <c r="EO31" s="55">
        <v>859676</v>
      </c>
      <c r="EP31" s="77">
        <v>859676</v>
      </c>
      <c r="EQ31" s="55">
        <v>859676</v>
      </c>
      <c r="ER31" s="55">
        <v>859676</v>
      </c>
      <c r="ES31" s="55">
        <v>859676</v>
      </c>
      <c r="ET31" s="55">
        <v>859676</v>
      </c>
      <c r="EU31" s="55">
        <v>859676</v>
      </c>
      <c r="EV31" s="55">
        <v>859676</v>
      </c>
      <c r="EW31" s="55">
        <v>859676</v>
      </c>
      <c r="EX31" s="55">
        <v>859676</v>
      </c>
      <c r="EY31" s="55">
        <v>859676</v>
      </c>
      <c r="EZ31" s="55">
        <v>859676</v>
      </c>
      <c r="FA31" s="83">
        <v>859676</v>
      </c>
      <c r="FB31" s="55">
        <v>859676</v>
      </c>
      <c r="FC31" s="55">
        <v>859676</v>
      </c>
      <c r="FD31" s="55">
        <v>859676</v>
      </c>
      <c r="FE31" s="55">
        <v>859676</v>
      </c>
      <c r="FF31" s="55">
        <v>859676</v>
      </c>
      <c r="FG31" s="55">
        <v>859676</v>
      </c>
      <c r="FH31" s="55">
        <v>859676</v>
      </c>
      <c r="FI31" s="55">
        <v>859676</v>
      </c>
      <c r="FJ31" s="55">
        <v>859676</v>
      </c>
      <c r="FK31" s="55">
        <v>859676</v>
      </c>
      <c r="FL31" s="55">
        <v>859676</v>
      </c>
      <c r="FM31" s="55">
        <v>859676</v>
      </c>
      <c r="FN31" s="77">
        <v>859676</v>
      </c>
      <c r="FO31" s="55">
        <v>859676</v>
      </c>
      <c r="FP31" s="55">
        <v>859676</v>
      </c>
      <c r="FQ31" s="55">
        <v>859676</v>
      </c>
      <c r="FR31" s="55">
        <v>859676</v>
      </c>
      <c r="FS31" s="55">
        <v>859676</v>
      </c>
      <c r="FT31" s="55">
        <v>859676</v>
      </c>
      <c r="FU31" s="55">
        <v>859676</v>
      </c>
      <c r="FV31" s="55">
        <v>859676</v>
      </c>
      <c r="FW31" s="55">
        <v>859676</v>
      </c>
      <c r="FX31" s="55">
        <v>859676</v>
      </c>
      <c r="FY31" s="55">
        <v>859676</v>
      </c>
      <c r="FZ31" s="77">
        <v>859676</v>
      </c>
      <c r="GA31" s="55">
        <v>859676</v>
      </c>
      <c r="GB31" s="55">
        <v>859676</v>
      </c>
      <c r="GC31" s="55">
        <v>859676</v>
      </c>
      <c r="GD31" s="55">
        <v>859676</v>
      </c>
      <c r="GE31" s="55">
        <v>859676</v>
      </c>
      <c r="GF31" s="55">
        <v>859676</v>
      </c>
      <c r="GG31" s="55">
        <v>859676</v>
      </c>
      <c r="GH31" s="55">
        <v>859676</v>
      </c>
      <c r="GI31" s="55">
        <v>859676</v>
      </c>
      <c r="GJ31" s="55">
        <v>859676</v>
      </c>
      <c r="GK31" s="55">
        <v>859676</v>
      </c>
      <c r="GL31" s="77">
        <v>859676</v>
      </c>
      <c r="GM31" s="55">
        <v>859676</v>
      </c>
      <c r="GN31" s="55">
        <v>859676</v>
      </c>
      <c r="GO31" s="55">
        <v>859676</v>
      </c>
      <c r="GP31" s="55">
        <v>859676</v>
      </c>
    </row>
    <row r="32" spans="1:200" s="1" customFormat="1" ht="20.149999999999999" customHeight="1" x14ac:dyDescent="0.35">
      <c r="A32" s="31" t="s">
        <v>279</v>
      </c>
      <c r="B32" s="55">
        <v>0</v>
      </c>
      <c r="C32" s="55">
        <v>0</v>
      </c>
      <c r="D32" s="55">
        <v>0</v>
      </c>
      <c r="E32" s="55">
        <v>0</v>
      </c>
      <c r="F32" s="55">
        <v>0</v>
      </c>
      <c r="G32" s="55">
        <v>0</v>
      </c>
      <c r="H32" s="55">
        <v>0</v>
      </c>
      <c r="I32" s="55">
        <v>0</v>
      </c>
      <c r="J32" s="55">
        <v>0</v>
      </c>
      <c r="K32" s="55">
        <v>0</v>
      </c>
      <c r="L32" s="55">
        <v>0</v>
      </c>
      <c r="M32" s="56">
        <v>0</v>
      </c>
      <c r="N32" s="57">
        <v>0</v>
      </c>
      <c r="O32" s="55">
        <v>0</v>
      </c>
      <c r="P32" s="55">
        <v>0</v>
      </c>
      <c r="Q32" s="55">
        <v>0</v>
      </c>
      <c r="R32" s="55">
        <v>0</v>
      </c>
      <c r="S32" s="55">
        <v>0</v>
      </c>
      <c r="T32" s="55">
        <v>1</v>
      </c>
      <c r="U32" s="55">
        <v>1</v>
      </c>
      <c r="V32" s="55">
        <v>1</v>
      </c>
      <c r="W32" s="55">
        <v>1</v>
      </c>
      <c r="X32" s="55">
        <v>1</v>
      </c>
      <c r="Y32" s="56">
        <v>2</v>
      </c>
      <c r="Z32" s="55">
        <v>2</v>
      </c>
      <c r="AA32" s="55">
        <v>2</v>
      </c>
      <c r="AB32" s="55">
        <v>2</v>
      </c>
      <c r="AC32" s="55">
        <v>2</v>
      </c>
      <c r="AD32" s="55">
        <v>2</v>
      </c>
      <c r="AE32" s="55">
        <v>2</v>
      </c>
      <c r="AF32" s="55">
        <v>2</v>
      </c>
      <c r="AG32" s="55">
        <v>2</v>
      </c>
      <c r="AH32" s="55">
        <v>2</v>
      </c>
      <c r="AI32" s="55">
        <v>2</v>
      </c>
      <c r="AJ32" s="55">
        <v>2</v>
      </c>
      <c r="AK32" s="56">
        <v>2</v>
      </c>
      <c r="AL32" s="55">
        <v>2</v>
      </c>
      <c r="AM32" s="55">
        <v>2</v>
      </c>
      <c r="AN32" s="55">
        <v>11</v>
      </c>
      <c r="AO32" s="55">
        <v>14</v>
      </c>
      <c r="AP32" s="55">
        <v>18</v>
      </c>
      <c r="AQ32" s="55">
        <v>26</v>
      </c>
      <c r="AR32" s="55">
        <v>27</v>
      </c>
      <c r="AS32" s="55">
        <v>32</v>
      </c>
      <c r="AT32" s="55">
        <v>33</v>
      </c>
      <c r="AU32" s="55">
        <v>33</v>
      </c>
      <c r="AV32" s="55">
        <v>37</v>
      </c>
      <c r="AW32" s="56">
        <v>38</v>
      </c>
      <c r="AX32" s="55">
        <v>48</v>
      </c>
      <c r="AY32" s="55">
        <v>54</v>
      </c>
      <c r="AZ32" s="55">
        <v>141</v>
      </c>
      <c r="BA32" s="55">
        <v>142</v>
      </c>
      <c r="BB32" s="55">
        <v>147</v>
      </c>
      <c r="BC32" s="55">
        <v>153</v>
      </c>
      <c r="BD32" s="55">
        <v>163</v>
      </c>
      <c r="BE32" s="55">
        <v>166</v>
      </c>
      <c r="BF32" s="55">
        <v>177</v>
      </c>
      <c r="BG32" s="55">
        <v>185</v>
      </c>
      <c r="BH32" s="55">
        <v>192</v>
      </c>
      <c r="BI32" s="56">
        <v>204</v>
      </c>
      <c r="BJ32" s="55">
        <v>208</v>
      </c>
      <c r="BK32" s="55">
        <v>219</v>
      </c>
      <c r="BL32" s="55">
        <v>379</v>
      </c>
      <c r="BM32" s="55">
        <v>380</v>
      </c>
      <c r="BN32" s="55">
        <v>381</v>
      </c>
      <c r="BO32" s="55">
        <v>381</v>
      </c>
      <c r="BP32" s="55">
        <v>384</v>
      </c>
      <c r="BQ32" s="55">
        <v>389</v>
      </c>
      <c r="BR32" s="55">
        <v>391</v>
      </c>
      <c r="BS32" s="55">
        <v>399</v>
      </c>
      <c r="BT32" s="55">
        <v>404</v>
      </c>
      <c r="BU32" s="56">
        <v>427</v>
      </c>
      <c r="BV32" s="55">
        <v>434</v>
      </c>
      <c r="BW32" s="55">
        <v>445</v>
      </c>
      <c r="BX32" s="55">
        <v>580</v>
      </c>
      <c r="BY32" s="55">
        <v>589</v>
      </c>
      <c r="BZ32" s="55">
        <v>591</v>
      </c>
      <c r="CA32" s="55">
        <v>595</v>
      </c>
      <c r="CB32" s="55">
        <v>597</v>
      </c>
      <c r="CC32" s="55">
        <v>600</v>
      </c>
      <c r="CD32" s="55">
        <v>603</v>
      </c>
      <c r="CE32" s="55">
        <v>609</v>
      </c>
      <c r="CF32" s="55">
        <v>614</v>
      </c>
      <c r="CG32" s="121">
        <v>627</v>
      </c>
      <c r="CH32" s="77">
        <v>632</v>
      </c>
      <c r="CI32" s="55">
        <v>646</v>
      </c>
      <c r="CJ32" s="55">
        <v>742</v>
      </c>
      <c r="CK32" s="55">
        <v>744</v>
      </c>
      <c r="CL32" s="55">
        <v>745</v>
      </c>
      <c r="CM32" s="55">
        <v>745</v>
      </c>
      <c r="CN32" s="55">
        <v>746</v>
      </c>
      <c r="CO32" s="55">
        <v>746</v>
      </c>
      <c r="CP32" s="55">
        <v>746</v>
      </c>
      <c r="CQ32" s="55">
        <v>746</v>
      </c>
      <c r="CR32" s="55">
        <v>746</v>
      </c>
      <c r="CS32" s="121">
        <v>746</v>
      </c>
      <c r="CT32" s="77">
        <v>746</v>
      </c>
      <c r="CU32" s="55">
        <v>746</v>
      </c>
      <c r="CV32" s="55">
        <v>746</v>
      </c>
      <c r="CW32" s="55">
        <v>746</v>
      </c>
      <c r="CX32" s="55">
        <v>746</v>
      </c>
      <c r="CY32" s="55">
        <v>747</v>
      </c>
      <c r="CZ32" s="55">
        <v>747</v>
      </c>
      <c r="DA32" s="55">
        <v>747</v>
      </c>
      <c r="DB32" s="55">
        <v>747</v>
      </c>
      <c r="DC32" s="55">
        <v>747</v>
      </c>
      <c r="DD32" s="55">
        <v>747</v>
      </c>
      <c r="DE32" s="121">
        <v>747</v>
      </c>
      <c r="DF32" s="77">
        <v>747</v>
      </c>
      <c r="DG32" s="55">
        <v>747</v>
      </c>
      <c r="DH32" s="55">
        <v>747</v>
      </c>
      <c r="DI32" s="55">
        <v>747</v>
      </c>
      <c r="DJ32" s="55">
        <v>747</v>
      </c>
      <c r="DK32" s="55">
        <v>747</v>
      </c>
      <c r="DL32" s="55">
        <v>747</v>
      </c>
      <c r="DM32" s="55">
        <v>747</v>
      </c>
      <c r="DN32" s="55">
        <v>747</v>
      </c>
      <c r="DO32" s="55">
        <v>747</v>
      </c>
      <c r="DP32" s="55">
        <v>747</v>
      </c>
      <c r="DQ32" s="121">
        <v>747</v>
      </c>
      <c r="DR32" s="77">
        <v>747</v>
      </c>
      <c r="DS32" s="55">
        <v>747</v>
      </c>
      <c r="DT32" s="55">
        <v>747</v>
      </c>
      <c r="DU32" s="55">
        <v>747</v>
      </c>
      <c r="DV32" s="55">
        <v>747</v>
      </c>
      <c r="DW32" s="55">
        <v>747</v>
      </c>
      <c r="DX32" s="55">
        <v>747</v>
      </c>
      <c r="DY32" s="55">
        <v>747</v>
      </c>
      <c r="DZ32" s="55">
        <v>747</v>
      </c>
      <c r="EA32" s="55">
        <v>747</v>
      </c>
      <c r="EB32" s="55">
        <v>747</v>
      </c>
      <c r="EC32" s="55">
        <v>747</v>
      </c>
      <c r="ED32" s="77">
        <v>747</v>
      </c>
      <c r="EE32" s="55">
        <v>747</v>
      </c>
      <c r="EF32" s="55">
        <v>747</v>
      </c>
      <c r="EG32" s="55">
        <v>747</v>
      </c>
      <c r="EH32" s="55">
        <v>747</v>
      </c>
      <c r="EI32" s="55">
        <v>747</v>
      </c>
      <c r="EJ32" s="55">
        <v>747</v>
      </c>
      <c r="EK32" s="55">
        <v>747</v>
      </c>
      <c r="EL32" s="55">
        <v>747</v>
      </c>
      <c r="EM32" s="55">
        <v>747</v>
      </c>
      <c r="EN32" s="55">
        <v>747</v>
      </c>
      <c r="EO32" s="55">
        <v>747</v>
      </c>
      <c r="EP32" s="77">
        <v>747</v>
      </c>
      <c r="EQ32" s="55">
        <v>747</v>
      </c>
      <c r="ER32" s="55">
        <v>747</v>
      </c>
      <c r="ES32" s="55">
        <v>747</v>
      </c>
      <c r="ET32" s="55">
        <v>747</v>
      </c>
      <c r="EU32" s="55">
        <v>747</v>
      </c>
      <c r="EV32" s="55">
        <v>747</v>
      </c>
      <c r="EW32" s="55">
        <v>747</v>
      </c>
      <c r="EX32" s="55">
        <v>747</v>
      </c>
      <c r="EY32" s="55">
        <v>747</v>
      </c>
      <c r="EZ32" s="55">
        <v>747</v>
      </c>
      <c r="FA32" s="83">
        <v>747</v>
      </c>
      <c r="FB32" s="55">
        <v>747</v>
      </c>
      <c r="FC32" s="55">
        <v>747</v>
      </c>
      <c r="FD32" s="55">
        <v>747</v>
      </c>
      <c r="FE32" s="55">
        <v>747</v>
      </c>
      <c r="FF32" s="55">
        <v>747</v>
      </c>
      <c r="FG32" s="55">
        <v>747</v>
      </c>
      <c r="FH32" s="55">
        <v>747</v>
      </c>
      <c r="FI32" s="55">
        <v>747</v>
      </c>
      <c r="FJ32" s="55">
        <v>747</v>
      </c>
      <c r="FK32" s="55">
        <v>747</v>
      </c>
      <c r="FL32" s="55">
        <v>747</v>
      </c>
      <c r="FM32" s="55">
        <v>747</v>
      </c>
      <c r="FN32" s="77">
        <v>747</v>
      </c>
      <c r="FO32" s="55">
        <v>747</v>
      </c>
      <c r="FP32" s="55">
        <v>747</v>
      </c>
      <c r="FQ32" s="55">
        <v>747</v>
      </c>
      <c r="FR32" s="55">
        <v>747</v>
      </c>
      <c r="FS32" s="55">
        <v>747</v>
      </c>
      <c r="FT32" s="55">
        <v>747</v>
      </c>
      <c r="FU32" s="55">
        <v>747</v>
      </c>
      <c r="FV32" s="55">
        <v>747</v>
      </c>
      <c r="FW32" s="55">
        <v>747</v>
      </c>
      <c r="FX32" s="55">
        <v>747</v>
      </c>
      <c r="FY32" s="55">
        <v>747</v>
      </c>
      <c r="FZ32" s="77">
        <v>747</v>
      </c>
      <c r="GA32" s="55">
        <v>747</v>
      </c>
      <c r="GB32" s="55">
        <v>747</v>
      </c>
      <c r="GC32" s="55">
        <v>747</v>
      </c>
      <c r="GD32" s="55">
        <v>747</v>
      </c>
      <c r="GE32" s="55">
        <v>747</v>
      </c>
      <c r="GF32" s="55">
        <v>747</v>
      </c>
      <c r="GG32" s="55">
        <v>747</v>
      </c>
      <c r="GH32" s="55">
        <v>747</v>
      </c>
      <c r="GI32" s="55">
        <v>747</v>
      </c>
      <c r="GJ32" s="55">
        <v>747</v>
      </c>
      <c r="GK32" s="55">
        <v>747</v>
      </c>
      <c r="GL32" s="77">
        <v>747</v>
      </c>
      <c r="GM32" s="55">
        <v>747</v>
      </c>
      <c r="GN32" s="55">
        <v>747</v>
      </c>
      <c r="GO32" s="55">
        <v>747</v>
      </c>
      <c r="GP32" s="55">
        <v>747</v>
      </c>
    </row>
    <row r="33" spans="1:198" s="1" customFormat="1" ht="20.149999999999999" customHeight="1" x14ac:dyDescent="0.35">
      <c r="A33" s="31" t="s">
        <v>280</v>
      </c>
      <c r="B33" s="55">
        <v>13</v>
      </c>
      <c r="C33" s="55">
        <v>13</v>
      </c>
      <c r="D33" s="55">
        <v>13</v>
      </c>
      <c r="E33" s="55">
        <v>13</v>
      </c>
      <c r="F33" s="55">
        <v>13</v>
      </c>
      <c r="G33" s="55">
        <v>13</v>
      </c>
      <c r="H33" s="55">
        <v>13</v>
      </c>
      <c r="I33" s="55">
        <v>13</v>
      </c>
      <c r="J33" s="55">
        <v>13</v>
      </c>
      <c r="K33" s="55">
        <v>13</v>
      </c>
      <c r="L33" s="55">
        <v>13</v>
      </c>
      <c r="M33" s="56">
        <v>13</v>
      </c>
      <c r="N33" s="57">
        <v>13</v>
      </c>
      <c r="O33" s="55">
        <v>13</v>
      </c>
      <c r="P33" s="55">
        <v>13</v>
      </c>
      <c r="Q33" s="55">
        <v>13</v>
      </c>
      <c r="R33" s="55">
        <v>13</v>
      </c>
      <c r="S33" s="55">
        <v>13</v>
      </c>
      <c r="T33" s="55">
        <v>13</v>
      </c>
      <c r="U33" s="55">
        <v>13</v>
      </c>
      <c r="V33" s="55">
        <v>13</v>
      </c>
      <c r="W33" s="55">
        <v>14</v>
      </c>
      <c r="X33" s="55">
        <v>14</v>
      </c>
      <c r="Y33" s="56">
        <v>14</v>
      </c>
      <c r="Z33" s="55">
        <v>14</v>
      </c>
      <c r="AA33" s="55">
        <v>14</v>
      </c>
      <c r="AB33" s="55">
        <v>15</v>
      </c>
      <c r="AC33" s="55">
        <v>15</v>
      </c>
      <c r="AD33" s="55">
        <v>15</v>
      </c>
      <c r="AE33" s="55">
        <v>16</v>
      </c>
      <c r="AF33" s="55">
        <v>16</v>
      </c>
      <c r="AG33" s="55">
        <v>16</v>
      </c>
      <c r="AH33" s="55">
        <v>16</v>
      </c>
      <c r="AI33" s="55">
        <v>16</v>
      </c>
      <c r="AJ33" s="55">
        <v>17</v>
      </c>
      <c r="AK33" s="56">
        <v>17</v>
      </c>
      <c r="AL33" s="55">
        <v>18</v>
      </c>
      <c r="AM33" s="55">
        <v>25</v>
      </c>
      <c r="AN33" s="55">
        <v>83</v>
      </c>
      <c r="AO33" s="55">
        <v>83</v>
      </c>
      <c r="AP33" s="55">
        <v>84</v>
      </c>
      <c r="AQ33" s="55">
        <v>84</v>
      </c>
      <c r="AR33" s="55">
        <v>85</v>
      </c>
      <c r="AS33" s="55">
        <v>86</v>
      </c>
      <c r="AT33" s="55">
        <v>86</v>
      </c>
      <c r="AU33" s="55">
        <v>87</v>
      </c>
      <c r="AV33" s="55">
        <v>87</v>
      </c>
      <c r="AW33" s="56">
        <v>88</v>
      </c>
      <c r="AX33" s="55">
        <v>88</v>
      </c>
      <c r="AY33" s="55">
        <v>90</v>
      </c>
      <c r="AZ33" s="55">
        <v>103</v>
      </c>
      <c r="BA33" s="55">
        <v>104</v>
      </c>
      <c r="BB33" s="55">
        <v>104</v>
      </c>
      <c r="BC33" s="55">
        <v>106</v>
      </c>
      <c r="BD33" s="55">
        <v>107</v>
      </c>
      <c r="BE33" s="55">
        <v>107</v>
      </c>
      <c r="BF33" s="55">
        <v>107</v>
      </c>
      <c r="BG33" s="55">
        <v>110</v>
      </c>
      <c r="BH33" s="55">
        <v>110</v>
      </c>
      <c r="BI33" s="56">
        <v>111</v>
      </c>
      <c r="BJ33" s="55">
        <v>113</v>
      </c>
      <c r="BK33" s="55">
        <v>113</v>
      </c>
      <c r="BL33" s="55">
        <v>116</v>
      </c>
      <c r="BM33" s="55">
        <v>116</v>
      </c>
      <c r="BN33" s="55">
        <v>117</v>
      </c>
      <c r="BO33" s="55">
        <v>118</v>
      </c>
      <c r="BP33" s="55">
        <v>118</v>
      </c>
      <c r="BQ33" s="55">
        <v>118</v>
      </c>
      <c r="BR33" s="55">
        <v>118</v>
      </c>
      <c r="BS33" s="55">
        <v>120</v>
      </c>
      <c r="BT33" s="55">
        <v>121</v>
      </c>
      <c r="BU33" s="56">
        <v>121</v>
      </c>
      <c r="BV33" s="55">
        <v>122</v>
      </c>
      <c r="BW33" s="55">
        <v>124</v>
      </c>
      <c r="BX33" s="55">
        <v>130</v>
      </c>
      <c r="BY33" s="55">
        <v>131</v>
      </c>
      <c r="BZ33" s="55">
        <v>131</v>
      </c>
      <c r="CA33" s="55">
        <v>132</v>
      </c>
      <c r="CB33" s="55">
        <v>132</v>
      </c>
      <c r="CC33" s="55">
        <v>132</v>
      </c>
      <c r="CD33" s="55">
        <v>132</v>
      </c>
      <c r="CE33" s="55">
        <v>132</v>
      </c>
      <c r="CF33" s="55">
        <v>132</v>
      </c>
      <c r="CG33" s="121">
        <v>132</v>
      </c>
      <c r="CH33" s="77">
        <v>132</v>
      </c>
      <c r="CI33" s="55">
        <v>132</v>
      </c>
      <c r="CJ33" s="55">
        <v>132</v>
      </c>
      <c r="CK33" s="55">
        <v>132</v>
      </c>
      <c r="CL33" s="55">
        <v>132</v>
      </c>
      <c r="CM33" s="55">
        <v>132</v>
      </c>
      <c r="CN33" s="55">
        <v>132</v>
      </c>
      <c r="CO33" s="55">
        <v>132</v>
      </c>
      <c r="CP33" s="55">
        <v>132</v>
      </c>
      <c r="CQ33" s="55">
        <v>132</v>
      </c>
      <c r="CR33" s="55">
        <v>132</v>
      </c>
      <c r="CS33" s="121">
        <v>132</v>
      </c>
      <c r="CT33" s="77">
        <v>132</v>
      </c>
      <c r="CU33" s="55">
        <v>132</v>
      </c>
      <c r="CV33" s="55">
        <v>132</v>
      </c>
      <c r="CW33" s="55">
        <v>132</v>
      </c>
      <c r="CX33" s="55">
        <v>132</v>
      </c>
      <c r="CY33" s="55">
        <v>132</v>
      </c>
      <c r="CZ33" s="55">
        <v>132</v>
      </c>
      <c r="DA33" s="55">
        <v>132</v>
      </c>
      <c r="DB33" s="55">
        <v>132</v>
      </c>
      <c r="DC33" s="55">
        <v>132</v>
      </c>
      <c r="DD33" s="55">
        <v>132</v>
      </c>
      <c r="DE33" s="121">
        <v>132</v>
      </c>
      <c r="DF33" s="77">
        <v>132</v>
      </c>
      <c r="DG33" s="55">
        <v>132</v>
      </c>
      <c r="DH33" s="55">
        <v>132</v>
      </c>
      <c r="DI33" s="55">
        <v>132</v>
      </c>
      <c r="DJ33" s="55">
        <v>132</v>
      </c>
      <c r="DK33" s="55">
        <v>132</v>
      </c>
      <c r="DL33" s="55">
        <v>132</v>
      </c>
      <c r="DM33" s="55">
        <v>132</v>
      </c>
      <c r="DN33" s="55">
        <v>132</v>
      </c>
      <c r="DO33" s="55">
        <v>132</v>
      </c>
      <c r="DP33" s="55">
        <v>132</v>
      </c>
      <c r="DQ33" s="121">
        <v>132</v>
      </c>
      <c r="DR33" s="77">
        <v>132</v>
      </c>
      <c r="DS33" s="55">
        <v>132</v>
      </c>
      <c r="DT33" s="55">
        <v>132</v>
      </c>
      <c r="DU33" s="55">
        <v>132</v>
      </c>
      <c r="DV33" s="55">
        <v>132</v>
      </c>
      <c r="DW33" s="55">
        <v>132</v>
      </c>
      <c r="DX33" s="55">
        <v>132</v>
      </c>
      <c r="DY33" s="55">
        <v>132</v>
      </c>
      <c r="DZ33" s="55">
        <v>132</v>
      </c>
      <c r="EA33" s="55">
        <v>132</v>
      </c>
      <c r="EB33" s="55">
        <v>132</v>
      </c>
      <c r="EC33" s="55">
        <v>132</v>
      </c>
      <c r="ED33" s="77">
        <v>132</v>
      </c>
      <c r="EE33" s="55">
        <v>132</v>
      </c>
      <c r="EF33" s="55">
        <v>132</v>
      </c>
      <c r="EG33" s="55">
        <v>132</v>
      </c>
      <c r="EH33" s="55">
        <v>132</v>
      </c>
      <c r="EI33" s="55">
        <v>132</v>
      </c>
      <c r="EJ33" s="55">
        <v>132</v>
      </c>
      <c r="EK33" s="55">
        <v>132</v>
      </c>
      <c r="EL33" s="55">
        <v>132</v>
      </c>
      <c r="EM33" s="55">
        <v>132</v>
      </c>
      <c r="EN33" s="55">
        <v>132</v>
      </c>
      <c r="EO33" s="55">
        <v>132</v>
      </c>
      <c r="EP33" s="77">
        <v>132</v>
      </c>
      <c r="EQ33" s="55">
        <v>132</v>
      </c>
      <c r="ER33" s="55">
        <v>132</v>
      </c>
      <c r="ES33" s="55">
        <v>132</v>
      </c>
      <c r="ET33" s="55">
        <v>132</v>
      </c>
      <c r="EU33" s="55">
        <v>132</v>
      </c>
      <c r="EV33" s="55">
        <v>132</v>
      </c>
      <c r="EW33" s="55">
        <v>132</v>
      </c>
      <c r="EX33" s="55">
        <v>132</v>
      </c>
      <c r="EY33" s="55">
        <v>132</v>
      </c>
      <c r="EZ33" s="55">
        <v>132</v>
      </c>
      <c r="FA33" s="83">
        <v>132</v>
      </c>
      <c r="FB33" s="55">
        <v>132</v>
      </c>
      <c r="FC33" s="55">
        <v>132</v>
      </c>
      <c r="FD33" s="55">
        <v>132</v>
      </c>
      <c r="FE33" s="55">
        <v>132</v>
      </c>
      <c r="FF33" s="55">
        <v>132</v>
      </c>
      <c r="FG33" s="55">
        <v>132</v>
      </c>
      <c r="FH33" s="55">
        <v>132</v>
      </c>
      <c r="FI33" s="55">
        <v>132</v>
      </c>
      <c r="FJ33" s="55">
        <v>132</v>
      </c>
      <c r="FK33" s="55">
        <v>132</v>
      </c>
      <c r="FL33" s="55">
        <v>132</v>
      </c>
      <c r="FM33" s="55">
        <v>132</v>
      </c>
      <c r="FN33" s="77">
        <v>135</v>
      </c>
      <c r="FO33" s="55">
        <v>135</v>
      </c>
      <c r="FP33" s="55">
        <v>138</v>
      </c>
      <c r="FQ33" s="55">
        <v>138</v>
      </c>
      <c r="FR33" s="55">
        <v>141</v>
      </c>
      <c r="FS33" s="55">
        <v>142</v>
      </c>
      <c r="FT33" s="55">
        <v>142</v>
      </c>
      <c r="FU33" s="55">
        <v>143</v>
      </c>
      <c r="FV33" s="55">
        <v>143</v>
      </c>
      <c r="FW33" s="55">
        <v>145</v>
      </c>
      <c r="FX33" s="55">
        <v>145</v>
      </c>
      <c r="FY33" s="55">
        <v>145</v>
      </c>
      <c r="FZ33" s="77">
        <v>145</v>
      </c>
      <c r="GA33" s="55">
        <v>145</v>
      </c>
      <c r="GB33" s="55">
        <v>145</v>
      </c>
      <c r="GC33" s="55">
        <v>145</v>
      </c>
      <c r="GD33" s="55">
        <v>145</v>
      </c>
      <c r="GE33" s="55">
        <v>145</v>
      </c>
      <c r="GF33" s="55">
        <v>145</v>
      </c>
      <c r="GG33" s="55">
        <v>145</v>
      </c>
      <c r="GH33" s="55">
        <v>145</v>
      </c>
      <c r="GI33" s="55">
        <v>145</v>
      </c>
      <c r="GJ33" s="55">
        <v>145</v>
      </c>
      <c r="GK33" s="55">
        <v>145</v>
      </c>
      <c r="GL33" s="77">
        <v>145</v>
      </c>
      <c r="GM33" s="55">
        <v>145</v>
      </c>
      <c r="GN33" s="55">
        <v>145</v>
      </c>
      <c r="GO33" s="55">
        <v>145</v>
      </c>
      <c r="GP33" s="55">
        <v>145</v>
      </c>
    </row>
    <row r="34" spans="1:198" s="25" customFormat="1" ht="20.149999999999999" customHeight="1" x14ac:dyDescent="0.35">
      <c r="A34" s="31" t="s">
        <v>281</v>
      </c>
      <c r="B34" s="55">
        <v>0</v>
      </c>
      <c r="C34" s="55">
        <v>0</v>
      </c>
      <c r="D34" s="55">
        <v>0</v>
      </c>
      <c r="E34" s="55">
        <v>0</v>
      </c>
      <c r="F34" s="55">
        <v>0</v>
      </c>
      <c r="G34" s="55">
        <v>0</v>
      </c>
      <c r="H34" s="55">
        <v>0</v>
      </c>
      <c r="I34" s="55">
        <v>0</v>
      </c>
      <c r="J34" s="55">
        <v>0</v>
      </c>
      <c r="K34" s="55">
        <v>0</v>
      </c>
      <c r="L34" s="55">
        <v>0</v>
      </c>
      <c r="M34" s="56">
        <v>0</v>
      </c>
      <c r="N34" s="57">
        <v>0</v>
      </c>
      <c r="O34" s="55">
        <v>0</v>
      </c>
      <c r="P34" s="55">
        <v>0</v>
      </c>
      <c r="Q34" s="55">
        <v>0</v>
      </c>
      <c r="R34" s="55">
        <v>0</v>
      </c>
      <c r="S34" s="55">
        <v>0</v>
      </c>
      <c r="T34" s="55">
        <v>0</v>
      </c>
      <c r="U34" s="55">
        <v>0</v>
      </c>
      <c r="V34" s="55">
        <v>0</v>
      </c>
      <c r="W34" s="55">
        <v>0</v>
      </c>
      <c r="X34" s="55">
        <v>0</v>
      </c>
      <c r="Y34" s="56">
        <v>0</v>
      </c>
      <c r="Z34" s="55">
        <v>0</v>
      </c>
      <c r="AA34" s="55">
        <v>0</v>
      </c>
      <c r="AB34" s="55">
        <v>0</v>
      </c>
      <c r="AC34" s="55">
        <v>0</v>
      </c>
      <c r="AD34" s="55">
        <v>0</v>
      </c>
      <c r="AE34" s="55">
        <v>0</v>
      </c>
      <c r="AF34" s="55">
        <v>0</v>
      </c>
      <c r="AG34" s="55">
        <v>0</v>
      </c>
      <c r="AH34" s="55">
        <v>0</v>
      </c>
      <c r="AI34" s="55">
        <v>0</v>
      </c>
      <c r="AJ34" s="55">
        <v>0</v>
      </c>
      <c r="AK34" s="56">
        <v>0</v>
      </c>
      <c r="AL34" s="55">
        <v>0</v>
      </c>
      <c r="AM34" s="55">
        <v>0</v>
      </c>
      <c r="AN34" s="55">
        <v>0</v>
      </c>
      <c r="AO34" s="55">
        <v>0</v>
      </c>
      <c r="AP34" s="55">
        <v>0</v>
      </c>
      <c r="AQ34" s="55">
        <v>0</v>
      </c>
      <c r="AR34" s="55">
        <v>0</v>
      </c>
      <c r="AS34" s="55">
        <v>0</v>
      </c>
      <c r="AT34" s="55">
        <v>0</v>
      </c>
      <c r="AU34" s="55">
        <v>0</v>
      </c>
      <c r="AV34" s="55">
        <v>0</v>
      </c>
      <c r="AW34" s="56">
        <v>0</v>
      </c>
      <c r="AX34" s="55">
        <v>0</v>
      </c>
      <c r="AY34" s="55">
        <v>0</v>
      </c>
      <c r="AZ34" s="55">
        <v>0</v>
      </c>
      <c r="BA34" s="55">
        <v>0</v>
      </c>
      <c r="BB34" s="55">
        <v>0</v>
      </c>
      <c r="BC34" s="55">
        <v>0</v>
      </c>
      <c r="BD34" s="55">
        <v>0</v>
      </c>
      <c r="BE34" s="55">
        <v>0</v>
      </c>
      <c r="BF34" s="55">
        <v>0</v>
      </c>
      <c r="BG34" s="55">
        <v>0</v>
      </c>
      <c r="BH34" s="55">
        <v>0</v>
      </c>
      <c r="BI34" s="56">
        <v>0</v>
      </c>
      <c r="BJ34" s="55">
        <v>0</v>
      </c>
      <c r="BK34" s="55">
        <v>0</v>
      </c>
      <c r="BL34" s="55">
        <v>0</v>
      </c>
      <c r="BM34" s="55">
        <v>0</v>
      </c>
      <c r="BN34" s="55">
        <v>0</v>
      </c>
      <c r="BO34" s="55">
        <v>0</v>
      </c>
      <c r="BP34" s="55">
        <v>0</v>
      </c>
      <c r="BQ34" s="55">
        <v>0</v>
      </c>
      <c r="BR34" s="55">
        <v>0</v>
      </c>
      <c r="BS34" s="55">
        <v>0</v>
      </c>
      <c r="BT34" s="55">
        <v>0</v>
      </c>
      <c r="BU34" s="56">
        <v>0</v>
      </c>
      <c r="BV34" s="55">
        <v>0</v>
      </c>
      <c r="BW34" s="55">
        <v>0</v>
      </c>
      <c r="BX34" s="55">
        <v>0</v>
      </c>
      <c r="BY34" s="55">
        <v>0</v>
      </c>
      <c r="BZ34" s="55">
        <v>0</v>
      </c>
      <c r="CA34" s="55">
        <v>1</v>
      </c>
      <c r="CB34" s="55">
        <v>1</v>
      </c>
      <c r="CC34" s="55">
        <v>1</v>
      </c>
      <c r="CD34" s="55">
        <v>1</v>
      </c>
      <c r="CE34" s="55">
        <v>1</v>
      </c>
      <c r="CF34" s="55">
        <v>1</v>
      </c>
      <c r="CG34" s="121">
        <v>1</v>
      </c>
      <c r="CH34" s="77">
        <v>1</v>
      </c>
      <c r="CI34" s="55">
        <v>1</v>
      </c>
      <c r="CJ34" s="55">
        <v>1</v>
      </c>
      <c r="CK34" s="55">
        <v>1</v>
      </c>
      <c r="CL34" s="55">
        <v>1</v>
      </c>
      <c r="CM34" s="55">
        <v>1</v>
      </c>
      <c r="CN34" s="55">
        <v>2</v>
      </c>
      <c r="CO34" s="55">
        <v>2</v>
      </c>
      <c r="CP34" s="55">
        <v>2</v>
      </c>
      <c r="CQ34" s="55">
        <v>2</v>
      </c>
      <c r="CR34" s="55">
        <v>2</v>
      </c>
      <c r="CS34" s="121">
        <v>2</v>
      </c>
      <c r="CT34" s="77">
        <v>2</v>
      </c>
      <c r="CU34" s="55">
        <v>2</v>
      </c>
      <c r="CV34" s="55">
        <v>2</v>
      </c>
      <c r="CW34" s="55">
        <v>2</v>
      </c>
      <c r="CX34" s="55">
        <v>2</v>
      </c>
      <c r="CY34" s="55">
        <v>2</v>
      </c>
      <c r="CZ34" s="55">
        <v>2</v>
      </c>
      <c r="DA34" s="55">
        <v>2</v>
      </c>
      <c r="DB34" s="55">
        <v>2</v>
      </c>
      <c r="DC34" s="55">
        <v>2</v>
      </c>
      <c r="DD34" s="55">
        <v>2</v>
      </c>
      <c r="DE34" s="121">
        <v>2</v>
      </c>
      <c r="DF34" s="77">
        <v>2</v>
      </c>
      <c r="DG34" s="55">
        <v>2</v>
      </c>
      <c r="DH34" s="55">
        <v>2</v>
      </c>
      <c r="DI34" s="55">
        <v>2</v>
      </c>
      <c r="DJ34" s="55">
        <v>2</v>
      </c>
      <c r="DK34" s="55">
        <v>2</v>
      </c>
      <c r="DL34" s="55">
        <v>2</v>
      </c>
      <c r="DM34" s="55">
        <v>2</v>
      </c>
      <c r="DN34" s="55">
        <v>2</v>
      </c>
      <c r="DO34" s="55">
        <v>2</v>
      </c>
      <c r="DP34" s="55">
        <v>2</v>
      </c>
      <c r="DQ34" s="121">
        <v>2</v>
      </c>
      <c r="DR34" s="77">
        <v>2</v>
      </c>
      <c r="DS34" s="55">
        <v>2</v>
      </c>
      <c r="DT34" s="55">
        <v>2</v>
      </c>
      <c r="DU34" s="55">
        <v>2</v>
      </c>
      <c r="DV34" s="55">
        <v>2</v>
      </c>
      <c r="DW34" s="55">
        <v>2</v>
      </c>
      <c r="DX34" s="55">
        <v>2</v>
      </c>
      <c r="DY34" s="55">
        <v>2</v>
      </c>
      <c r="DZ34" s="55">
        <v>2</v>
      </c>
      <c r="EA34" s="55">
        <v>2</v>
      </c>
      <c r="EB34" s="55">
        <v>2</v>
      </c>
      <c r="EC34" s="55">
        <v>2</v>
      </c>
      <c r="ED34" s="77">
        <v>2</v>
      </c>
      <c r="EE34" s="55">
        <v>2</v>
      </c>
      <c r="EF34" s="55">
        <v>2</v>
      </c>
      <c r="EG34" s="55">
        <v>2</v>
      </c>
      <c r="EH34" s="55">
        <v>2</v>
      </c>
      <c r="EI34" s="55">
        <v>2</v>
      </c>
      <c r="EJ34" s="55">
        <v>2</v>
      </c>
      <c r="EK34" s="55">
        <v>2</v>
      </c>
      <c r="EL34" s="55">
        <v>2</v>
      </c>
      <c r="EM34" s="55">
        <v>2</v>
      </c>
      <c r="EN34" s="55">
        <v>2</v>
      </c>
      <c r="EO34" s="55">
        <v>2</v>
      </c>
      <c r="EP34" s="77">
        <v>2</v>
      </c>
      <c r="EQ34" s="55">
        <v>2</v>
      </c>
      <c r="ER34" s="55">
        <v>2</v>
      </c>
      <c r="ES34" s="55">
        <v>2</v>
      </c>
      <c r="ET34" s="55">
        <v>2</v>
      </c>
      <c r="EU34" s="55">
        <v>2</v>
      </c>
      <c r="EV34" s="55">
        <v>2</v>
      </c>
      <c r="EW34" s="55">
        <v>2</v>
      </c>
      <c r="EX34" s="55">
        <v>2</v>
      </c>
      <c r="EY34" s="55">
        <v>2</v>
      </c>
      <c r="EZ34" s="55">
        <v>2</v>
      </c>
      <c r="FA34" s="83">
        <v>2</v>
      </c>
      <c r="FB34" s="55">
        <v>2</v>
      </c>
      <c r="FC34" s="55">
        <v>2</v>
      </c>
      <c r="FD34" s="55">
        <v>2</v>
      </c>
      <c r="FE34" s="55">
        <v>2</v>
      </c>
      <c r="FF34" s="55">
        <v>2</v>
      </c>
      <c r="FG34" s="55">
        <v>2</v>
      </c>
      <c r="FH34" s="55">
        <v>2</v>
      </c>
      <c r="FI34" s="55">
        <v>2</v>
      </c>
      <c r="FJ34" s="55">
        <v>2</v>
      </c>
      <c r="FK34" s="55">
        <v>2</v>
      </c>
      <c r="FL34" s="55">
        <v>2</v>
      </c>
      <c r="FM34" s="55">
        <v>2</v>
      </c>
      <c r="FN34" s="77">
        <v>2</v>
      </c>
      <c r="FO34" s="55">
        <v>2</v>
      </c>
      <c r="FP34" s="55">
        <v>2</v>
      </c>
      <c r="FQ34" s="55">
        <v>2</v>
      </c>
      <c r="FR34" s="55">
        <v>2</v>
      </c>
      <c r="FS34" s="55">
        <v>2</v>
      </c>
      <c r="FT34" s="55">
        <v>2</v>
      </c>
      <c r="FU34" s="55">
        <v>2</v>
      </c>
      <c r="FV34" s="55">
        <v>2</v>
      </c>
      <c r="FW34" s="55">
        <v>2</v>
      </c>
      <c r="FX34" s="55">
        <v>2</v>
      </c>
      <c r="FY34" s="55">
        <v>2</v>
      </c>
      <c r="FZ34" s="77">
        <v>5</v>
      </c>
      <c r="GA34" s="55">
        <v>5</v>
      </c>
      <c r="GB34" s="55">
        <v>6</v>
      </c>
      <c r="GC34" s="55">
        <v>7</v>
      </c>
      <c r="GD34" s="55">
        <v>9</v>
      </c>
      <c r="GE34" s="55">
        <v>10</v>
      </c>
      <c r="GF34" s="55">
        <v>15</v>
      </c>
      <c r="GG34" s="55">
        <v>17</v>
      </c>
      <c r="GH34" s="55">
        <v>17</v>
      </c>
      <c r="GI34" s="55">
        <v>18</v>
      </c>
      <c r="GJ34" s="55">
        <v>19</v>
      </c>
      <c r="GK34" s="55">
        <v>21</v>
      </c>
      <c r="GL34" s="77">
        <v>23</v>
      </c>
      <c r="GM34" s="55">
        <v>23</v>
      </c>
      <c r="GN34" s="55">
        <v>25</v>
      </c>
      <c r="GO34" s="55">
        <v>30</v>
      </c>
      <c r="GP34" s="55">
        <v>30</v>
      </c>
    </row>
    <row r="35" spans="1:198" s="30" customFormat="1" ht="20.149999999999999" customHeight="1" x14ac:dyDescent="0.35">
      <c r="A35" s="31" t="s">
        <v>282</v>
      </c>
      <c r="B35" s="58">
        <v>314</v>
      </c>
      <c r="C35" s="58">
        <v>484</v>
      </c>
      <c r="D35" s="58">
        <v>724</v>
      </c>
      <c r="E35" s="58">
        <v>863</v>
      </c>
      <c r="F35" s="58">
        <v>1048</v>
      </c>
      <c r="G35" s="58">
        <v>1263</v>
      </c>
      <c r="H35" s="58">
        <v>1570</v>
      </c>
      <c r="I35" s="58">
        <v>1787</v>
      </c>
      <c r="J35" s="58">
        <v>2054</v>
      </c>
      <c r="K35" s="58">
        <v>2421</v>
      </c>
      <c r="L35" s="58">
        <v>2829</v>
      </c>
      <c r="M35" s="59">
        <v>3200</v>
      </c>
      <c r="N35" s="60">
        <v>3686</v>
      </c>
      <c r="O35" s="58">
        <v>4192</v>
      </c>
      <c r="P35" s="58">
        <v>5010</v>
      </c>
      <c r="Q35" s="58">
        <v>5469</v>
      </c>
      <c r="R35" s="58">
        <v>5879</v>
      </c>
      <c r="S35" s="58">
        <v>6350</v>
      </c>
      <c r="T35" s="58">
        <v>6843</v>
      </c>
      <c r="U35" s="58">
        <v>7537</v>
      </c>
      <c r="V35" s="58">
        <v>8373</v>
      </c>
      <c r="W35" s="58">
        <v>9386</v>
      </c>
      <c r="X35" s="58">
        <v>11573</v>
      </c>
      <c r="Y35" s="59">
        <v>14228</v>
      </c>
      <c r="Z35" s="58">
        <v>14818</v>
      </c>
      <c r="AA35" s="58">
        <v>16780</v>
      </c>
      <c r="AB35" s="58">
        <v>18566</v>
      </c>
      <c r="AC35" s="58">
        <v>19257</v>
      </c>
      <c r="AD35" s="58">
        <v>20075</v>
      </c>
      <c r="AE35" s="58">
        <v>20980</v>
      </c>
      <c r="AF35" s="58">
        <v>22589</v>
      </c>
      <c r="AG35" s="58">
        <v>23130</v>
      </c>
      <c r="AH35" s="58">
        <v>23767</v>
      </c>
      <c r="AI35" s="58">
        <v>24530</v>
      </c>
      <c r="AJ35" s="58">
        <v>25239</v>
      </c>
      <c r="AK35" s="59">
        <v>25860</v>
      </c>
      <c r="AL35" s="58">
        <v>26514</v>
      </c>
      <c r="AM35" s="58">
        <v>27104</v>
      </c>
      <c r="AN35" s="58">
        <v>27962</v>
      </c>
      <c r="AO35" s="58">
        <v>28738</v>
      </c>
      <c r="AP35" s="58">
        <v>29350</v>
      </c>
      <c r="AQ35" s="58">
        <v>30128</v>
      </c>
      <c r="AR35" s="58">
        <v>30812</v>
      </c>
      <c r="AS35" s="58">
        <v>31418</v>
      </c>
      <c r="AT35" s="58">
        <v>32132</v>
      </c>
      <c r="AU35" s="58">
        <v>32974</v>
      </c>
      <c r="AV35" s="58">
        <v>33987</v>
      </c>
      <c r="AW35" s="59">
        <v>34731</v>
      </c>
      <c r="AX35" s="58">
        <v>35389</v>
      </c>
      <c r="AY35" s="58">
        <v>36142</v>
      </c>
      <c r="AZ35" s="58">
        <v>37240</v>
      </c>
      <c r="BA35" s="58">
        <v>38054</v>
      </c>
      <c r="BB35" s="58">
        <v>38919</v>
      </c>
      <c r="BC35" s="58">
        <v>39997</v>
      </c>
      <c r="BD35" s="58">
        <v>41054</v>
      </c>
      <c r="BE35" s="58">
        <v>41984</v>
      </c>
      <c r="BF35" s="58">
        <v>43275</v>
      </c>
      <c r="BG35" s="58">
        <v>44661</v>
      </c>
      <c r="BH35" s="58">
        <v>45774</v>
      </c>
      <c r="BI35" s="59">
        <v>46881</v>
      </c>
      <c r="BJ35" s="58">
        <v>48029</v>
      </c>
      <c r="BK35" s="58">
        <v>49355</v>
      </c>
      <c r="BL35" s="58">
        <v>51100</v>
      </c>
      <c r="BM35" s="58">
        <v>52375</v>
      </c>
      <c r="BN35" s="58">
        <v>53766</v>
      </c>
      <c r="BO35" s="58">
        <v>55457</v>
      </c>
      <c r="BP35" s="58">
        <v>57031</v>
      </c>
      <c r="BQ35" s="58">
        <v>58431</v>
      </c>
      <c r="BR35" s="58">
        <v>60331</v>
      </c>
      <c r="BS35" s="58">
        <v>62114</v>
      </c>
      <c r="BT35" s="58">
        <v>64201</v>
      </c>
      <c r="BU35" s="59">
        <v>66215</v>
      </c>
      <c r="BV35" s="58">
        <v>68315</v>
      </c>
      <c r="BW35" s="58">
        <v>69374</v>
      </c>
      <c r="BX35" s="58">
        <v>70576</v>
      </c>
      <c r="BY35" s="58">
        <v>71745</v>
      </c>
      <c r="BZ35" s="58">
        <v>72866</v>
      </c>
      <c r="CA35" s="58">
        <v>74195</v>
      </c>
      <c r="CB35" s="58">
        <v>75334</v>
      </c>
      <c r="CC35" s="58">
        <v>76319</v>
      </c>
      <c r="CD35" s="58">
        <v>77744</v>
      </c>
      <c r="CE35" s="58">
        <v>78836</v>
      </c>
      <c r="CF35" s="58">
        <v>80273</v>
      </c>
      <c r="CG35" s="58">
        <v>81174</v>
      </c>
      <c r="CH35" s="77">
        <v>82277</v>
      </c>
      <c r="CI35" s="55">
        <v>83348</v>
      </c>
      <c r="CJ35" s="55">
        <v>84641</v>
      </c>
      <c r="CK35" s="55">
        <v>85511</v>
      </c>
      <c r="CL35" s="55">
        <v>86812</v>
      </c>
      <c r="CM35" s="55">
        <v>88093</v>
      </c>
      <c r="CN35" s="55">
        <v>89214</v>
      </c>
      <c r="CO35" s="55">
        <v>90383</v>
      </c>
      <c r="CP35" s="55">
        <v>91722</v>
      </c>
      <c r="CQ35" s="55">
        <v>93052</v>
      </c>
      <c r="CR35" s="55">
        <v>94671</v>
      </c>
      <c r="CS35" s="121">
        <v>95593</v>
      </c>
      <c r="CT35" s="77">
        <v>96799</v>
      </c>
      <c r="CU35" s="55">
        <v>97996</v>
      </c>
      <c r="CV35" s="55">
        <v>99372</v>
      </c>
      <c r="CW35" s="55">
        <v>100631</v>
      </c>
      <c r="CX35" s="55">
        <v>102038</v>
      </c>
      <c r="CY35" s="55">
        <v>103391</v>
      </c>
      <c r="CZ35" s="55">
        <v>104732</v>
      </c>
      <c r="DA35" s="55">
        <v>106238</v>
      </c>
      <c r="DB35" s="55">
        <v>107620</v>
      </c>
      <c r="DC35" s="55">
        <v>109325</v>
      </c>
      <c r="DD35" s="58">
        <v>111149</v>
      </c>
      <c r="DE35" s="58">
        <v>112483</v>
      </c>
      <c r="DF35" s="77">
        <v>113841</v>
      </c>
      <c r="DG35" s="55">
        <v>115483</v>
      </c>
      <c r="DH35" s="58">
        <v>120438</v>
      </c>
      <c r="DI35" s="55">
        <v>122514</v>
      </c>
      <c r="DJ35" s="55">
        <v>125147</v>
      </c>
      <c r="DK35" s="55">
        <v>127998</v>
      </c>
      <c r="DL35" s="58">
        <v>130903</v>
      </c>
      <c r="DM35" s="55">
        <v>133965</v>
      </c>
      <c r="DN35" s="55">
        <v>137319</v>
      </c>
      <c r="DO35" s="55">
        <v>140872</v>
      </c>
      <c r="DP35" s="55">
        <v>144500</v>
      </c>
      <c r="DQ35" s="58">
        <v>146985</v>
      </c>
      <c r="DR35" s="77">
        <v>150125</v>
      </c>
      <c r="DS35" s="55">
        <v>153144</v>
      </c>
      <c r="DT35" s="55">
        <v>156305</v>
      </c>
      <c r="DU35" s="55">
        <v>156975</v>
      </c>
      <c r="DV35" s="55">
        <v>158058</v>
      </c>
      <c r="DW35" s="55">
        <v>160439</v>
      </c>
      <c r="DX35" s="55">
        <v>163725</v>
      </c>
      <c r="DY35" s="55">
        <v>166943</v>
      </c>
      <c r="DZ35" s="55">
        <v>171045</v>
      </c>
      <c r="EA35" s="55">
        <v>175022</v>
      </c>
      <c r="EB35" s="55">
        <v>179357</v>
      </c>
      <c r="EC35" s="55">
        <v>182506</v>
      </c>
      <c r="ED35" s="77">
        <v>186146</v>
      </c>
      <c r="EE35" s="55">
        <v>189717</v>
      </c>
      <c r="EF35" s="55">
        <v>194678</v>
      </c>
      <c r="EG35" s="55">
        <v>199651</v>
      </c>
      <c r="EH35" s="55">
        <v>204672</v>
      </c>
      <c r="EI35" s="55">
        <v>209868</v>
      </c>
      <c r="EJ35" s="55">
        <v>214748</v>
      </c>
      <c r="EK35" s="55">
        <v>219791</v>
      </c>
      <c r="EL35" s="55">
        <v>225663</v>
      </c>
      <c r="EM35" s="55">
        <v>231222</v>
      </c>
      <c r="EN35" s="55">
        <v>238257</v>
      </c>
      <c r="EO35" s="55">
        <v>243400</v>
      </c>
      <c r="EP35" s="77">
        <v>249456</v>
      </c>
      <c r="EQ35" s="55">
        <v>256955</v>
      </c>
      <c r="ER35" s="55">
        <v>267024</v>
      </c>
      <c r="ES35" s="55">
        <v>276841</v>
      </c>
      <c r="ET35" s="55">
        <v>287943</v>
      </c>
      <c r="EU35" s="55">
        <v>299389</v>
      </c>
      <c r="EV35" s="55">
        <v>310589</v>
      </c>
      <c r="EW35" s="55">
        <v>322972</v>
      </c>
      <c r="EX35" s="55">
        <v>337474</v>
      </c>
      <c r="EY35" s="55">
        <v>351734</v>
      </c>
      <c r="EZ35" s="55">
        <v>368017</v>
      </c>
      <c r="FA35" s="83">
        <v>380365</v>
      </c>
      <c r="FB35" s="55">
        <v>396876</v>
      </c>
      <c r="FC35" s="55">
        <v>414587</v>
      </c>
      <c r="FD35" s="55">
        <v>434765</v>
      </c>
      <c r="FE35" s="55">
        <v>450870</v>
      </c>
      <c r="FF35" s="55">
        <v>469040</v>
      </c>
      <c r="FG35" s="55">
        <v>487656</v>
      </c>
      <c r="FH35" s="55">
        <v>503544</v>
      </c>
      <c r="FI35" s="55">
        <v>519626</v>
      </c>
      <c r="FJ35" s="55">
        <v>535425</v>
      </c>
      <c r="FK35" s="55">
        <v>551022</v>
      </c>
      <c r="FL35" s="55">
        <v>567109</v>
      </c>
      <c r="FM35" s="55">
        <v>577341</v>
      </c>
      <c r="FN35" s="77">
        <v>590609</v>
      </c>
      <c r="FO35" s="55">
        <v>604572</v>
      </c>
      <c r="FP35" s="55">
        <v>619686</v>
      </c>
      <c r="FQ35" s="55">
        <v>635119</v>
      </c>
      <c r="FR35" s="55">
        <v>651310</v>
      </c>
      <c r="FS35" s="55">
        <v>667028</v>
      </c>
      <c r="FT35" s="55">
        <v>683453</v>
      </c>
      <c r="FU35" s="55">
        <v>698999</v>
      </c>
      <c r="FV35" s="55">
        <v>716115</v>
      </c>
      <c r="FW35" s="55">
        <v>736097</v>
      </c>
      <c r="FX35" s="55">
        <v>757165</v>
      </c>
      <c r="FY35" s="55">
        <v>771313</v>
      </c>
      <c r="FZ35" s="77">
        <v>788924</v>
      </c>
      <c r="GA35" s="55">
        <v>809364</v>
      </c>
      <c r="GB35" s="55">
        <v>834028</v>
      </c>
      <c r="GC35" s="55">
        <v>854492</v>
      </c>
      <c r="GD35" s="55">
        <v>877700</v>
      </c>
      <c r="GE35" s="55">
        <v>901383</v>
      </c>
      <c r="GF35" s="55">
        <v>924378</v>
      </c>
      <c r="GG35" s="55">
        <v>944856</v>
      </c>
      <c r="GH35" s="55">
        <v>968888</v>
      </c>
      <c r="GI35" s="55">
        <v>995173</v>
      </c>
      <c r="GJ35" s="55">
        <v>1019132</v>
      </c>
      <c r="GK35" s="55">
        <v>1037613</v>
      </c>
      <c r="GL35" s="77">
        <v>1057287</v>
      </c>
      <c r="GM35" s="55">
        <v>1080299</v>
      </c>
      <c r="GN35" s="55">
        <v>1108610</v>
      </c>
      <c r="GO35" s="55">
        <v>1131820</v>
      </c>
      <c r="GP35" s="55">
        <v>1150161</v>
      </c>
    </row>
    <row r="36" spans="1:198" s="1" customFormat="1" ht="20.149999999999999" customHeight="1" thickBot="1" x14ac:dyDescent="0.4">
      <c r="A36" s="32" t="s">
        <v>267</v>
      </c>
      <c r="B36" s="61">
        <f>SUM(B30:B35)</f>
        <v>4842</v>
      </c>
      <c r="C36" s="62">
        <f t="shared" ref="C36:BN36" si="12">SUM(C30:C35)</f>
        <v>5433</v>
      </c>
      <c r="D36" s="62">
        <f t="shared" si="12"/>
        <v>6460</v>
      </c>
      <c r="E36" s="62">
        <f t="shared" si="12"/>
        <v>7507</v>
      </c>
      <c r="F36" s="62">
        <f t="shared" si="12"/>
        <v>9034</v>
      </c>
      <c r="G36" s="62">
        <f t="shared" si="12"/>
        <v>10951</v>
      </c>
      <c r="H36" s="62">
        <f t="shared" si="12"/>
        <v>13274</v>
      </c>
      <c r="I36" s="62">
        <f t="shared" si="12"/>
        <v>15565</v>
      </c>
      <c r="J36" s="62">
        <f t="shared" si="12"/>
        <v>18431</v>
      </c>
      <c r="K36" s="62">
        <f t="shared" si="12"/>
        <v>21898</v>
      </c>
      <c r="L36" s="62">
        <f t="shared" si="12"/>
        <v>25864</v>
      </c>
      <c r="M36" s="62">
        <f t="shared" si="12"/>
        <v>28912</v>
      </c>
      <c r="N36" s="61">
        <f t="shared" si="12"/>
        <v>33073</v>
      </c>
      <c r="O36" s="62">
        <f t="shared" si="12"/>
        <v>37759</v>
      </c>
      <c r="P36" s="62">
        <f t="shared" si="12"/>
        <v>44858</v>
      </c>
      <c r="Q36" s="62">
        <f t="shared" si="12"/>
        <v>51274</v>
      </c>
      <c r="R36" s="62">
        <f t="shared" si="12"/>
        <v>58638</v>
      </c>
      <c r="S36" s="62">
        <f t="shared" si="12"/>
        <v>68203</v>
      </c>
      <c r="T36" s="62">
        <f t="shared" si="12"/>
        <v>79526</v>
      </c>
      <c r="U36" s="62">
        <f t="shared" si="12"/>
        <v>93770</v>
      </c>
      <c r="V36" s="62">
        <f t="shared" si="12"/>
        <v>111274</v>
      </c>
      <c r="W36" s="62">
        <f t="shared" si="12"/>
        <v>131750</v>
      </c>
      <c r="X36" s="62">
        <f t="shared" si="12"/>
        <v>188963</v>
      </c>
      <c r="Y36" s="63">
        <f t="shared" si="12"/>
        <v>235382</v>
      </c>
      <c r="Z36" s="62">
        <f t="shared" si="12"/>
        <v>243825</v>
      </c>
      <c r="AA36" s="62">
        <f t="shared" si="12"/>
        <v>287909</v>
      </c>
      <c r="AB36" s="62">
        <f t="shared" si="12"/>
        <v>314955</v>
      </c>
      <c r="AC36" s="62">
        <f t="shared" si="12"/>
        <v>320461</v>
      </c>
      <c r="AD36" s="62">
        <f t="shared" si="12"/>
        <v>330953</v>
      </c>
      <c r="AE36" s="62">
        <f t="shared" si="12"/>
        <v>344226</v>
      </c>
      <c r="AF36" s="62">
        <f t="shared" si="12"/>
        <v>370965</v>
      </c>
      <c r="AG36" s="62">
        <f t="shared" si="12"/>
        <v>374882</v>
      </c>
      <c r="AH36" s="62">
        <f t="shared" si="12"/>
        <v>380124</v>
      </c>
      <c r="AI36" s="62">
        <f t="shared" si="12"/>
        <v>390875</v>
      </c>
      <c r="AJ36" s="62">
        <f t="shared" si="12"/>
        <v>396683</v>
      </c>
      <c r="AK36" s="63">
        <f t="shared" si="12"/>
        <v>402759</v>
      </c>
      <c r="AL36" s="62">
        <f t="shared" si="12"/>
        <v>409223</v>
      </c>
      <c r="AM36" s="62">
        <f t="shared" si="12"/>
        <v>416254</v>
      </c>
      <c r="AN36" s="62">
        <f t="shared" si="12"/>
        <v>424431</v>
      </c>
      <c r="AO36" s="62">
        <f t="shared" si="12"/>
        <v>432893</v>
      </c>
      <c r="AP36" s="62">
        <f t="shared" si="12"/>
        <v>441471</v>
      </c>
      <c r="AQ36" s="62">
        <f t="shared" si="12"/>
        <v>454201</v>
      </c>
      <c r="AR36" s="62">
        <f t="shared" si="12"/>
        <v>460971</v>
      </c>
      <c r="AS36" s="62">
        <f t="shared" si="12"/>
        <v>468851</v>
      </c>
      <c r="AT36" s="62">
        <f t="shared" si="12"/>
        <v>477235</v>
      </c>
      <c r="AU36" s="62">
        <f t="shared" si="12"/>
        <v>486241</v>
      </c>
      <c r="AV36" s="62">
        <f t="shared" si="12"/>
        <v>496512</v>
      </c>
      <c r="AW36" s="63">
        <f t="shared" si="12"/>
        <v>505123</v>
      </c>
      <c r="AX36" s="62">
        <f t="shared" si="12"/>
        <v>513405</v>
      </c>
      <c r="AY36" s="62">
        <f t="shared" si="12"/>
        <v>522456</v>
      </c>
      <c r="AZ36" s="62">
        <f t="shared" si="12"/>
        <v>538349</v>
      </c>
      <c r="BA36" s="62">
        <f t="shared" si="12"/>
        <v>546593</v>
      </c>
      <c r="BB36" s="62">
        <f t="shared" si="12"/>
        <v>555651</v>
      </c>
      <c r="BC36" s="62">
        <f t="shared" si="12"/>
        <v>565804</v>
      </c>
      <c r="BD36" s="62">
        <f t="shared" si="12"/>
        <v>577094</v>
      </c>
      <c r="BE36" s="62">
        <f t="shared" si="12"/>
        <v>587910</v>
      </c>
      <c r="BF36" s="62">
        <f t="shared" si="12"/>
        <v>600829</v>
      </c>
      <c r="BG36" s="62">
        <f t="shared" si="12"/>
        <v>614287</v>
      </c>
      <c r="BH36" s="62">
        <f t="shared" si="12"/>
        <v>627016</v>
      </c>
      <c r="BI36" s="63">
        <f t="shared" si="12"/>
        <v>640427</v>
      </c>
      <c r="BJ36" s="62">
        <f t="shared" si="12"/>
        <v>648985</v>
      </c>
      <c r="BK36" s="62">
        <f t="shared" si="12"/>
        <v>659476</v>
      </c>
      <c r="BL36" s="62">
        <f t="shared" si="12"/>
        <v>676360</v>
      </c>
      <c r="BM36" s="62">
        <f t="shared" si="12"/>
        <v>687324</v>
      </c>
      <c r="BN36" s="62">
        <f t="shared" si="12"/>
        <v>698930</v>
      </c>
      <c r="BO36" s="62">
        <f t="shared" ref="BO36:DZ36" si="13">SUM(BO30:BO35)</f>
        <v>715704</v>
      </c>
      <c r="BP36" s="62">
        <f t="shared" si="13"/>
        <v>727398</v>
      </c>
      <c r="BQ36" s="62">
        <f t="shared" si="13"/>
        <v>739051</v>
      </c>
      <c r="BR36" s="62">
        <f t="shared" si="13"/>
        <v>758458</v>
      </c>
      <c r="BS36" s="62">
        <f t="shared" si="13"/>
        <v>775247</v>
      </c>
      <c r="BT36" s="62">
        <f t="shared" si="13"/>
        <v>797030</v>
      </c>
      <c r="BU36" s="63">
        <f t="shared" si="13"/>
        <v>823072</v>
      </c>
      <c r="BV36" s="62">
        <f t="shared" si="13"/>
        <v>838149</v>
      </c>
      <c r="BW36" s="62">
        <f t="shared" si="13"/>
        <v>841465</v>
      </c>
      <c r="BX36" s="62">
        <f t="shared" si="13"/>
        <v>845896</v>
      </c>
      <c r="BY36" s="62">
        <f t="shared" si="13"/>
        <v>849275</v>
      </c>
      <c r="BZ36" s="62">
        <f t="shared" si="13"/>
        <v>852746</v>
      </c>
      <c r="CA36" s="62">
        <f t="shared" si="13"/>
        <v>856873</v>
      </c>
      <c r="CB36" s="62">
        <f t="shared" si="13"/>
        <v>860124</v>
      </c>
      <c r="CC36" s="62">
        <f t="shared" si="13"/>
        <v>863184</v>
      </c>
      <c r="CD36" s="62">
        <f t="shared" si="13"/>
        <v>866996</v>
      </c>
      <c r="CE36" s="62">
        <f t="shared" si="13"/>
        <v>869836</v>
      </c>
      <c r="CF36" s="62">
        <f t="shared" si="13"/>
        <v>873285</v>
      </c>
      <c r="CG36" s="62">
        <f t="shared" si="13"/>
        <v>875885</v>
      </c>
      <c r="CH36" s="122">
        <f t="shared" si="13"/>
        <v>878365</v>
      </c>
      <c r="CI36" s="62">
        <f t="shared" si="13"/>
        <v>881038</v>
      </c>
      <c r="CJ36" s="62">
        <f t="shared" si="13"/>
        <v>884666</v>
      </c>
      <c r="CK36" s="62">
        <f t="shared" si="13"/>
        <v>887081</v>
      </c>
      <c r="CL36" s="62">
        <f t="shared" si="13"/>
        <v>890320</v>
      </c>
      <c r="CM36" s="62">
        <f t="shared" si="13"/>
        <v>893550</v>
      </c>
      <c r="CN36" s="62">
        <f t="shared" si="13"/>
        <v>896407</v>
      </c>
      <c r="CO36" s="62">
        <f t="shared" si="13"/>
        <v>899609</v>
      </c>
      <c r="CP36" s="62">
        <f t="shared" si="13"/>
        <v>902971</v>
      </c>
      <c r="CQ36" s="62">
        <f t="shared" si="13"/>
        <v>906126</v>
      </c>
      <c r="CR36" s="62">
        <f t="shared" si="13"/>
        <v>909879</v>
      </c>
      <c r="CS36" s="62">
        <f t="shared" si="13"/>
        <v>912342</v>
      </c>
      <c r="CT36" s="122">
        <f t="shared" si="13"/>
        <v>915146</v>
      </c>
      <c r="CU36" s="62">
        <f t="shared" si="13"/>
        <v>917869</v>
      </c>
      <c r="CV36" s="62">
        <f t="shared" si="13"/>
        <v>921203</v>
      </c>
      <c r="CW36" s="62">
        <f t="shared" si="13"/>
        <v>924207</v>
      </c>
      <c r="CX36" s="62">
        <f t="shared" si="13"/>
        <v>927573</v>
      </c>
      <c r="CY36" s="62">
        <f t="shared" si="13"/>
        <v>931047</v>
      </c>
      <c r="CZ36" s="62">
        <f t="shared" si="13"/>
        <v>934318</v>
      </c>
      <c r="DA36" s="62">
        <f t="shared" si="13"/>
        <v>938041</v>
      </c>
      <c r="DB36" s="62">
        <f t="shared" si="13"/>
        <v>941900</v>
      </c>
      <c r="DC36" s="62">
        <f t="shared" si="13"/>
        <v>946284</v>
      </c>
      <c r="DD36" s="62">
        <f t="shared" si="13"/>
        <v>951128</v>
      </c>
      <c r="DE36" s="62">
        <f t="shared" si="13"/>
        <v>955162</v>
      </c>
      <c r="DF36" s="122">
        <f t="shared" si="13"/>
        <v>960178</v>
      </c>
      <c r="DG36" s="62">
        <f t="shared" si="13"/>
        <v>966215</v>
      </c>
      <c r="DH36" s="62">
        <f t="shared" si="13"/>
        <v>981257</v>
      </c>
      <c r="DI36" s="62">
        <f t="shared" si="13"/>
        <v>983351</v>
      </c>
      <c r="DJ36" s="62">
        <f t="shared" si="13"/>
        <v>985996</v>
      </c>
      <c r="DK36" s="62">
        <f t="shared" si="13"/>
        <v>988861</v>
      </c>
      <c r="DL36" s="62">
        <f t="shared" si="13"/>
        <v>991781</v>
      </c>
      <c r="DM36" s="62">
        <f t="shared" si="13"/>
        <v>994870</v>
      </c>
      <c r="DN36" s="62">
        <f t="shared" si="13"/>
        <v>998254</v>
      </c>
      <c r="DO36" s="62">
        <f t="shared" si="13"/>
        <v>1001819</v>
      </c>
      <c r="DP36" s="62">
        <f t="shared" si="13"/>
        <v>1005462</v>
      </c>
      <c r="DQ36" s="62">
        <f t="shared" si="13"/>
        <v>1007960</v>
      </c>
      <c r="DR36" s="122">
        <f t="shared" si="13"/>
        <v>1011124</v>
      </c>
      <c r="DS36" s="62">
        <f t="shared" si="13"/>
        <v>1014175</v>
      </c>
      <c r="DT36" s="62">
        <f t="shared" si="13"/>
        <v>1017420</v>
      </c>
      <c r="DU36" s="62">
        <f t="shared" si="13"/>
        <v>1018090</v>
      </c>
      <c r="DV36" s="62">
        <f t="shared" si="13"/>
        <v>1019173</v>
      </c>
      <c r="DW36" s="62">
        <f t="shared" si="13"/>
        <v>1021555</v>
      </c>
      <c r="DX36" s="62">
        <f t="shared" si="13"/>
        <v>1024842</v>
      </c>
      <c r="DY36" s="62">
        <f t="shared" si="13"/>
        <v>1028066</v>
      </c>
      <c r="DZ36" s="62">
        <f t="shared" si="13"/>
        <v>1032174</v>
      </c>
      <c r="EA36" s="62">
        <f t="shared" ref="EA36:GL36" si="14">SUM(EA30:EA35)</f>
        <v>1036152</v>
      </c>
      <c r="EB36" s="62">
        <f t="shared" si="14"/>
        <v>1040487</v>
      </c>
      <c r="EC36" s="62">
        <f t="shared" si="14"/>
        <v>1043638</v>
      </c>
      <c r="ED36" s="122">
        <f t="shared" si="14"/>
        <v>1047279</v>
      </c>
      <c r="EE36" s="62">
        <f t="shared" si="14"/>
        <v>1050850</v>
      </c>
      <c r="EF36" s="62">
        <f t="shared" si="14"/>
        <v>1055811</v>
      </c>
      <c r="EG36" s="62">
        <f t="shared" si="14"/>
        <v>1060784</v>
      </c>
      <c r="EH36" s="62">
        <f t="shared" si="14"/>
        <v>1065805</v>
      </c>
      <c r="EI36" s="62">
        <f t="shared" si="14"/>
        <v>1071001</v>
      </c>
      <c r="EJ36" s="62">
        <f t="shared" si="14"/>
        <v>1075881</v>
      </c>
      <c r="EK36" s="62">
        <f t="shared" si="14"/>
        <v>1080924</v>
      </c>
      <c r="EL36" s="62">
        <f t="shared" si="14"/>
        <v>1086796</v>
      </c>
      <c r="EM36" s="62">
        <f t="shared" si="14"/>
        <v>1092355</v>
      </c>
      <c r="EN36" s="62">
        <f t="shared" si="14"/>
        <v>1099390</v>
      </c>
      <c r="EO36" s="62">
        <f t="shared" si="14"/>
        <v>1104533</v>
      </c>
      <c r="EP36" s="122">
        <f t="shared" si="14"/>
        <v>1110589</v>
      </c>
      <c r="EQ36" s="62">
        <f t="shared" si="14"/>
        <v>1118088</v>
      </c>
      <c r="ER36" s="62">
        <f t="shared" si="14"/>
        <v>1128157</v>
      </c>
      <c r="ES36" s="62">
        <f t="shared" si="14"/>
        <v>1137974</v>
      </c>
      <c r="ET36" s="62">
        <f t="shared" si="14"/>
        <v>1149076</v>
      </c>
      <c r="EU36" s="62">
        <f t="shared" si="14"/>
        <v>1160522</v>
      </c>
      <c r="EV36" s="62">
        <f t="shared" si="14"/>
        <v>1171722</v>
      </c>
      <c r="EW36" s="62">
        <f t="shared" si="14"/>
        <v>1184105</v>
      </c>
      <c r="EX36" s="62">
        <f t="shared" si="14"/>
        <v>1198607</v>
      </c>
      <c r="EY36" s="62">
        <f t="shared" si="14"/>
        <v>1212867</v>
      </c>
      <c r="EZ36" s="62">
        <f t="shared" si="14"/>
        <v>1229150</v>
      </c>
      <c r="FA36" s="127">
        <f t="shared" si="14"/>
        <v>1241498</v>
      </c>
      <c r="FB36" s="62">
        <f t="shared" si="14"/>
        <v>1258009</v>
      </c>
      <c r="FC36" s="62">
        <f t="shared" si="14"/>
        <v>1275720</v>
      </c>
      <c r="FD36" s="62">
        <f t="shared" si="14"/>
        <v>1295898</v>
      </c>
      <c r="FE36" s="62">
        <f t="shared" si="14"/>
        <v>1312003</v>
      </c>
      <c r="FF36" s="62">
        <f t="shared" si="14"/>
        <v>1330173</v>
      </c>
      <c r="FG36" s="62">
        <f t="shared" si="14"/>
        <v>1348789</v>
      </c>
      <c r="FH36" s="62">
        <f t="shared" si="14"/>
        <v>1364677</v>
      </c>
      <c r="FI36" s="62">
        <f t="shared" si="14"/>
        <v>1380759</v>
      </c>
      <c r="FJ36" s="62">
        <f t="shared" si="14"/>
        <v>1396558</v>
      </c>
      <c r="FK36" s="62">
        <f t="shared" si="14"/>
        <v>1412155</v>
      </c>
      <c r="FL36" s="62">
        <f t="shared" si="14"/>
        <v>1428242</v>
      </c>
      <c r="FM36" s="62">
        <f t="shared" si="14"/>
        <v>1438474</v>
      </c>
      <c r="FN36" s="122">
        <f t="shared" si="14"/>
        <v>1451745</v>
      </c>
      <c r="FO36" s="62">
        <f t="shared" si="14"/>
        <v>1465708</v>
      </c>
      <c r="FP36" s="62">
        <f t="shared" si="14"/>
        <v>1480825</v>
      </c>
      <c r="FQ36" s="62">
        <f t="shared" si="14"/>
        <v>1496258</v>
      </c>
      <c r="FR36" s="62">
        <f t="shared" si="14"/>
        <v>1512452</v>
      </c>
      <c r="FS36" s="62">
        <f t="shared" si="14"/>
        <v>1528171</v>
      </c>
      <c r="FT36" s="62">
        <f t="shared" si="14"/>
        <v>1544596</v>
      </c>
      <c r="FU36" s="62">
        <f t="shared" si="14"/>
        <v>1560143</v>
      </c>
      <c r="FV36" s="62">
        <f t="shared" si="14"/>
        <v>1577259</v>
      </c>
      <c r="FW36" s="62">
        <f t="shared" si="14"/>
        <v>1597243</v>
      </c>
      <c r="FX36" s="62">
        <f t="shared" si="14"/>
        <v>1618311</v>
      </c>
      <c r="FY36" s="62">
        <f t="shared" si="14"/>
        <v>1632459</v>
      </c>
      <c r="FZ36" s="122">
        <f t="shared" si="14"/>
        <v>1650073</v>
      </c>
      <c r="GA36" s="62">
        <f t="shared" si="14"/>
        <v>1670513</v>
      </c>
      <c r="GB36" s="62">
        <f t="shared" si="14"/>
        <v>1695178</v>
      </c>
      <c r="GC36" s="62">
        <f t="shared" si="14"/>
        <v>1715643</v>
      </c>
      <c r="GD36" s="62">
        <f t="shared" si="14"/>
        <v>1738853</v>
      </c>
      <c r="GE36" s="62">
        <f t="shared" si="14"/>
        <v>1762537</v>
      </c>
      <c r="GF36" s="62">
        <f t="shared" si="14"/>
        <v>1785537</v>
      </c>
      <c r="GG36" s="62">
        <f t="shared" si="14"/>
        <v>1806017</v>
      </c>
      <c r="GH36" s="62">
        <f t="shared" si="14"/>
        <v>1830049</v>
      </c>
      <c r="GI36" s="62">
        <f t="shared" si="14"/>
        <v>1856335</v>
      </c>
      <c r="GJ36" s="62">
        <f t="shared" si="14"/>
        <v>1880295</v>
      </c>
      <c r="GK36" s="62">
        <f t="shared" si="14"/>
        <v>1898778</v>
      </c>
      <c r="GL36" s="122">
        <f t="shared" si="14"/>
        <v>1918454</v>
      </c>
      <c r="GM36" s="62">
        <f t="shared" ref="GM36:GP36" si="15">SUM(GM30:GM35)</f>
        <v>1941466</v>
      </c>
      <c r="GN36" s="62">
        <f t="shared" si="15"/>
        <v>1969779</v>
      </c>
      <c r="GO36" s="62">
        <f t="shared" si="15"/>
        <v>1992994</v>
      </c>
      <c r="GP36" s="62">
        <f t="shared" si="15"/>
        <v>2011335</v>
      </c>
    </row>
    <row r="37" spans="1:198" s="1" customFormat="1" ht="20.149999999999999" customHeight="1" thickTop="1" x14ac:dyDescent="0.35">
      <c r="A37" s="26" t="s">
        <v>268</v>
      </c>
      <c r="B37" s="55"/>
      <c r="C37" s="55"/>
      <c r="D37" s="55"/>
      <c r="E37" s="55"/>
      <c r="F37" s="55"/>
      <c r="G37" s="55"/>
      <c r="H37" s="55"/>
      <c r="I37" s="55"/>
      <c r="J37" s="55"/>
      <c r="K37" s="55"/>
      <c r="L37" s="55"/>
      <c r="M37" s="56"/>
      <c r="N37" s="57"/>
      <c r="O37" s="55"/>
      <c r="P37" s="55"/>
      <c r="Q37" s="55"/>
      <c r="R37" s="55"/>
      <c r="S37" s="55"/>
      <c r="T37" s="55"/>
      <c r="U37" s="55"/>
      <c r="V37" s="55"/>
      <c r="W37" s="55"/>
      <c r="X37" s="55"/>
      <c r="Y37" s="56"/>
      <c r="Z37" s="55"/>
      <c r="AA37" s="55"/>
      <c r="AB37" s="55"/>
      <c r="AC37" s="55"/>
      <c r="AD37" s="55"/>
      <c r="AE37" s="55"/>
      <c r="AF37" s="55"/>
      <c r="AG37" s="55"/>
      <c r="AH37" s="55"/>
      <c r="AI37" s="55"/>
      <c r="AJ37" s="55"/>
      <c r="AK37" s="56"/>
      <c r="AL37" s="55"/>
      <c r="AM37" s="55"/>
      <c r="AN37" s="55"/>
      <c r="AO37" s="55"/>
      <c r="AP37" s="55"/>
      <c r="AQ37" s="55"/>
      <c r="AR37" s="55"/>
      <c r="AS37" s="55"/>
      <c r="AT37" s="55"/>
      <c r="AU37" s="55"/>
      <c r="AV37" s="55"/>
      <c r="AW37" s="56"/>
      <c r="AX37" s="55"/>
      <c r="AY37" s="55"/>
      <c r="AZ37" s="55"/>
      <c r="BA37" s="55"/>
      <c r="BB37" s="55"/>
      <c r="BC37" s="55"/>
      <c r="BD37" s="55"/>
      <c r="BE37" s="55"/>
      <c r="BF37" s="55"/>
      <c r="BG37" s="55"/>
      <c r="BH37" s="55"/>
      <c r="BI37" s="56"/>
      <c r="BJ37" s="55"/>
      <c r="BK37" s="55"/>
      <c r="BL37" s="55"/>
      <c r="BM37" s="55"/>
      <c r="BN37" s="55"/>
      <c r="BO37" s="55"/>
      <c r="BP37" s="55"/>
      <c r="BQ37" s="55"/>
      <c r="BR37" s="55"/>
      <c r="BS37" s="55"/>
      <c r="BT37" s="55"/>
      <c r="BU37" s="56"/>
      <c r="BV37" s="55"/>
      <c r="BW37" s="55"/>
      <c r="BX37" s="55"/>
      <c r="BY37" s="55"/>
      <c r="BZ37" s="55"/>
      <c r="CA37" s="55"/>
      <c r="CB37" s="55"/>
      <c r="CC37" s="55"/>
      <c r="CD37" s="55"/>
      <c r="CE37" s="55"/>
      <c r="CF37" s="55"/>
      <c r="CG37" s="121"/>
      <c r="CH37" s="77"/>
      <c r="CI37" s="55"/>
      <c r="CJ37" s="55"/>
      <c r="CK37" s="55"/>
      <c r="CL37" s="55"/>
      <c r="CM37" s="55"/>
      <c r="CN37" s="55"/>
      <c r="CO37" s="55"/>
      <c r="CP37" s="55"/>
      <c r="CQ37" s="55"/>
      <c r="CR37" s="55"/>
      <c r="CS37" s="121"/>
      <c r="CT37" s="77"/>
      <c r="CU37" s="55"/>
      <c r="CV37" s="55"/>
      <c r="CW37" s="55"/>
      <c r="CX37" s="55"/>
      <c r="CY37" s="55"/>
      <c r="CZ37" s="55"/>
      <c r="DA37" s="55"/>
      <c r="DB37" s="55"/>
      <c r="DC37" s="55"/>
      <c r="DD37" s="55"/>
      <c r="DE37" s="121"/>
      <c r="DF37" s="77"/>
      <c r="DG37" s="55"/>
      <c r="DH37" s="55"/>
      <c r="DI37" s="55"/>
      <c r="DJ37" s="55"/>
      <c r="DK37" s="55"/>
      <c r="DL37" s="55"/>
      <c r="DM37" s="55"/>
      <c r="DN37" s="55"/>
      <c r="DO37" s="55"/>
      <c r="DP37" s="55"/>
      <c r="DQ37" s="121"/>
      <c r="DR37" s="77"/>
      <c r="DS37" s="55"/>
      <c r="DT37" s="123"/>
      <c r="DU37" s="123"/>
      <c r="DV37" s="123"/>
      <c r="DW37" s="123"/>
      <c r="DX37" s="123"/>
      <c r="DY37" s="123"/>
      <c r="DZ37" s="123"/>
      <c r="EA37" s="123"/>
      <c r="EB37" s="123"/>
      <c r="EC37" s="123"/>
      <c r="ED37" s="77"/>
      <c r="EE37" s="55"/>
      <c r="EF37" s="123"/>
      <c r="EG37" s="123"/>
      <c r="EH37" s="123"/>
      <c r="EI37" s="123"/>
      <c r="EJ37" s="123"/>
      <c r="EK37" s="123"/>
      <c r="EL37" s="123"/>
      <c r="EM37" s="123"/>
      <c r="EN37" s="123"/>
      <c r="EO37" s="123"/>
      <c r="EP37" s="77"/>
      <c r="EQ37" s="55"/>
      <c r="ER37" s="123"/>
      <c r="ES37" s="123"/>
      <c r="ET37" s="123"/>
      <c r="EU37" s="123"/>
      <c r="EV37" s="123"/>
      <c r="EW37" s="123"/>
      <c r="EX37" s="123"/>
      <c r="EY37" s="123"/>
      <c r="EZ37" s="123"/>
      <c r="FA37" s="133"/>
      <c r="FB37" s="123"/>
      <c r="FC37" s="123"/>
      <c r="FD37" s="123"/>
      <c r="FE37" s="123"/>
      <c r="FF37" s="123"/>
      <c r="FG37" s="123"/>
      <c r="FH37" s="123"/>
      <c r="FI37" s="123"/>
      <c r="FJ37" s="123"/>
      <c r="FK37" s="126"/>
      <c r="FL37" s="126"/>
      <c r="FM37" s="126"/>
      <c r="FN37" s="167"/>
      <c r="FO37" s="123"/>
      <c r="FP37" s="123"/>
      <c r="FQ37" s="123"/>
      <c r="FR37" s="123"/>
      <c r="FS37" s="123"/>
      <c r="FT37" s="123"/>
      <c r="FU37" s="123"/>
      <c r="FV37" s="123"/>
      <c r="FW37" s="126"/>
      <c r="FX37" s="126"/>
      <c r="FY37" s="126"/>
      <c r="FZ37" s="167"/>
      <c r="GA37" s="123"/>
      <c r="GB37" s="123"/>
      <c r="GC37" s="123"/>
      <c r="GD37" s="123"/>
      <c r="GE37" s="123"/>
      <c r="GF37" s="123"/>
      <c r="GG37" s="126"/>
      <c r="GH37" s="126"/>
      <c r="GI37" s="126"/>
      <c r="GJ37" s="126"/>
      <c r="GK37" s="126"/>
      <c r="GL37" s="167"/>
      <c r="GM37" s="123"/>
      <c r="GN37" s="123"/>
      <c r="GO37" s="123"/>
      <c r="GP37" s="123"/>
    </row>
    <row r="38" spans="1:198" s="1" customFormat="1" ht="20.149999999999999" customHeight="1" x14ac:dyDescent="0.35">
      <c r="A38" s="31" t="s">
        <v>279</v>
      </c>
      <c r="B38" s="55">
        <v>0</v>
      </c>
      <c r="C38" s="55">
        <v>0</v>
      </c>
      <c r="D38" s="55">
        <v>0</v>
      </c>
      <c r="E38" s="55">
        <v>0</v>
      </c>
      <c r="F38" s="55">
        <v>0</v>
      </c>
      <c r="G38" s="55">
        <v>0</v>
      </c>
      <c r="H38" s="55">
        <v>0</v>
      </c>
      <c r="I38" s="55">
        <v>0</v>
      </c>
      <c r="J38" s="55">
        <v>0</v>
      </c>
      <c r="K38" s="55">
        <v>0</v>
      </c>
      <c r="L38" s="55">
        <v>0</v>
      </c>
      <c r="M38" s="56">
        <v>0</v>
      </c>
      <c r="N38" s="57">
        <v>0</v>
      </c>
      <c r="O38" s="55">
        <v>0</v>
      </c>
      <c r="P38" s="55">
        <v>0</v>
      </c>
      <c r="Q38" s="55">
        <v>0</v>
      </c>
      <c r="R38" s="55">
        <v>0</v>
      </c>
      <c r="S38" s="55">
        <v>0</v>
      </c>
      <c r="T38" s="55">
        <v>0</v>
      </c>
      <c r="U38" s="55">
        <v>0</v>
      </c>
      <c r="V38" s="55">
        <v>0</v>
      </c>
      <c r="W38" s="55">
        <v>0</v>
      </c>
      <c r="X38" s="55">
        <v>0</v>
      </c>
      <c r="Y38" s="56">
        <v>0</v>
      </c>
      <c r="Z38" s="55">
        <v>0</v>
      </c>
      <c r="AA38" s="55">
        <v>0</v>
      </c>
      <c r="AB38" s="55">
        <v>0</v>
      </c>
      <c r="AC38" s="55">
        <v>0</v>
      </c>
      <c r="AD38" s="55">
        <v>0</v>
      </c>
      <c r="AE38" s="55">
        <v>0</v>
      </c>
      <c r="AF38" s="55">
        <v>0</v>
      </c>
      <c r="AG38" s="55">
        <v>0</v>
      </c>
      <c r="AH38" s="55">
        <v>0</v>
      </c>
      <c r="AI38" s="55">
        <v>0</v>
      </c>
      <c r="AJ38" s="55">
        <v>0</v>
      </c>
      <c r="AK38" s="56">
        <v>0</v>
      </c>
      <c r="AL38" s="55">
        <v>0</v>
      </c>
      <c r="AM38" s="55">
        <v>0</v>
      </c>
      <c r="AN38" s="55">
        <v>0</v>
      </c>
      <c r="AO38" s="55">
        <v>0</v>
      </c>
      <c r="AP38" s="55">
        <v>0</v>
      </c>
      <c r="AQ38" s="55">
        <v>0</v>
      </c>
      <c r="AR38" s="55">
        <v>0</v>
      </c>
      <c r="AS38" s="55">
        <v>0</v>
      </c>
      <c r="AT38" s="55">
        <v>0</v>
      </c>
      <c r="AU38" s="55">
        <v>0</v>
      </c>
      <c r="AV38" s="55">
        <v>0</v>
      </c>
      <c r="AW38" s="56">
        <v>0</v>
      </c>
      <c r="AX38" s="55">
        <v>0</v>
      </c>
      <c r="AY38" s="55">
        <v>0</v>
      </c>
      <c r="AZ38" s="55">
        <v>0</v>
      </c>
      <c r="BA38" s="55">
        <v>0</v>
      </c>
      <c r="BB38" s="55">
        <v>0</v>
      </c>
      <c r="BC38" s="55">
        <v>0</v>
      </c>
      <c r="BD38" s="55">
        <v>0</v>
      </c>
      <c r="BE38" s="55">
        <v>0</v>
      </c>
      <c r="BF38" s="55">
        <v>0</v>
      </c>
      <c r="BG38" s="55">
        <v>0</v>
      </c>
      <c r="BH38" s="55">
        <v>0</v>
      </c>
      <c r="BI38" s="56">
        <v>0</v>
      </c>
      <c r="BJ38" s="55">
        <v>0</v>
      </c>
      <c r="BK38" s="55">
        <v>0</v>
      </c>
      <c r="BL38" s="55">
        <v>0</v>
      </c>
      <c r="BM38" s="55">
        <v>0</v>
      </c>
      <c r="BN38" s="55">
        <v>0</v>
      </c>
      <c r="BO38" s="55">
        <v>0</v>
      </c>
      <c r="BP38" s="55">
        <v>0</v>
      </c>
      <c r="BQ38" s="55">
        <v>0</v>
      </c>
      <c r="BR38" s="55">
        <v>0</v>
      </c>
      <c r="BS38" s="55">
        <v>0</v>
      </c>
      <c r="BT38" s="55">
        <v>0</v>
      </c>
      <c r="BU38" s="56">
        <v>0</v>
      </c>
      <c r="BV38" s="55">
        <v>0</v>
      </c>
      <c r="BW38" s="55">
        <v>0</v>
      </c>
      <c r="BX38" s="55">
        <v>0</v>
      </c>
      <c r="BY38" s="55">
        <v>1</v>
      </c>
      <c r="BZ38" s="55">
        <v>2</v>
      </c>
      <c r="CA38" s="55">
        <v>2</v>
      </c>
      <c r="CB38" s="55">
        <v>2</v>
      </c>
      <c r="CC38" s="55">
        <v>2</v>
      </c>
      <c r="CD38" s="55">
        <v>2</v>
      </c>
      <c r="CE38" s="55">
        <v>2</v>
      </c>
      <c r="CF38" s="55">
        <v>2</v>
      </c>
      <c r="CG38" s="121">
        <v>2</v>
      </c>
      <c r="CH38" s="77">
        <v>2</v>
      </c>
      <c r="CI38" s="55">
        <v>5</v>
      </c>
      <c r="CJ38" s="55">
        <v>11</v>
      </c>
      <c r="CK38" s="55">
        <v>11</v>
      </c>
      <c r="CL38" s="55">
        <v>11</v>
      </c>
      <c r="CM38" s="55">
        <v>11</v>
      </c>
      <c r="CN38" s="55">
        <v>11</v>
      </c>
      <c r="CO38" s="55">
        <v>11</v>
      </c>
      <c r="CP38" s="55">
        <v>11</v>
      </c>
      <c r="CQ38" s="55">
        <v>11</v>
      </c>
      <c r="CR38" s="55">
        <v>11</v>
      </c>
      <c r="CS38" s="121">
        <v>12</v>
      </c>
      <c r="CT38" s="77">
        <v>13</v>
      </c>
      <c r="CU38" s="55">
        <v>14</v>
      </c>
      <c r="CV38" s="55">
        <v>17</v>
      </c>
      <c r="CW38" s="55">
        <v>18</v>
      </c>
      <c r="CX38" s="55">
        <v>18</v>
      </c>
      <c r="CY38" s="55">
        <v>18</v>
      </c>
      <c r="CZ38" s="55">
        <v>18</v>
      </c>
      <c r="DA38" s="55">
        <v>18</v>
      </c>
      <c r="DB38" s="55">
        <v>18</v>
      </c>
      <c r="DC38" s="55">
        <v>18</v>
      </c>
      <c r="DD38" s="55">
        <v>18</v>
      </c>
      <c r="DE38" s="121">
        <v>18</v>
      </c>
      <c r="DF38" s="77">
        <v>18</v>
      </c>
      <c r="DG38" s="55">
        <v>18</v>
      </c>
      <c r="DH38" s="55">
        <v>18</v>
      </c>
      <c r="DI38" s="55">
        <v>18</v>
      </c>
      <c r="DJ38" s="55">
        <v>18</v>
      </c>
      <c r="DK38" s="55">
        <v>18</v>
      </c>
      <c r="DL38" s="55">
        <v>18</v>
      </c>
      <c r="DM38" s="55">
        <v>18</v>
      </c>
      <c r="DN38" s="55">
        <v>18</v>
      </c>
      <c r="DO38" s="55">
        <v>18</v>
      </c>
      <c r="DP38" s="55">
        <v>18</v>
      </c>
      <c r="DQ38" s="121">
        <v>18</v>
      </c>
      <c r="DR38" s="77">
        <v>18</v>
      </c>
      <c r="DS38" s="55">
        <v>18</v>
      </c>
      <c r="DT38" s="55">
        <v>18</v>
      </c>
      <c r="DU38" s="55">
        <v>18</v>
      </c>
      <c r="DV38" s="55">
        <v>18</v>
      </c>
      <c r="DW38" s="55">
        <v>18</v>
      </c>
      <c r="DX38" s="55">
        <v>18</v>
      </c>
      <c r="DY38" s="55">
        <v>18</v>
      </c>
      <c r="DZ38" s="55">
        <v>18</v>
      </c>
      <c r="EA38" s="55">
        <v>18</v>
      </c>
      <c r="EB38" s="55">
        <v>18</v>
      </c>
      <c r="EC38" s="55">
        <v>18</v>
      </c>
      <c r="ED38" s="77">
        <v>18</v>
      </c>
      <c r="EE38" s="55">
        <v>18</v>
      </c>
      <c r="EF38" s="55">
        <v>18</v>
      </c>
      <c r="EG38" s="55">
        <v>18</v>
      </c>
      <c r="EH38" s="55">
        <v>18</v>
      </c>
      <c r="EI38" s="55">
        <v>18</v>
      </c>
      <c r="EJ38" s="55">
        <v>18</v>
      </c>
      <c r="EK38" s="55">
        <v>18</v>
      </c>
      <c r="EL38" s="55">
        <v>18</v>
      </c>
      <c r="EM38" s="55">
        <v>18</v>
      </c>
      <c r="EN38" s="55">
        <v>18</v>
      </c>
      <c r="EO38" s="55">
        <v>18</v>
      </c>
      <c r="EP38" s="77">
        <v>18</v>
      </c>
      <c r="EQ38" s="55">
        <v>18</v>
      </c>
      <c r="ER38" s="55">
        <v>18</v>
      </c>
      <c r="ES38" s="55">
        <v>18</v>
      </c>
      <c r="ET38" s="55">
        <v>18</v>
      </c>
      <c r="EU38" s="55">
        <v>18</v>
      </c>
      <c r="EV38" s="55">
        <v>18</v>
      </c>
      <c r="EW38" s="55">
        <v>18</v>
      </c>
      <c r="EX38" s="55">
        <v>18</v>
      </c>
      <c r="EY38" s="55">
        <v>18</v>
      </c>
      <c r="EZ38" s="55">
        <v>18</v>
      </c>
      <c r="FA38" s="83">
        <v>18</v>
      </c>
      <c r="FB38" s="55">
        <v>18</v>
      </c>
      <c r="FC38" s="55">
        <v>18</v>
      </c>
      <c r="FD38" s="55">
        <v>18</v>
      </c>
      <c r="FE38" s="55">
        <v>18</v>
      </c>
      <c r="FF38" s="55">
        <v>18</v>
      </c>
      <c r="FG38" s="55">
        <v>18</v>
      </c>
      <c r="FH38" s="55">
        <v>18</v>
      </c>
      <c r="FI38" s="55">
        <v>18</v>
      </c>
      <c r="FJ38" s="55">
        <v>18</v>
      </c>
      <c r="FK38" s="55">
        <v>18</v>
      </c>
      <c r="FL38" s="55">
        <v>18</v>
      </c>
      <c r="FM38" s="55">
        <v>18</v>
      </c>
      <c r="FN38" s="77">
        <v>18</v>
      </c>
      <c r="FO38" s="55">
        <v>18</v>
      </c>
      <c r="FP38" s="55">
        <v>18</v>
      </c>
      <c r="FQ38" s="55">
        <v>18</v>
      </c>
      <c r="FR38" s="55">
        <v>18</v>
      </c>
      <c r="FS38" s="55">
        <v>18</v>
      </c>
      <c r="FT38" s="55">
        <v>18</v>
      </c>
      <c r="FU38" s="55">
        <v>18</v>
      </c>
      <c r="FV38" s="55">
        <v>18</v>
      </c>
      <c r="FW38" s="55">
        <v>18</v>
      </c>
      <c r="FX38" s="55">
        <v>18</v>
      </c>
      <c r="FY38" s="55">
        <v>18</v>
      </c>
      <c r="FZ38" s="77">
        <v>18</v>
      </c>
      <c r="GA38" s="55">
        <v>18</v>
      </c>
      <c r="GB38" s="55">
        <v>18</v>
      </c>
      <c r="GC38" s="55">
        <v>18</v>
      </c>
      <c r="GD38" s="55">
        <v>18</v>
      </c>
      <c r="GE38" s="55">
        <v>18</v>
      </c>
      <c r="GF38" s="55">
        <v>18</v>
      </c>
      <c r="GG38" s="55">
        <v>18</v>
      </c>
      <c r="GH38" s="55">
        <v>18</v>
      </c>
      <c r="GI38" s="55">
        <v>18</v>
      </c>
      <c r="GJ38" s="55">
        <v>18</v>
      </c>
      <c r="GK38" s="55">
        <v>18</v>
      </c>
      <c r="GL38" s="77">
        <v>18</v>
      </c>
      <c r="GM38" s="55">
        <v>18</v>
      </c>
      <c r="GN38" s="55">
        <v>18</v>
      </c>
      <c r="GO38" s="55">
        <v>18</v>
      </c>
      <c r="GP38" s="55">
        <v>18</v>
      </c>
    </row>
    <row r="39" spans="1:198" s="25" customFormat="1" ht="20.149999999999999" customHeight="1" x14ac:dyDescent="0.35">
      <c r="A39" s="31" t="s">
        <v>280</v>
      </c>
      <c r="B39" s="55">
        <v>250</v>
      </c>
      <c r="C39" s="55">
        <v>250</v>
      </c>
      <c r="D39" s="55">
        <v>258</v>
      </c>
      <c r="E39" s="55">
        <v>271</v>
      </c>
      <c r="F39" s="55">
        <v>273</v>
      </c>
      <c r="G39" s="55">
        <v>289</v>
      </c>
      <c r="H39" s="55">
        <v>292</v>
      </c>
      <c r="I39" s="55">
        <v>294</v>
      </c>
      <c r="J39" s="55">
        <v>295</v>
      </c>
      <c r="K39" s="55">
        <v>300</v>
      </c>
      <c r="L39" s="55">
        <v>319</v>
      </c>
      <c r="M39" s="56">
        <v>325</v>
      </c>
      <c r="N39" s="57">
        <v>325</v>
      </c>
      <c r="O39" s="55">
        <v>327</v>
      </c>
      <c r="P39" s="55">
        <v>338</v>
      </c>
      <c r="Q39" s="55">
        <v>341</v>
      </c>
      <c r="R39" s="55">
        <v>354</v>
      </c>
      <c r="S39" s="55">
        <v>362</v>
      </c>
      <c r="T39" s="55">
        <v>366</v>
      </c>
      <c r="U39" s="55">
        <v>375</v>
      </c>
      <c r="V39" s="55">
        <v>401</v>
      </c>
      <c r="W39" s="55">
        <v>425</v>
      </c>
      <c r="X39" s="55">
        <v>461</v>
      </c>
      <c r="Y39" s="56">
        <v>499</v>
      </c>
      <c r="Z39" s="55">
        <v>580</v>
      </c>
      <c r="AA39" s="55">
        <v>602</v>
      </c>
      <c r="AB39" s="55">
        <v>658</v>
      </c>
      <c r="AC39" s="55">
        <v>680</v>
      </c>
      <c r="AD39" s="55">
        <v>704</v>
      </c>
      <c r="AE39" s="55">
        <v>716</v>
      </c>
      <c r="AF39" s="55">
        <v>759</v>
      </c>
      <c r="AG39" s="55">
        <v>874</v>
      </c>
      <c r="AH39" s="55">
        <v>1023</v>
      </c>
      <c r="AI39" s="55">
        <v>1173</v>
      </c>
      <c r="AJ39" s="55">
        <v>1333</v>
      </c>
      <c r="AK39" s="56">
        <v>1458</v>
      </c>
      <c r="AL39" s="55">
        <v>1664</v>
      </c>
      <c r="AM39" s="55">
        <v>1842</v>
      </c>
      <c r="AN39" s="55">
        <v>2019</v>
      </c>
      <c r="AO39" s="55">
        <v>2175</v>
      </c>
      <c r="AP39" s="55">
        <v>2398</v>
      </c>
      <c r="AQ39" s="55">
        <v>2582</v>
      </c>
      <c r="AR39" s="55">
        <v>2876</v>
      </c>
      <c r="AS39" s="55">
        <v>3342</v>
      </c>
      <c r="AT39" s="55">
        <v>3843</v>
      </c>
      <c r="AU39" s="55">
        <v>4293</v>
      </c>
      <c r="AV39" s="55">
        <v>4795</v>
      </c>
      <c r="AW39" s="56">
        <v>5243</v>
      </c>
      <c r="AX39" s="55">
        <v>5714</v>
      </c>
      <c r="AY39" s="55">
        <v>7016</v>
      </c>
      <c r="AZ39" s="55">
        <v>7398</v>
      </c>
      <c r="BA39" s="55">
        <v>7786</v>
      </c>
      <c r="BB39" s="55">
        <v>8284</v>
      </c>
      <c r="BC39" s="55">
        <v>8810</v>
      </c>
      <c r="BD39" s="55">
        <v>9297</v>
      </c>
      <c r="BE39" s="55">
        <v>9816</v>
      </c>
      <c r="BF39" s="55">
        <v>10389</v>
      </c>
      <c r="BG39" s="55">
        <v>10939</v>
      </c>
      <c r="BH39" s="55">
        <v>11500</v>
      </c>
      <c r="BI39" s="56">
        <v>11923</v>
      </c>
      <c r="BJ39" s="55">
        <v>12330</v>
      </c>
      <c r="BK39" s="55">
        <v>12815</v>
      </c>
      <c r="BL39" s="55">
        <v>13343</v>
      </c>
      <c r="BM39" s="55">
        <v>13783</v>
      </c>
      <c r="BN39" s="55">
        <v>14265</v>
      </c>
      <c r="BO39" s="55">
        <v>14770</v>
      </c>
      <c r="BP39" s="55">
        <v>15264</v>
      </c>
      <c r="BQ39" s="55">
        <v>16077</v>
      </c>
      <c r="BR39" s="55">
        <v>17698</v>
      </c>
      <c r="BS39" s="55">
        <v>18029</v>
      </c>
      <c r="BT39" s="55">
        <v>18397</v>
      </c>
      <c r="BU39" s="56">
        <v>18750</v>
      </c>
      <c r="BV39" s="55">
        <v>19146</v>
      </c>
      <c r="BW39" s="55">
        <v>19527</v>
      </c>
      <c r="BX39" s="55">
        <v>19964</v>
      </c>
      <c r="BY39" s="55">
        <v>20331</v>
      </c>
      <c r="BZ39" s="55">
        <v>20582</v>
      </c>
      <c r="CA39" s="55">
        <v>20892</v>
      </c>
      <c r="CB39" s="55">
        <v>21173</v>
      </c>
      <c r="CC39" s="55">
        <v>21561</v>
      </c>
      <c r="CD39" s="55">
        <v>22714</v>
      </c>
      <c r="CE39" s="55">
        <v>22757</v>
      </c>
      <c r="CF39" s="55">
        <v>22827</v>
      </c>
      <c r="CG39" s="121">
        <v>22877</v>
      </c>
      <c r="CH39" s="77">
        <v>22879</v>
      </c>
      <c r="CI39" s="55">
        <v>22882</v>
      </c>
      <c r="CJ39" s="55">
        <v>22891</v>
      </c>
      <c r="CK39" s="55">
        <v>22891</v>
      </c>
      <c r="CL39" s="55">
        <v>22891</v>
      </c>
      <c r="CM39" s="55">
        <v>22891</v>
      </c>
      <c r="CN39" s="55">
        <v>22891</v>
      </c>
      <c r="CO39" s="55">
        <v>22891</v>
      </c>
      <c r="CP39" s="55">
        <v>22891</v>
      </c>
      <c r="CQ39" s="55">
        <v>22891</v>
      </c>
      <c r="CR39" s="55">
        <v>22891</v>
      </c>
      <c r="CS39" s="121">
        <v>22891</v>
      </c>
      <c r="CT39" s="77">
        <v>22891</v>
      </c>
      <c r="CU39" s="55">
        <v>22891</v>
      </c>
      <c r="CV39" s="55">
        <v>22894</v>
      </c>
      <c r="CW39" s="55">
        <v>22894</v>
      </c>
      <c r="CX39" s="55">
        <v>22894</v>
      </c>
      <c r="CY39" s="55">
        <v>22894</v>
      </c>
      <c r="CZ39" s="55">
        <v>22894</v>
      </c>
      <c r="DA39" s="55">
        <v>22894</v>
      </c>
      <c r="DB39" s="55">
        <v>22894</v>
      </c>
      <c r="DC39" s="55">
        <v>22894</v>
      </c>
      <c r="DD39" s="55">
        <v>22894</v>
      </c>
      <c r="DE39" s="121">
        <v>22894</v>
      </c>
      <c r="DF39" s="77">
        <v>22894</v>
      </c>
      <c r="DG39" s="55">
        <v>22894</v>
      </c>
      <c r="DH39" s="55">
        <v>22894</v>
      </c>
      <c r="DI39" s="55">
        <v>22894</v>
      </c>
      <c r="DJ39" s="55">
        <v>22894</v>
      </c>
      <c r="DK39" s="55">
        <v>22894</v>
      </c>
      <c r="DL39" s="55">
        <v>22894</v>
      </c>
      <c r="DM39" s="55">
        <v>22894</v>
      </c>
      <c r="DN39" s="55">
        <v>22894</v>
      </c>
      <c r="DO39" s="55">
        <v>22894</v>
      </c>
      <c r="DP39" s="55">
        <v>22894</v>
      </c>
      <c r="DQ39" s="121">
        <v>22894</v>
      </c>
      <c r="DR39" s="77">
        <v>22894</v>
      </c>
      <c r="DS39" s="55">
        <v>22894</v>
      </c>
      <c r="DT39" s="55">
        <v>22894</v>
      </c>
      <c r="DU39" s="55">
        <v>22894</v>
      </c>
      <c r="DV39" s="55">
        <v>22894</v>
      </c>
      <c r="DW39" s="55">
        <v>22894</v>
      </c>
      <c r="DX39" s="55">
        <v>22894</v>
      </c>
      <c r="DY39" s="55">
        <v>22894</v>
      </c>
      <c r="DZ39" s="55">
        <v>22894</v>
      </c>
      <c r="EA39" s="55">
        <v>22894</v>
      </c>
      <c r="EB39" s="55">
        <v>22894</v>
      </c>
      <c r="EC39" s="55">
        <v>22894</v>
      </c>
      <c r="ED39" s="77">
        <v>22894</v>
      </c>
      <c r="EE39" s="55">
        <v>22894</v>
      </c>
      <c r="EF39" s="55">
        <v>22894</v>
      </c>
      <c r="EG39" s="55">
        <v>22894</v>
      </c>
      <c r="EH39" s="55">
        <v>22894</v>
      </c>
      <c r="EI39" s="55">
        <v>22894</v>
      </c>
      <c r="EJ39" s="55">
        <v>22894</v>
      </c>
      <c r="EK39" s="55">
        <v>22894</v>
      </c>
      <c r="EL39" s="55">
        <v>22894</v>
      </c>
      <c r="EM39" s="55">
        <v>22894</v>
      </c>
      <c r="EN39" s="55">
        <v>22894</v>
      </c>
      <c r="EO39" s="55">
        <v>22894</v>
      </c>
      <c r="EP39" s="77">
        <v>22894</v>
      </c>
      <c r="EQ39" s="55">
        <v>22894</v>
      </c>
      <c r="ER39" s="55">
        <v>22894</v>
      </c>
      <c r="ES39" s="55">
        <v>22894</v>
      </c>
      <c r="ET39" s="55">
        <v>22894</v>
      </c>
      <c r="EU39" s="55">
        <v>22894</v>
      </c>
      <c r="EV39" s="55">
        <v>22894</v>
      </c>
      <c r="EW39" s="55">
        <v>22894</v>
      </c>
      <c r="EX39" s="55">
        <v>22894</v>
      </c>
      <c r="EY39" s="55">
        <v>22894</v>
      </c>
      <c r="EZ39" s="55">
        <v>22894</v>
      </c>
      <c r="FA39" s="83">
        <v>22894</v>
      </c>
      <c r="FB39" s="55">
        <v>22894</v>
      </c>
      <c r="FC39" s="55">
        <v>22894</v>
      </c>
      <c r="FD39" s="55">
        <v>22894</v>
      </c>
      <c r="FE39" s="55">
        <v>22894</v>
      </c>
      <c r="FF39" s="55">
        <v>22894</v>
      </c>
      <c r="FG39" s="55">
        <v>22894</v>
      </c>
      <c r="FH39" s="55">
        <v>22894</v>
      </c>
      <c r="FI39" s="55">
        <v>22894</v>
      </c>
      <c r="FJ39" s="55">
        <v>22894</v>
      </c>
      <c r="FK39" s="55">
        <v>22894</v>
      </c>
      <c r="FL39" s="55">
        <v>22894</v>
      </c>
      <c r="FM39" s="55">
        <v>22894</v>
      </c>
      <c r="FN39" s="77">
        <v>22894</v>
      </c>
      <c r="FO39" s="55">
        <v>22894</v>
      </c>
      <c r="FP39" s="55">
        <v>22894</v>
      </c>
      <c r="FQ39" s="55">
        <v>22894</v>
      </c>
      <c r="FR39" s="55">
        <v>22894</v>
      </c>
      <c r="FS39" s="55">
        <v>22894</v>
      </c>
      <c r="FT39" s="55">
        <v>22894</v>
      </c>
      <c r="FU39" s="55">
        <v>22894</v>
      </c>
      <c r="FV39" s="55">
        <v>22894</v>
      </c>
      <c r="FW39" s="55">
        <v>22894</v>
      </c>
      <c r="FX39" s="55">
        <v>22894</v>
      </c>
      <c r="FY39" s="55">
        <v>22894</v>
      </c>
      <c r="FZ39" s="77">
        <v>22894</v>
      </c>
      <c r="GA39" s="55">
        <v>22894</v>
      </c>
      <c r="GB39" s="55">
        <v>22894</v>
      </c>
      <c r="GC39" s="55">
        <v>22894</v>
      </c>
      <c r="GD39" s="55">
        <v>22894</v>
      </c>
      <c r="GE39" s="55">
        <v>22894</v>
      </c>
      <c r="GF39" s="55">
        <v>22894</v>
      </c>
      <c r="GG39" s="55">
        <v>22894</v>
      </c>
      <c r="GH39" s="55">
        <v>22894</v>
      </c>
      <c r="GI39" s="55">
        <v>22894</v>
      </c>
      <c r="GJ39" s="55">
        <v>22894</v>
      </c>
      <c r="GK39" s="55">
        <v>22894</v>
      </c>
      <c r="GL39" s="77">
        <v>22894</v>
      </c>
      <c r="GM39" s="55">
        <v>22894</v>
      </c>
      <c r="GN39" s="55">
        <v>22894</v>
      </c>
      <c r="GO39" s="55">
        <v>22894</v>
      </c>
      <c r="GP39" s="55">
        <v>22894</v>
      </c>
    </row>
    <row r="40" spans="1:198" s="30" customFormat="1" ht="20.149999999999999" customHeight="1" x14ac:dyDescent="0.35">
      <c r="A40" s="31" t="s">
        <v>283</v>
      </c>
      <c r="B40" s="58">
        <v>0</v>
      </c>
      <c r="C40" s="58">
        <v>0</v>
      </c>
      <c r="D40" s="58">
        <v>0</v>
      </c>
      <c r="E40" s="58">
        <v>0</v>
      </c>
      <c r="F40" s="58">
        <v>0</v>
      </c>
      <c r="G40" s="58">
        <v>0</v>
      </c>
      <c r="H40" s="58">
        <v>0</v>
      </c>
      <c r="I40" s="58">
        <v>0</v>
      </c>
      <c r="J40" s="58">
        <v>0</v>
      </c>
      <c r="K40" s="58">
        <v>0</v>
      </c>
      <c r="L40" s="58">
        <v>0</v>
      </c>
      <c r="M40" s="59">
        <v>0</v>
      </c>
      <c r="N40" s="60">
        <v>0</v>
      </c>
      <c r="O40" s="58">
        <v>0</v>
      </c>
      <c r="P40" s="58">
        <v>0</v>
      </c>
      <c r="Q40" s="58">
        <v>0</v>
      </c>
      <c r="R40" s="58">
        <v>0</v>
      </c>
      <c r="S40" s="58">
        <v>0</v>
      </c>
      <c r="T40" s="58">
        <v>0</v>
      </c>
      <c r="U40" s="58">
        <v>0</v>
      </c>
      <c r="V40" s="58">
        <v>0</v>
      </c>
      <c r="W40" s="58">
        <v>0</v>
      </c>
      <c r="X40" s="58">
        <v>0</v>
      </c>
      <c r="Y40" s="59">
        <v>0</v>
      </c>
      <c r="Z40" s="58">
        <v>0</v>
      </c>
      <c r="AA40" s="58">
        <v>0</v>
      </c>
      <c r="AB40" s="58">
        <v>0</v>
      </c>
      <c r="AC40" s="58">
        <v>0</v>
      </c>
      <c r="AD40" s="58">
        <v>0</v>
      </c>
      <c r="AE40" s="58">
        <v>0</v>
      </c>
      <c r="AF40" s="58">
        <v>0</v>
      </c>
      <c r="AG40" s="58">
        <v>0</v>
      </c>
      <c r="AH40" s="58">
        <v>0</v>
      </c>
      <c r="AI40" s="58">
        <v>1</v>
      </c>
      <c r="AJ40" s="58">
        <v>1</v>
      </c>
      <c r="AK40" s="59">
        <v>1</v>
      </c>
      <c r="AL40" s="58">
        <v>1</v>
      </c>
      <c r="AM40" s="58">
        <v>1</v>
      </c>
      <c r="AN40" s="58">
        <v>1</v>
      </c>
      <c r="AO40" s="58">
        <v>1</v>
      </c>
      <c r="AP40" s="58">
        <v>1</v>
      </c>
      <c r="AQ40" s="58">
        <v>1</v>
      </c>
      <c r="AR40" s="58">
        <v>1</v>
      </c>
      <c r="AS40" s="58">
        <v>1</v>
      </c>
      <c r="AT40" s="58">
        <v>1</v>
      </c>
      <c r="AU40" s="58">
        <v>1</v>
      </c>
      <c r="AV40" s="58">
        <v>1</v>
      </c>
      <c r="AW40" s="59">
        <v>1</v>
      </c>
      <c r="AX40" s="58">
        <v>1</v>
      </c>
      <c r="AY40" s="58">
        <v>1</v>
      </c>
      <c r="AZ40" s="58">
        <v>1</v>
      </c>
      <c r="BA40" s="58">
        <v>1</v>
      </c>
      <c r="BB40" s="58">
        <v>1</v>
      </c>
      <c r="BC40" s="58">
        <v>1</v>
      </c>
      <c r="BD40" s="58">
        <v>1</v>
      </c>
      <c r="BE40" s="58">
        <v>2</v>
      </c>
      <c r="BF40" s="58">
        <v>2</v>
      </c>
      <c r="BG40" s="58">
        <v>2</v>
      </c>
      <c r="BH40" s="58">
        <v>2</v>
      </c>
      <c r="BI40" s="59">
        <v>2</v>
      </c>
      <c r="BJ40" s="58">
        <v>2</v>
      </c>
      <c r="BK40" s="58">
        <v>2</v>
      </c>
      <c r="BL40" s="58">
        <v>2</v>
      </c>
      <c r="BM40" s="58">
        <v>2</v>
      </c>
      <c r="BN40" s="58">
        <v>2</v>
      </c>
      <c r="BO40" s="58">
        <v>2</v>
      </c>
      <c r="BP40" s="58">
        <v>2</v>
      </c>
      <c r="BQ40" s="58">
        <v>2</v>
      </c>
      <c r="BR40" s="58">
        <v>2</v>
      </c>
      <c r="BS40" s="58">
        <v>2</v>
      </c>
      <c r="BT40" s="58">
        <v>2</v>
      </c>
      <c r="BU40" s="59">
        <v>2</v>
      </c>
      <c r="BV40" s="58">
        <v>2</v>
      </c>
      <c r="BW40" s="58">
        <v>2</v>
      </c>
      <c r="BX40" s="58">
        <v>2</v>
      </c>
      <c r="BY40" s="58">
        <v>2</v>
      </c>
      <c r="BZ40" s="58">
        <v>2</v>
      </c>
      <c r="CA40" s="58">
        <v>2</v>
      </c>
      <c r="CB40" s="58">
        <v>2</v>
      </c>
      <c r="CC40" s="58">
        <v>2</v>
      </c>
      <c r="CD40" s="58">
        <v>2</v>
      </c>
      <c r="CE40" s="58">
        <v>2</v>
      </c>
      <c r="CF40" s="58">
        <v>2</v>
      </c>
      <c r="CG40" s="58">
        <v>2</v>
      </c>
      <c r="CH40" s="77">
        <v>56</v>
      </c>
      <c r="CI40" s="55">
        <v>228</v>
      </c>
      <c r="CJ40" s="55">
        <v>634</v>
      </c>
      <c r="CK40" s="55">
        <v>649</v>
      </c>
      <c r="CL40" s="55">
        <v>673</v>
      </c>
      <c r="CM40" s="55">
        <v>734</v>
      </c>
      <c r="CN40" s="55">
        <v>745</v>
      </c>
      <c r="CO40" s="55">
        <v>771</v>
      </c>
      <c r="CP40" s="55">
        <v>801</v>
      </c>
      <c r="CQ40" s="55">
        <v>834</v>
      </c>
      <c r="CR40" s="55">
        <v>890</v>
      </c>
      <c r="CS40" s="121">
        <v>906</v>
      </c>
      <c r="CT40" s="77">
        <v>923</v>
      </c>
      <c r="CU40" s="55">
        <v>964</v>
      </c>
      <c r="CV40" s="55">
        <v>1011</v>
      </c>
      <c r="CW40" s="55">
        <v>1044</v>
      </c>
      <c r="CX40" s="55">
        <v>1061</v>
      </c>
      <c r="CY40" s="55">
        <v>1085</v>
      </c>
      <c r="CZ40" s="55">
        <v>1103</v>
      </c>
      <c r="DA40" s="55">
        <v>1146</v>
      </c>
      <c r="DB40" s="55">
        <v>1155</v>
      </c>
      <c r="DC40" s="55">
        <v>1237</v>
      </c>
      <c r="DD40" s="58">
        <v>1285</v>
      </c>
      <c r="DE40" s="58">
        <v>1296</v>
      </c>
      <c r="DF40" s="77">
        <v>1363</v>
      </c>
      <c r="DG40" s="55">
        <v>1416</v>
      </c>
      <c r="DH40" s="58">
        <v>1429</v>
      </c>
      <c r="DI40" s="55">
        <v>1455</v>
      </c>
      <c r="DJ40" s="55">
        <v>1477</v>
      </c>
      <c r="DK40" s="55">
        <v>1523</v>
      </c>
      <c r="DL40" s="55">
        <v>1555</v>
      </c>
      <c r="DM40" s="55">
        <v>1583</v>
      </c>
      <c r="DN40" s="55">
        <v>1625</v>
      </c>
      <c r="DO40" s="55">
        <v>1641</v>
      </c>
      <c r="DP40" s="55">
        <v>1662</v>
      </c>
      <c r="DQ40" s="58">
        <v>1668</v>
      </c>
      <c r="DR40" s="77">
        <v>1684</v>
      </c>
      <c r="DS40" s="55">
        <v>1703</v>
      </c>
      <c r="DT40" s="55">
        <v>1727</v>
      </c>
      <c r="DU40" s="55">
        <v>1729</v>
      </c>
      <c r="DV40" s="55">
        <v>1730</v>
      </c>
      <c r="DW40" s="55">
        <v>1768</v>
      </c>
      <c r="DX40" s="55">
        <v>1784</v>
      </c>
      <c r="DY40" s="55">
        <v>1836</v>
      </c>
      <c r="DZ40" s="55">
        <v>1867</v>
      </c>
      <c r="EA40" s="55">
        <v>1893</v>
      </c>
      <c r="EB40" s="55">
        <v>1911</v>
      </c>
      <c r="EC40" s="55">
        <v>1916</v>
      </c>
      <c r="ED40" s="77">
        <v>1960</v>
      </c>
      <c r="EE40" s="55">
        <v>1974</v>
      </c>
      <c r="EF40" s="55">
        <v>2008</v>
      </c>
      <c r="EG40" s="55">
        <v>2039</v>
      </c>
      <c r="EH40" s="55">
        <v>2092</v>
      </c>
      <c r="EI40" s="55">
        <v>2159</v>
      </c>
      <c r="EJ40" s="55">
        <v>2190</v>
      </c>
      <c r="EK40" s="55">
        <v>2256</v>
      </c>
      <c r="EL40" s="55">
        <v>2360</v>
      </c>
      <c r="EM40" s="55">
        <v>2424</v>
      </c>
      <c r="EN40" s="55">
        <v>2533</v>
      </c>
      <c r="EO40" s="55">
        <v>2577</v>
      </c>
      <c r="EP40" s="77">
        <v>2689</v>
      </c>
      <c r="EQ40" s="55">
        <v>2775</v>
      </c>
      <c r="ER40" s="55">
        <v>2873</v>
      </c>
      <c r="ES40" s="55">
        <v>2958</v>
      </c>
      <c r="ET40" s="55">
        <v>3141</v>
      </c>
      <c r="EU40" s="55">
        <v>3286</v>
      </c>
      <c r="EV40" s="55">
        <v>3422</v>
      </c>
      <c r="EW40" s="55">
        <v>3585</v>
      </c>
      <c r="EX40" s="55">
        <v>3787</v>
      </c>
      <c r="EY40" s="55">
        <v>3980</v>
      </c>
      <c r="EZ40" s="55">
        <v>4231</v>
      </c>
      <c r="FA40" s="83">
        <v>4385</v>
      </c>
      <c r="FB40" s="55">
        <v>4595</v>
      </c>
      <c r="FC40" s="55">
        <v>4776</v>
      </c>
      <c r="FD40" s="55">
        <v>4947</v>
      </c>
      <c r="FE40" s="55">
        <v>5069</v>
      </c>
      <c r="FF40" s="55">
        <v>5236</v>
      </c>
      <c r="FG40" s="55">
        <v>5407</v>
      </c>
      <c r="FH40" s="55">
        <v>5569</v>
      </c>
      <c r="FI40" s="55">
        <v>5763</v>
      </c>
      <c r="FJ40" s="55">
        <v>5945</v>
      </c>
      <c r="FK40" s="55">
        <v>6155</v>
      </c>
      <c r="FL40" s="55">
        <v>6315</v>
      </c>
      <c r="FM40" s="55">
        <v>6420</v>
      </c>
      <c r="FN40" s="77">
        <v>6530</v>
      </c>
      <c r="FO40" s="55">
        <v>6715</v>
      </c>
      <c r="FP40" s="55">
        <v>6801</v>
      </c>
      <c r="FQ40" s="55">
        <v>7007</v>
      </c>
      <c r="FR40" s="55">
        <v>7173</v>
      </c>
      <c r="FS40" s="55">
        <v>7400</v>
      </c>
      <c r="FT40" s="55">
        <v>7579</v>
      </c>
      <c r="FU40" s="55">
        <v>7785</v>
      </c>
      <c r="FV40" s="55">
        <v>7964</v>
      </c>
      <c r="FW40" s="55">
        <v>8197</v>
      </c>
      <c r="FX40" s="55">
        <v>8443</v>
      </c>
      <c r="FY40" s="55">
        <v>8533</v>
      </c>
      <c r="FZ40" s="77">
        <v>8676</v>
      </c>
      <c r="GA40" s="55">
        <v>8851</v>
      </c>
      <c r="GB40" s="55">
        <v>9072</v>
      </c>
      <c r="GC40" s="55">
        <v>9270</v>
      </c>
      <c r="GD40" s="55">
        <v>9630</v>
      </c>
      <c r="GE40" s="55">
        <v>9953</v>
      </c>
      <c r="GF40" s="55">
        <v>10173</v>
      </c>
      <c r="GG40" s="55">
        <v>10426</v>
      </c>
      <c r="GH40" s="55">
        <v>10641</v>
      </c>
      <c r="GI40" s="55">
        <v>10943</v>
      </c>
      <c r="GJ40" s="55">
        <v>11274</v>
      </c>
      <c r="GK40" s="55">
        <v>11458</v>
      </c>
      <c r="GL40" s="77">
        <v>11710</v>
      </c>
      <c r="GM40" s="55">
        <v>11971</v>
      </c>
      <c r="GN40" s="55">
        <v>12328</v>
      </c>
      <c r="GO40" s="55">
        <v>12699</v>
      </c>
      <c r="GP40" s="55">
        <v>12978</v>
      </c>
    </row>
    <row r="41" spans="1:198" s="1" customFormat="1" ht="20.149999999999999" customHeight="1" thickBot="1" x14ac:dyDescent="0.4">
      <c r="A41" s="32" t="s">
        <v>267</v>
      </c>
      <c r="B41" s="62">
        <f>SUM(B38:B40)</f>
        <v>250</v>
      </c>
      <c r="C41" s="62">
        <f t="shared" ref="C41:BN41" si="16">SUM(C38:C40)</f>
        <v>250</v>
      </c>
      <c r="D41" s="62">
        <f t="shared" si="16"/>
        <v>258</v>
      </c>
      <c r="E41" s="62">
        <f t="shared" si="16"/>
        <v>271</v>
      </c>
      <c r="F41" s="62">
        <f t="shared" si="16"/>
        <v>273</v>
      </c>
      <c r="G41" s="62">
        <f t="shared" si="16"/>
        <v>289</v>
      </c>
      <c r="H41" s="62">
        <f t="shared" si="16"/>
        <v>292</v>
      </c>
      <c r="I41" s="62">
        <f t="shared" si="16"/>
        <v>294</v>
      </c>
      <c r="J41" s="62">
        <f t="shared" si="16"/>
        <v>295</v>
      </c>
      <c r="K41" s="62">
        <f t="shared" si="16"/>
        <v>300</v>
      </c>
      <c r="L41" s="62">
        <f t="shared" si="16"/>
        <v>319</v>
      </c>
      <c r="M41" s="62">
        <f t="shared" si="16"/>
        <v>325</v>
      </c>
      <c r="N41" s="62">
        <f t="shared" si="16"/>
        <v>325</v>
      </c>
      <c r="O41" s="62">
        <f t="shared" si="16"/>
        <v>327</v>
      </c>
      <c r="P41" s="62">
        <f t="shared" si="16"/>
        <v>338</v>
      </c>
      <c r="Q41" s="62">
        <f t="shared" si="16"/>
        <v>341</v>
      </c>
      <c r="R41" s="62">
        <f t="shared" si="16"/>
        <v>354</v>
      </c>
      <c r="S41" s="62">
        <f t="shared" si="16"/>
        <v>362</v>
      </c>
      <c r="T41" s="62">
        <f t="shared" si="16"/>
        <v>366</v>
      </c>
      <c r="U41" s="62">
        <f t="shared" si="16"/>
        <v>375</v>
      </c>
      <c r="V41" s="62">
        <f t="shared" si="16"/>
        <v>401</v>
      </c>
      <c r="W41" s="62">
        <f t="shared" si="16"/>
        <v>425</v>
      </c>
      <c r="X41" s="62">
        <f t="shared" si="16"/>
        <v>461</v>
      </c>
      <c r="Y41" s="63">
        <f t="shared" si="16"/>
        <v>499</v>
      </c>
      <c r="Z41" s="62">
        <f t="shared" si="16"/>
        <v>580</v>
      </c>
      <c r="AA41" s="62">
        <f t="shared" si="16"/>
        <v>602</v>
      </c>
      <c r="AB41" s="62">
        <f t="shared" si="16"/>
        <v>658</v>
      </c>
      <c r="AC41" s="62">
        <f t="shared" si="16"/>
        <v>680</v>
      </c>
      <c r="AD41" s="62">
        <f t="shared" si="16"/>
        <v>704</v>
      </c>
      <c r="AE41" s="62">
        <f t="shared" si="16"/>
        <v>716</v>
      </c>
      <c r="AF41" s="62">
        <f t="shared" si="16"/>
        <v>759</v>
      </c>
      <c r="AG41" s="62">
        <f t="shared" si="16"/>
        <v>874</v>
      </c>
      <c r="AH41" s="62">
        <f t="shared" si="16"/>
        <v>1023</v>
      </c>
      <c r="AI41" s="62">
        <f t="shared" si="16"/>
        <v>1174</v>
      </c>
      <c r="AJ41" s="62">
        <f t="shared" si="16"/>
        <v>1334</v>
      </c>
      <c r="AK41" s="63">
        <f t="shared" si="16"/>
        <v>1459</v>
      </c>
      <c r="AL41" s="62">
        <f t="shared" si="16"/>
        <v>1665</v>
      </c>
      <c r="AM41" s="62">
        <f t="shared" si="16"/>
        <v>1843</v>
      </c>
      <c r="AN41" s="62">
        <f t="shared" si="16"/>
        <v>2020</v>
      </c>
      <c r="AO41" s="62">
        <f t="shared" si="16"/>
        <v>2176</v>
      </c>
      <c r="AP41" s="62">
        <f t="shared" si="16"/>
        <v>2399</v>
      </c>
      <c r="AQ41" s="62">
        <f t="shared" si="16"/>
        <v>2583</v>
      </c>
      <c r="AR41" s="62">
        <f t="shared" si="16"/>
        <v>2877</v>
      </c>
      <c r="AS41" s="62">
        <f t="shared" si="16"/>
        <v>3343</v>
      </c>
      <c r="AT41" s="62">
        <f t="shared" si="16"/>
        <v>3844</v>
      </c>
      <c r="AU41" s="62">
        <f t="shared" si="16"/>
        <v>4294</v>
      </c>
      <c r="AV41" s="62">
        <f t="shared" si="16"/>
        <v>4796</v>
      </c>
      <c r="AW41" s="63">
        <f t="shared" si="16"/>
        <v>5244</v>
      </c>
      <c r="AX41" s="62">
        <f t="shared" si="16"/>
        <v>5715</v>
      </c>
      <c r="AY41" s="62">
        <f t="shared" si="16"/>
        <v>7017</v>
      </c>
      <c r="AZ41" s="62">
        <f t="shared" si="16"/>
        <v>7399</v>
      </c>
      <c r="BA41" s="62">
        <f t="shared" si="16"/>
        <v>7787</v>
      </c>
      <c r="BB41" s="62">
        <f t="shared" si="16"/>
        <v>8285</v>
      </c>
      <c r="BC41" s="62">
        <f t="shared" si="16"/>
        <v>8811</v>
      </c>
      <c r="BD41" s="62">
        <f t="shared" si="16"/>
        <v>9298</v>
      </c>
      <c r="BE41" s="62">
        <f t="shared" si="16"/>
        <v>9818</v>
      </c>
      <c r="BF41" s="62">
        <f t="shared" si="16"/>
        <v>10391</v>
      </c>
      <c r="BG41" s="62">
        <f t="shared" si="16"/>
        <v>10941</v>
      </c>
      <c r="BH41" s="62">
        <f t="shared" si="16"/>
        <v>11502</v>
      </c>
      <c r="BI41" s="63">
        <f t="shared" si="16"/>
        <v>11925</v>
      </c>
      <c r="BJ41" s="62">
        <f t="shared" si="16"/>
        <v>12332</v>
      </c>
      <c r="BK41" s="62">
        <f t="shared" si="16"/>
        <v>12817</v>
      </c>
      <c r="BL41" s="62">
        <f t="shared" si="16"/>
        <v>13345</v>
      </c>
      <c r="BM41" s="62">
        <f t="shared" si="16"/>
        <v>13785</v>
      </c>
      <c r="BN41" s="62">
        <f t="shared" si="16"/>
        <v>14267</v>
      </c>
      <c r="BO41" s="62">
        <f t="shared" ref="BO41:DZ41" si="17">SUM(BO38:BO40)</f>
        <v>14772</v>
      </c>
      <c r="BP41" s="62">
        <f t="shared" si="17"/>
        <v>15266</v>
      </c>
      <c r="BQ41" s="62">
        <f t="shared" si="17"/>
        <v>16079</v>
      </c>
      <c r="BR41" s="62">
        <f t="shared" si="17"/>
        <v>17700</v>
      </c>
      <c r="BS41" s="62">
        <f t="shared" si="17"/>
        <v>18031</v>
      </c>
      <c r="BT41" s="62">
        <f t="shared" si="17"/>
        <v>18399</v>
      </c>
      <c r="BU41" s="63">
        <f t="shared" si="17"/>
        <v>18752</v>
      </c>
      <c r="BV41" s="62">
        <f t="shared" si="17"/>
        <v>19148</v>
      </c>
      <c r="BW41" s="62">
        <f t="shared" si="17"/>
        <v>19529</v>
      </c>
      <c r="BX41" s="62">
        <f t="shared" si="17"/>
        <v>19966</v>
      </c>
      <c r="BY41" s="62">
        <f t="shared" si="17"/>
        <v>20334</v>
      </c>
      <c r="BZ41" s="62">
        <f t="shared" si="17"/>
        <v>20586</v>
      </c>
      <c r="CA41" s="62">
        <f t="shared" si="17"/>
        <v>20896</v>
      </c>
      <c r="CB41" s="62">
        <f t="shared" si="17"/>
        <v>21177</v>
      </c>
      <c r="CC41" s="62">
        <f t="shared" si="17"/>
        <v>21565</v>
      </c>
      <c r="CD41" s="62">
        <f t="shared" si="17"/>
        <v>22718</v>
      </c>
      <c r="CE41" s="62">
        <f t="shared" si="17"/>
        <v>22761</v>
      </c>
      <c r="CF41" s="62">
        <f t="shared" si="17"/>
        <v>22831</v>
      </c>
      <c r="CG41" s="62">
        <f t="shared" si="17"/>
        <v>22881</v>
      </c>
      <c r="CH41" s="122">
        <f t="shared" si="17"/>
        <v>22937</v>
      </c>
      <c r="CI41" s="62">
        <f t="shared" si="17"/>
        <v>23115</v>
      </c>
      <c r="CJ41" s="62">
        <f t="shared" si="17"/>
        <v>23536</v>
      </c>
      <c r="CK41" s="62">
        <f t="shared" si="17"/>
        <v>23551</v>
      </c>
      <c r="CL41" s="62">
        <f t="shared" si="17"/>
        <v>23575</v>
      </c>
      <c r="CM41" s="62">
        <f t="shared" si="17"/>
        <v>23636</v>
      </c>
      <c r="CN41" s="62">
        <f t="shared" si="17"/>
        <v>23647</v>
      </c>
      <c r="CO41" s="62">
        <f t="shared" si="17"/>
        <v>23673</v>
      </c>
      <c r="CP41" s="62">
        <f t="shared" si="17"/>
        <v>23703</v>
      </c>
      <c r="CQ41" s="62">
        <f t="shared" si="17"/>
        <v>23736</v>
      </c>
      <c r="CR41" s="62">
        <f t="shared" si="17"/>
        <v>23792</v>
      </c>
      <c r="CS41" s="62">
        <f t="shared" si="17"/>
        <v>23809</v>
      </c>
      <c r="CT41" s="122">
        <f t="shared" si="17"/>
        <v>23827</v>
      </c>
      <c r="CU41" s="62">
        <f t="shared" si="17"/>
        <v>23869</v>
      </c>
      <c r="CV41" s="62">
        <f t="shared" si="17"/>
        <v>23922</v>
      </c>
      <c r="CW41" s="62">
        <f t="shared" si="17"/>
        <v>23956</v>
      </c>
      <c r="CX41" s="62">
        <f t="shared" si="17"/>
        <v>23973</v>
      </c>
      <c r="CY41" s="62">
        <f t="shared" si="17"/>
        <v>23997</v>
      </c>
      <c r="CZ41" s="62">
        <f t="shared" si="17"/>
        <v>24015</v>
      </c>
      <c r="DA41" s="62">
        <f t="shared" si="17"/>
        <v>24058</v>
      </c>
      <c r="DB41" s="62">
        <f t="shared" si="17"/>
        <v>24067</v>
      </c>
      <c r="DC41" s="62">
        <f t="shared" si="17"/>
        <v>24149</v>
      </c>
      <c r="DD41" s="62">
        <f t="shared" si="17"/>
        <v>24197</v>
      </c>
      <c r="DE41" s="62">
        <f t="shared" si="17"/>
        <v>24208</v>
      </c>
      <c r="DF41" s="122">
        <f t="shared" si="17"/>
        <v>24275</v>
      </c>
      <c r="DG41" s="62">
        <f t="shared" si="17"/>
        <v>24328</v>
      </c>
      <c r="DH41" s="62">
        <f t="shared" si="17"/>
        <v>24341</v>
      </c>
      <c r="DI41" s="62">
        <f t="shared" si="17"/>
        <v>24367</v>
      </c>
      <c r="DJ41" s="62">
        <f t="shared" si="17"/>
        <v>24389</v>
      </c>
      <c r="DK41" s="62">
        <f t="shared" si="17"/>
        <v>24435</v>
      </c>
      <c r="DL41" s="62">
        <f t="shared" si="17"/>
        <v>24467</v>
      </c>
      <c r="DM41" s="62">
        <f t="shared" si="17"/>
        <v>24495</v>
      </c>
      <c r="DN41" s="62">
        <f t="shared" si="17"/>
        <v>24537</v>
      </c>
      <c r="DO41" s="62">
        <f t="shared" si="17"/>
        <v>24553</v>
      </c>
      <c r="DP41" s="62">
        <f t="shared" si="17"/>
        <v>24574</v>
      </c>
      <c r="DQ41" s="62">
        <f t="shared" si="17"/>
        <v>24580</v>
      </c>
      <c r="DR41" s="122">
        <f t="shared" si="17"/>
        <v>24596</v>
      </c>
      <c r="DS41" s="62">
        <f t="shared" si="17"/>
        <v>24615</v>
      </c>
      <c r="DT41" s="62">
        <f t="shared" si="17"/>
        <v>24639</v>
      </c>
      <c r="DU41" s="62">
        <f t="shared" si="17"/>
        <v>24641</v>
      </c>
      <c r="DV41" s="62">
        <f t="shared" si="17"/>
        <v>24642</v>
      </c>
      <c r="DW41" s="62">
        <f t="shared" si="17"/>
        <v>24680</v>
      </c>
      <c r="DX41" s="62">
        <f t="shared" si="17"/>
        <v>24696</v>
      </c>
      <c r="DY41" s="62">
        <f t="shared" si="17"/>
        <v>24748</v>
      </c>
      <c r="DZ41" s="62">
        <f t="shared" si="17"/>
        <v>24779</v>
      </c>
      <c r="EA41" s="62">
        <f t="shared" ref="EA41:GL41" si="18">SUM(EA38:EA40)</f>
        <v>24805</v>
      </c>
      <c r="EB41" s="62">
        <f t="shared" si="18"/>
        <v>24823</v>
      </c>
      <c r="EC41" s="62">
        <f t="shared" si="18"/>
        <v>24828</v>
      </c>
      <c r="ED41" s="122">
        <f t="shared" si="18"/>
        <v>24872</v>
      </c>
      <c r="EE41" s="62">
        <f t="shared" si="18"/>
        <v>24886</v>
      </c>
      <c r="EF41" s="62">
        <f t="shared" si="18"/>
        <v>24920</v>
      </c>
      <c r="EG41" s="62">
        <f t="shared" si="18"/>
        <v>24951</v>
      </c>
      <c r="EH41" s="62">
        <f t="shared" si="18"/>
        <v>25004</v>
      </c>
      <c r="EI41" s="62">
        <f t="shared" si="18"/>
        <v>25071</v>
      </c>
      <c r="EJ41" s="62">
        <f t="shared" si="18"/>
        <v>25102</v>
      </c>
      <c r="EK41" s="62">
        <f t="shared" si="18"/>
        <v>25168</v>
      </c>
      <c r="EL41" s="62">
        <f t="shared" si="18"/>
        <v>25272</v>
      </c>
      <c r="EM41" s="62">
        <f t="shared" si="18"/>
        <v>25336</v>
      </c>
      <c r="EN41" s="62">
        <f t="shared" si="18"/>
        <v>25445</v>
      </c>
      <c r="EO41" s="62">
        <f t="shared" si="18"/>
        <v>25489</v>
      </c>
      <c r="EP41" s="122">
        <f t="shared" si="18"/>
        <v>25601</v>
      </c>
      <c r="EQ41" s="62">
        <f t="shared" si="18"/>
        <v>25687</v>
      </c>
      <c r="ER41" s="62">
        <f t="shared" si="18"/>
        <v>25785</v>
      </c>
      <c r="ES41" s="62">
        <f t="shared" si="18"/>
        <v>25870</v>
      </c>
      <c r="ET41" s="62">
        <f t="shared" si="18"/>
        <v>26053</v>
      </c>
      <c r="EU41" s="62">
        <f t="shared" si="18"/>
        <v>26198</v>
      </c>
      <c r="EV41" s="62">
        <f t="shared" si="18"/>
        <v>26334</v>
      </c>
      <c r="EW41" s="62">
        <f t="shared" si="18"/>
        <v>26497</v>
      </c>
      <c r="EX41" s="62">
        <f t="shared" si="18"/>
        <v>26699</v>
      </c>
      <c r="EY41" s="62">
        <f t="shared" si="18"/>
        <v>26892</v>
      </c>
      <c r="EZ41" s="62">
        <f t="shared" si="18"/>
        <v>27143</v>
      </c>
      <c r="FA41" s="127">
        <f t="shared" si="18"/>
        <v>27297</v>
      </c>
      <c r="FB41" s="62">
        <f t="shared" si="18"/>
        <v>27507</v>
      </c>
      <c r="FC41" s="62">
        <f t="shared" si="18"/>
        <v>27688</v>
      </c>
      <c r="FD41" s="62">
        <f t="shared" si="18"/>
        <v>27859</v>
      </c>
      <c r="FE41" s="62">
        <f t="shared" si="18"/>
        <v>27981</v>
      </c>
      <c r="FF41" s="62">
        <f t="shared" si="18"/>
        <v>28148</v>
      </c>
      <c r="FG41" s="62">
        <f t="shared" si="18"/>
        <v>28319</v>
      </c>
      <c r="FH41" s="62">
        <f t="shared" si="18"/>
        <v>28481</v>
      </c>
      <c r="FI41" s="62">
        <f t="shared" si="18"/>
        <v>28675</v>
      </c>
      <c r="FJ41" s="62">
        <f t="shared" si="18"/>
        <v>28857</v>
      </c>
      <c r="FK41" s="62">
        <f t="shared" si="18"/>
        <v>29067</v>
      </c>
      <c r="FL41" s="62">
        <f t="shared" si="18"/>
        <v>29227</v>
      </c>
      <c r="FM41" s="62">
        <f t="shared" si="18"/>
        <v>29332</v>
      </c>
      <c r="FN41" s="122">
        <f t="shared" si="18"/>
        <v>29442</v>
      </c>
      <c r="FO41" s="62">
        <f t="shared" si="18"/>
        <v>29627</v>
      </c>
      <c r="FP41" s="62">
        <f t="shared" si="18"/>
        <v>29713</v>
      </c>
      <c r="FQ41" s="62">
        <f t="shared" si="18"/>
        <v>29919</v>
      </c>
      <c r="FR41" s="62">
        <f t="shared" si="18"/>
        <v>30085</v>
      </c>
      <c r="FS41" s="62">
        <f t="shared" si="18"/>
        <v>30312</v>
      </c>
      <c r="FT41" s="62">
        <f t="shared" si="18"/>
        <v>30491</v>
      </c>
      <c r="FU41" s="62">
        <f t="shared" si="18"/>
        <v>30697</v>
      </c>
      <c r="FV41" s="62">
        <f t="shared" si="18"/>
        <v>30876</v>
      </c>
      <c r="FW41" s="62">
        <f t="shared" si="18"/>
        <v>31109</v>
      </c>
      <c r="FX41" s="62">
        <f t="shared" si="18"/>
        <v>31355</v>
      </c>
      <c r="FY41" s="62">
        <f t="shared" si="18"/>
        <v>31445</v>
      </c>
      <c r="FZ41" s="122">
        <f t="shared" si="18"/>
        <v>31588</v>
      </c>
      <c r="GA41" s="62">
        <f t="shared" si="18"/>
        <v>31763</v>
      </c>
      <c r="GB41" s="62">
        <f t="shared" si="18"/>
        <v>31984</v>
      </c>
      <c r="GC41" s="62">
        <f t="shared" si="18"/>
        <v>32182</v>
      </c>
      <c r="GD41" s="62">
        <f t="shared" si="18"/>
        <v>32542</v>
      </c>
      <c r="GE41" s="62">
        <f t="shared" si="18"/>
        <v>32865</v>
      </c>
      <c r="GF41" s="62">
        <f t="shared" si="18"/>
        <v>33085</v>
      </c>
      <c r="GG41" s="62">
        <f t="shared" si="18"/>
        <v>33338</v>
      </c>
      <c r="GH41" s="62">
        <f t="shared" si="18"/>
        <v>33553</v>
      </c>
      <c r="GI41" s="62">
        <f t="shared" si="18"/>
        <v>33855</v>
      </c>
      <c r="GJ41" s="62">
        <f t="shared" si="18"/>
        <v>34186</v>
      </c>
      <c r="GK41" s="62">
        <f t="shared" si="18"/>
        <v>34370</v>
      </c>
      <c r="GL41" s="122">
        <f t="shared" si="18"/>
        <v>34622</v>
      </c>
      <c r="GM41" s="62">
        <f t="shared" ref="GM41:GP41" si="19">SUM(GM38:GM40)</f>
        <v>34883</v>
      </c>
      <c r="GN41" s="62">
        <f t="shared" si="19"/>
        <v>35240</v>
      </c>
      <c r="GO41" s="62">
        <f t="shared" si="19"/>
        <v>35611</v>
      </c>
      <c r="GP41" s="62">
        <f t="shared" si="19"/>
        <v>35890</v>
      </c>
    </row>
    <row r="42" spans="1:198" s="1" customFormat="1" ht="20.149999999999999" customHeight="1" thickTop="1" x14ac:dyDescent="0.35">
      <c r="A42" s="26" t="s">
        <v>269</v>
      </c>
      <c r="B42" s="55"/>
      <c r="C42" s="55"/>
      <c r="D42" s="55"/>
      <c r="E42" s="55"/>
      <c r="F42" s="55"/>
      <c r="G42" s="55"/>
      <c r="H42" s="55"/>
      <c r="I42" s="55"/>
      <c r="J42" s="55"/>
      <c r="K42" s="55"/>
      <c r="L42" s="55"/>
      <c r="M42" s="56"/>
      <c r="N42" s="57"/>
      <c r="O42" s="55"/>
      <c r="P42" s="55"/>
      <c r="Q42" s="55"/>
      <c r="R42" s="55"/>
      <c r="S42" s="55"/>
      <c r="T42" s="55"/>
      <c r="U42" s="55"/>
      <c r="V42" s="55"/>
      <c r="W42" s="55"/>
      <c r="X42" s="55"/>
      <c r="Y42" s="56"/>
      <c r="Z42" s="55"/>
      <c r="AA42" s="55"/>
      <c r="AB42" s="55"/>
      <c r="AC42" s="55"/>
      <c r="AD42" s="55"/>
      <c r="AE42" s="55"/>
      <c r="AF42" s="55"/>
      <c r="AG42" s="55"/>
      <c r="AH42" s="55"/>
      <c r="AI42" s="55"/>
      <c r="AJ42" s="55"/>
      <c r="AK42" s="56"/>
      <c r="AL42" s="55"/>
      <c r="AM42" s="55"/>
      <c r="AN42" s="55"/>
      <c r="AO42" s="55"/>
      <c r="AP42" s="55"/>
      <c r="AQ42" s="55"/>
      <c r="AR42" s="55"/>
      <c r="AS42" s="55"/>
      <c r="AT42" s="55"/>
      <c r="AU42" s="55"/>
      <c r="AV42" s="55"/>
      <c r="AW42" s="56"/>
      <c r="AX42" s="55"/>
      <c r="AY42" s="55"/>
      <c r="AZ42" s="55"/>
      <c r="BA42" s="55"/>
      <c r="BB42" s="55"/>
      <c r="BC42" s="55"/>
      <c r="BD42" s="55"/>
      <c r="BE42" s="55"/>
      <c r="BF42" s="55"/>
      <c r="BG42" s="55"/>
      <c r="BH42" s="55"/>
      <c r="BI42" s="56"/>
      <c r="BJ42" s="55"/>
      <c r="BK42" s="55"/>
      <c r="BL42" s="55"/>
      <c r="BM42" s="55"/>
      <c r="BN42" s="55"/>
      <c r="BO42" s="55"/>
      <c r="BP42" s="55"/>
      <c r="BQ42" s="55"/>
      <c r="BR42" s="55"/>
      <c r="BS42" s="55"/>
      <c r="BT42" s="55"/>
      <c r="BU42" s="56"/>
      <c r="BV42" s="55"/>
      <c r="BW42" s="55"/>
      <c r="BX42" s="55"/>
      <c r="BY42" s="55"/>
      <c r="BZ42" s="55"/>
      <c r="CA42" s="55"/>
      <c r="CB42" s="55"/>
      <c r="CC42" s="55"/>
      <c r="CD42" s="55"/>
      <c r="CE42" s="55"/>
      <c r="CF42" s="55"/>
      <c r="CG42" s="121"/>
      <c r="CH42" s="77"/>
      <c r="CI42" s="55"/>
      <c r="CJ42" s="55"/>
      <c r="CK42" s="55"/>
      <c r="CL42" s="55"/>
      <c r="CM42" s="55"/>
      <c r="CN42" s="55"/>
      <c r="CO42" s="55"/>
      <c r="CP42" s="55"/>
      <c r="CQ42" s="55"/>
      <c r="CR42" s="55"/>
      <c r="CS42" s="121"/>
      <c r="CT42" s="77"/>
      <c r="CU42" s="55"/>
      <c r="CV42" s="55"/>
      <c r="CW42" s="55"/>
      <c r="CX42" s="55"/>
      <c r="CY42" s="55"/>
      <c r="CZ42" s="55"/>
      <c r="DA42" s="55"/>
      <c r="DB42" s="55"/>
      <c r="DC42" s="55"/>
      <c r="DD42" s="55"/>
      <c r="DE42" s="121"/>
      <c r="DF42" s="77"/>
      <c r="DG42" s="55"/>
      <c r="DH42" s="55"/>
      <c r="DI42" s="55"/>
      <c r="DJ42" s="55"/>
      <c r="DK42" s="55"/>
      <c r="DL42" s="55"/>
      <c r="DM42" s="55"/>
      <c r="DN42" s="55"/>
      <c r="DO42" s="55"/>
      <c r="DP42" s="55"/>
      <c r="DQ42" s="121"/>
      <c r="DR42" s="77"/>
      <c r="DS42" s="55"/>
      <c r="DT42" s="123"/>
      <c r="DU42" s="123"/>
      <c r="DV42" s="123"/>
      <c r="DW42" s="123"/>
      <c r="DX42" s="123"/>
      <c r="DY42" s="123"/>
      <c r="DZ42" s="123"/>
      <c r="EA42" s="123"/>
      <c r="EB42" s="123"/>
      <c r="EC42" s="123"/>
      <c r="ED42" s="77"/>
      <c r="EE42" s="55"/>
      <c r="EF42" s="123"/>
      <c r="EG42" s="123"/>
      <c r="EH42" s="123"/>
      <c r="EI42" s="123"/>
      <c r="EJ42" s="123"/>
      <c r="EK42" s="123"/>
      <c r="EL42" s="123"/>
      <c r="EM42" s="123"/>
      <c r="EN42" s="123"/>
      <c r="EO42" s="123"/>
      <c r="EP42" s="77"/>
      <c r="EQ42" s="55"/>
      <c r="ER42" s="123"/>
      <c r="ES42" s="123"/>
      <c r="ET42" s="123"/>
      <c r="EU42" s="123"/>
      <c r="EV42" s="123"/>
      <c r="EW42" s="123"/>
      <c r="EX42" s="123"/>
      <c r="EY42" s="123"/>
      <c r="EZ42" s="123"/>
      <c r="FA42" s="133"/>
      <c r="FB42" s="123"/>
      <c r="FC42" s="123"/>
      <c r="FD42" s="123"/>
      <c r="FE42" s="123"/>
      <c r="FF42" s="123"/>
      <c r="FG42" s="123"/>
      <c r="FH42" s="123"/>
      <c r="FI42" s="123"/>
      <c r="FJ42" s="123"/>
      <c r="FK42" s="123"/>
      <c r="FL42" s="123"/>
      <c r="FM42" s="123"/>
      <c r="FN42" s="172"/>
      <c r="FO42" s="123"/>
      <c r="FP42" s="123"/>
      <c r="FQ42" s="123"/>
      <c r="FR42" s="123"/>
      <c r="FS42" s="123"/>
      <c r="FT42" s="123"/>
      <c r="FU42" s="123"/>
      <c r="FV42" s="123"/>
      <c r="FW42" s="126"/>
      <c r="FX42" s="126"/>
      <c r="FY42" s="126"/>
      <c r="FZ42" s="167"/>
      <c r="GA42" s="123"/>
      <c r="GB42" s="123"/>
      <c r="GC42" s="123"/>
      <c r="GD42" s="123"/>
      <c r="GE42" s="123"/>
      <c r="GF42" s="123"/>
      <c r="GG42" s="126"/>
      <c r="GH42" s="126"/>
      <c r="GI42" s="126"/>
      <c r="GJ42" s="126"/>
      <c r="GK42" s="126"/>
      <c r="GL42" s="167"/>
      <c r="GM42" s="123"/>
      <c r="GN42" s="123"/>
      <c r="GO42" s="123"/>
      <c r="GP42" s="123"/>
    </row>
    <row r="43" spans="1:198" s="1" customFormat="1" ht="20.149999999999999" customHeight="1" x14ac:dyDescent="0.35">
      <c r="A43" s="31" t="s">
        <v>277</v>
      </c>
      <c r="B43" s="55">
        <v>1</v>
      </c>
      <c r="C43" s="55">
        <v>1</v>
      </c>
      <c r="D43" s="55">
        <v>1</v>
      </c>
      <c r="E43" s="55">
        <v>2</v>
      </c>
      <c r="F43" s="55">
        <v>4</v>
      </c>
      <c r="G43" s="55">
        <v>6</v>
      </c>
      <c r="H43" s="55">
        <v>7</v>
      </c>
      <c r="I43" s="55">
        <v>9</v>
      </c>
      <c r="J43" s="55">
        <v>12</v>
      </c>
      <c r="K43" s="55">
        <v>13</v>
      </c>
      <c r="L43" s="55">
        <v>16</v>
      </c>
      <c r="M43" s="56">
        <v>20</v>
      </c>
      <c r="N43" s="57">
        <v>21</v>
      </c>
      <c r="O43" s="55">
        <v>23</v>
      </c>
      <c r="P43" s="55">
        <v>29</v>
      </c>
      <c r="Q43" s="55">
        <v>35</v>
      </c>
      <c r="R43" s="55">
        <v>40</v>
      </c>
      <c r="S43" s="55">
        <v>51</v>
      </c>
      <c r="T43" s="55">
        <v>100</v>
      </c>
      <c r="U43" s="55">
        <v>109</v>
      </c>
      <c r="V43" s="55">
        <v>121</v>
      </c>
      <c r="W43" s="55">
        <v>135</v>
      </c>
      <c r="X43" s="55">
        <v>174</v>
      </c>
      <c r="Y43" s="56">
        <v>232</v>
      </c>
      <c r="Z43" s="55">
        <v>232</v>
      </c>
      <c r="AA43" s="55">
        <v>253</v>
      </c>
      <c r="AB43" s="55">
        <v>267</v>
      </c>
      <c r="AC43" s="55">
        <v>267</v>
      </c>
      <c r="AD43" s="55">
        <v>271</v>
      </c>
      <c r="AE43" s="55">
        <v>273</v>
      </c>
      <c r="AF43" s="55">
        <v>300</v>
      </c>
      <c r="AG43" s="55">
        <v>300</v>
      </c>
      <c r="AH43" s="55">
        <v>300</v>
      </c>
      <c r="AI43" s="55">
        <v>301</v>
      </c>
      <c r="AJ43" s="55">
        <v>304</v>
      </c>
      <c r="AK43" s="56">
        <v>304</v>
      </c>
      <c r="AL43" s="55">
        <v>304</v>
      </c>
      <c r="AM43" s="55">
        <v>304</v>
      </c>
      <c r="AN43" s="55">
        <v>305</v>
      </c>
      <c r="AO43" s="55">
        <v>313</v>
      </c>
      <c r="AP43" s="55">
        <v>315</v>
      </c>
      <c r="AQ43" s="55">
        <v>316</v>
      </c>
      <c r="AR43" s="55">
        <v>320</v>
      </c>
      <c r="AS43" s="55">
        <v>323</v>
      </c>
      <c r="AT43" s="55">
        <v>328</v>
      </c>
      <c r="AU43" s="55">
        <v>332</v>
      </c>
      <c r="AV43" s="55">
        <v>333</v>
      </c>
      <c r="AW43" s="56">
        <v>335</v>
      </c>
      <c r="AX43" s="55">
        <v>335</v>
      </c>
      <c r="AY43" s="55">
        <v>337</v>
      </c>
      <c r="AZ43" s="55">
        <v>342</v>
      </c>
      <c r="BA43" s="55">
        <v>343</v>
      </c>
      <c r="BB43" s="55">
        <v>348</v>
      </c>
      <c r="BC43" s="55">
        <v>354</v>
      </c>
      <c r="BD43" s="55">
        <v>357</v>
      </c>
      <c r="BE43" s="55">
        <v>361</v>
      </c>
      <c r="BF43" s="55">
        <v>364</v>
      </c>
      <c r="BG43" s="55">
        <v>369</v>
      </c>
      <c r="BH43" s="55">
        <v>372</v>
      </c>
      <c r="BI43" s="56">
        <v>379</v>
      </c>
      <c r="BJ43" s="55">
        <v>379</v>
      </c>
      <c r="BK43" s="55">
        <v>382</v>
      </c>
      <c r="BL43" s="55">
        <v>393</v>
      </c>
      <c r="BM43" s="55">
        <v>395</v>
      </c>
      <c r="BN43" s="55">
        <v>399</v>
      </c>
      <c r="BO43" s="55">
        <v>409</v>
      </c>
      <c r="BP43" s="55">
        <v>412</v>
      </c>
      <c r="BQ43" s="55">
        <v>415</v>
      </c>
      <c r="BR43" s="55">
        <v>425</v>
      </c>
      <c r="BS43" s="55">
        <v>435</v>
      </c>
      <c r="BT43" s="55">
        <v>448</v>
      </c>
      <c r="BU43" s="56">
        <v>525</v>
      </c>
      <c r="BV43" s="55">
        <v>527</v>
      </c>
      <c r="BW43" s="55">
        <v>529</v>
      </c>
      <c r="BX43" s="55">
        <v>532</v>
      </c>
      <c r="BY43" s="55">
        <v>532</v>
      </c>
      <c r="BZ43" s="55">
        <v>535</v>
      </c>
      <c r="CA43" s="55">
        <v>564</v>
      </c>
      <c r="CB43" s="55">
        <v>564</v>
      </c>
      <c r="CC43" s="55">
        <v>567</v>
      </c>
      <c r="CD43" s="55">
        <v>569</v>
      </c>
      <c r="CE43" s="55">
        <v>569</v>
      </c>
      <c r="CF43" s="55">
        <v>570</v>
      </c>
      <c r="CG43" s="121">
        <v>570</v>
      </c>
      <c r="CH43" s="77">
        <v>571</v>
      </c>
      <c r="CI43" s="55">
        <v>571</v>
      </c>
      <c r="CJ43" s="55">
        <v>573</v>
      </c>
      <c r="CK43" s="55">
        <v>573</v>
      </c>
      <c r="CL43" s="55">
        <v>574</v>
      </c>
      <c r="CM43" s="55">
        <v>574</v>
      </c>
      <c r="CN43" s="55">
        <v>575</v>
      </c>
      <c r="CO43" s="55">
        <v>575</v>
      </c>
      <c r="CP43" s="55">
        <v>575</v>
      </c>
      <c r="CQ43" s="55">
        <v>575</v>
      </c>
      <c r="CR43" s="55">
        <v>575</v>
      </c>
      <c r="CS43" s="121">
        <v>575</v>
      </c>
      <c r="CT43" s="77">
        <v>576</v>
      </c>
      <c r="CU43" s="55">
        <v>576</v>
      </c>
      <c r="CV43" s="55">
        <v>576</v>
      </c>
      <c r="CW43" s="55">
        <v>576</v>
      </c>
      <c r="CX43" s="55">
        <v>576</v>
      </c>
      <c r="CY43" s="55">
        <v>576</v>
      </c>
      <c r="CZ43" s="55">
        <v>576</v>
      </c>
      <c r="DA43" s="55">
        <v>576</v>
      </c>
      <c r="DB43" s="55">
        <v>576</v>
      </c>
      <c r="DC43" s="55">
        <v>576</v>
      </c>
      <c r="DD43" s="55">
        <v>576</v>
      </c>
      <c r="DE43" s="121">
        <v>576</v>
      </c>
      <c r="DF43" s="77">
        <v>576</v>
      </c>
      <c r="DG43" s="55">
        <v>576</v>
      </c>
      <c r="DH43" s="55">
        <v>576</v>
      </c>
      <c r="DI43" s="55">
        <v>576</v>
      </c>
      <c r="DJ43" s="55">
        <v>576</v>
      </c>
      <c r="DK43" s="55">
        <v>576</v>
      </c>
      <c r="DL43" s="55">
        <v>576</v>
      </c>
      <c r="DM43" s="55">
        <v>576</v>
      </c>
      <c r="DN43" s="55">
        <v>576</v>
      </c>
      <c r="DO43" s="55">
        <v>576</v>
      </c>
      <c r="DP43" s="55">
        <v>576</v>
      </c>
      <c r="DQ43" s="121">
        <v>576</v>
      </c>
      <c r="DR43" s="77">
        <v>576</v>
      </c>
      <c r="DS43" s="55">
        <v>576</v>
      </c>
      <c r="DT43" s="55">
        <v>576</v>
      </c>
      <c r="DU43" s="55">
        <v>576</v>
      </c>
      <c r="DV43" s="55">
        <v>576</v>
      </c>
      <c r="DW43" s="55">
        <v>576</v>
      </c>
      <c r="DX43" s="55">
        <v>576</v>
      </c>
      <c r="DY43" s="55">
        <v>576</v>
      </c>
      <c r="DZ43" s="55">
        <v>576</v>
      </c>
      <c r="EA43" s="55">
        <v>576</v>
      </c>
      <c r="EB43" s="55">
        <v>576</v>
      </c>
      <c r="EC43" s="55">
        <v>576</v>
      </c>
      <c r="ED43" s="77">
        <v>576</v>
      </c>
      <c r="EE43" s="55">
        <v>576</v>
      </c>
      <c r="EF43" s="55">
        <v>576</v>
      </c>
      <c r="EG43" s="55">
        <v>576</v>
      </c>
      <c r="EH43" s="55">
        <v>576</v>
      </c>
      <c r="EI43" s="55">
        <v>576</v>
      </c>
      <c r="EJ43" s="55">
        <v>576</v>
      </c>
      <c r="EK43" s="55">
        <v>576</v>
      </c>
      <c r="EL43" s="55">
        <v>576</v>
      </c>
      <c r="EM43" s="55">
        <v>576</v>
      </c>
      <c r="EN43" s="55">
        <v>576</v>
      </c>
      <c r="EO43" s="55">
        <v>576</v>
      </c>
      <c r="EP43" s="77">
        <v>576</v>
      </c>
      <c r="EQ43" s="55">
        <v>576</v>
      </c>
      <c r="ER43" s="55">
        <v>576</v>
      </c>
      <c r="ES43" s="55">
        <v>576</v>
      </c>
      <c r="ET43" s="55">
        <v>576</v>
      </c>
      <c r="EU43" s="55">
        <v>576</v>
      </c>
      <c r="EV43" s="55">
        <v>576</v>
      </c>
      <c r="EW43" s="55">
        <v>576</v>
      </c>
      <c r="EX43" s="55">
        <v>576</v>
      </c>
      <c r="EY43" s="55">
        <v>576</v>
      </c>
      <c r="EZ43" s="55">
        <v>576</v>
      </c>
      <c r="FA43" s="83">
        <v>576</v>
      </c>
      <c r="FB43" s="55">
        <v>576</v>
      </c>
      <c r="FC43" s="55">
        <v>576</v>
      </c>
      <c r="FD43" s="55">
        <v>576</v>
      </c>
      <c r="FE43" s="55">
        <v>576</v>
      </c>
      <c r="FF43" s="55">
        <v>576</v>
      </c>
      <c r="FG43" s="55">
        <v>576</v>
      </c>
      <c r="FH43" s="55">
        <v>576</v>
      </c>
      <c r="FI43" s="55">
        <v>576</v>
      </c>
      <c r="FJ43" s="55">
        <v>576</v>
      </c>
      <c r="FK43" s="55">
        <v>576</v>
      </c>
      <c r="FL43" s="55">
        <v>576</v>
      </c>
      <c r="FM43" s="55">
        <v>576</v>
      </c>
      <c r="FN43" s="69">
        <v>576</v>
      </c>
      <c r="FO43" s="55">
        <v>576</v>
      </c>
      <c r="FP43" s="55">
        <v>576</v>
      </c>
      <c r="FQ43" s="55">
        <v>576</v>
      </c>
      <c r="FR43" s="55">
        <v>576</v>
      </c>
      <c r="FS43" s="55">
        <v>576</v>
      </c>
      <c r="FT43" s="55">
        <v>576</v>
      </c>
      <c r="FU43" s="55">
        <v>576</v>
      </c>
      <c r="FV43" s="55">
        <v>576</v>
      </c>
      <c r="FW43" s="55">
        <v>576</v>
      </c>
      <c r="FX43" s="55">
        <v>576</v>
      </c>
      <c r="FY43" s="55">
        <v>576</v>
      </c>
      <c r="FZ43" s="77">
        <v>576</v>
      </c>
      <c r="GA43" s="55">
        <v>576</v>
      </c>
      <c r="GB43" s="55">
        <v>576</v>
      </c>
      <c r="GC43" s="55">
        <v>576</v>
      </c>
      <c r="GD43" s="55">
        <v>576</v>
      </c>
      <c r="GE43" s="55">
        <v>576</v>
      </c>
      <c r="GF43" s="55">
        <v>576</v>
      </c>
      <c r="GG43" s="55">
        <v>576</v>
      </c>
      <c r="GH43" s="55">
        <v>576</v>
      </c>
      <c r="GI43" s="55">
        <v>576</v>
      </c>
      <c r="GJ43" s="55">
        <v>576</v>
      </c>
      <c r="GK43" s="55">
        <v>576</v>
      </c>
      <c r="GL43" s="77">
        <v>576</v>
      </c>
      <c r="GM43" s="55">
        <v>576</v>
      </c>
      <c r="GN43" s="55">
        <v>576</v>
      </c>
      <c r="GO43" s="55">
        <v>576</v>
      </c>
      <c r="GP43" s="55">
        <v>576</v>
      </c>
    </row>
    <row r="44" spans="1:198" s="1" customFormat="1" ht="20.149999999999999" customHeight="1" x14ac:dyDescent="0.35">
      <c r="A44" s="31" t="s">
        <v>278</v>
      </c>
      <c r="B44" s="55">
        <v>4514</v>
      </c>
      <c r="C44" s="55">
        <v>4935</v>
      </c>
      <c r="D44" s="55">
        <v>5722</v>
      </c>
      <c r="E44" s="55">
        <v>6629</v>
      </c>
      <c r="F44" s="55">
        <v>7969</v>
      </c>
      <c r="G44" s="55">
        <v>9669</v>
      </c>
      <c r="H44" s="55">
        <v>11684</v>
      </c>
      <c r="I44" s="55">
        <v>13756</v>
      </c>
      <c r="J44" s="55">
        <v>16352</v>
      </c>
      <c r="K44" s="55">
        <v>19451</v>
      </c>
      <c r="L44" s="55">
        <v>23006</v>
      </c>
      <c r="M44" s="56">
        <v>25679</v>
      </c>
      <c r="N44" s="57">
        <v>29353</v>
      </c>
      <c r="O44" s="55">
        <v>33531</v>
      </c>
      <c r="P44" s="55">
        <v>39806</v>
      </c>
      <c r="Q44" s="55">
        <v>45757</v>
      </c>
      <c r="R44" s="55">
        <v>52706</v>
      </c>
      <c r="S44" s="55">
        <v>61789</v>
      </c>
      <c r="T44" s="55">
        <v>72569</v>
      </c>
      <c r="U44" s="55">
        <v>86110</v>
      </c>
      <c r="V44" s="55">
        <v>102766</v>
      </c>
      <c r="W44" s="55">
        <v>122214</v>
      </c>
      <c r="X44" s="55">
        <v>177201</v>
      </c>
      <c r="Y44" s="56">
        <v>220906</v>
      </c>
      <c r="Z44" s="55">
        <v>228759</v>
      </c>
      <c r="AA44" s="55">
        <v>270860</v>
      </c>
      <c r="AB44" s="55">
        <v>296105</v>
      </c>
      <c r="AC44" s="55">
        <v>300920</v>
      </c>
      <c r="AD44" s="55">
        <v>310590</v>
      </c>
      <c r="AE44" s="55">
        <v>322955</v>
      </c>
      <c r="AF44" s="55">
        <v>348058</v>
      </c>
      <c r="AG44" s="55">
        <v>351434</v>
      </c>
      <c r="AH44" s="55">
        <v>356039</v>
      </c>
      <c r="AI44" s="55">
        <v>366026</v>
      </c>
      <c r="AJ44" s="55">
        <v>371121</v>
      </c>
      <c r="AK44" s="56">
        <v>376576</v>
      </c>
      <c r="AL44" s="55">
        <v>382385</v>
      </c>
      <c r="AM44" s="55">
        <v>388819</v>
      </c>
      <c r="AN44" s="55">
        <v>396070</v>
      </c>
      <c r="AO44" s="55">
        <v>403745</v>
      </c>
      <c r="AP44" s="55">
        <v>411704</v>
      </c>
      <c r="AQ44" s="55">
        <v>423647</v>
      </c>
      <c r="AR44" s="55">
        <v>429727</v>
      </c>
      <c r="AS44" s="55">
        <v>436992</v>
      </c>
      <c r="AT44" s="55">
        <v>444656</v>
      </c>
      <c r="AU44" s="55">
        <v>452815</v>
      </c>
      <c r="AV44" s="55">
        <v>462068</v>
      </c>
      <c r="AW44" s="56">
        <v>469931</v>
      </c>
      <c r="AX44" s="55">
        <v>477545</v>
      </c>
      <c r="AY44" s="55">
        <v>485833</v>
      </c>
      <c r="AZ44" s="55">
        <v>500523</v>
      </c>
      <c r="BA44" s="55">
        <v>507950</v>
      </c>
      <c r="BB44" s="55">
        <v>516133</v>
      </c>
      <c r="BC44" s="55">
        <v>525194</v>
      </c>
      <c r="BD44" s="55">
        <v>535413</v>
      </c>
      <c r="BE44" s="55">
        <v>545292</v>
      </c>
      <c r="BF44" s="55">
        <v>556906</v>
      </c>
      <c r="BG44" s="55">
        <v>568962</v>
      </c>
      <c r="BH44" s="55">
        <v>580568</v>
      </c>
      <c r="BI44" s="56">
        <v>592852</v>
      </c>
      <c r="BJ44" s="55">
        <v>600256</v>
      </c>
      <c r="BK44" s="55">
        <v>609407</v>
      </c>
      <c r="BL44" s="55">
        <v>624372</v>
      </c>
      <c r="BM44" s="55">
        <v>634058</v>
      </c>
      <c r="BN44" s="55">
        <v>644267</v>
      </c>
      <c r="BO44" s="55">
        <v>659339</v>
      </c>
      <c r="BP44" s="55">
        <v>669453</v>
      </c>
      <c r="BQ44" s="55">
        <v>679698</v>
      </c>
      <c r="BR44" s="55">
        <v>697193</v>
      </c>
      <c r="BS44" s="55">
        <v>712179</v>
      </c>
      <c r="BT44" s="55">
        <v>731856</v>
      </c>
      <c r="BU44" s="56">
        <v>755784</v>
      </c>
      <c r="BV44" s="55">
        <v>768751</v>
      </c>
      <c r="BW44" s="55">
        <v>770993</v>
      </c>
      <c r="BX44" s="55">
        <v>774078</v>
      </c>
      <c r="BY44" s="55">
        <v>776278</v>
      </c>
      <c r="BZ44" s="55">
        <v>778623</v>
      </c>
      <c r="CA44" s="55">
        <v>781386</v>
      </c>
      <c r="CB44" s="55">
        <v>783496</v>
      </c>
      <c r="CC44" s="55">
        <v>785565</v>
      </c>
      <c r="CD44" s="55">
        <v>787947</v>
      </c>
      <c r="CE44" s="55">
        <v>789689</v>
      </c>
      <c r="CF44" s="55">
        <v>791695</v>
      </c>
      <c r="CG44" s="121">
        <v>793381</v>
      </c>
      <c r="CH44" s="77">
        <v>794752</v>
      </c>
      <c r="CI44" s="55">
        <v>796340</v>
      </c>
      <c r="CJ44" s="55">
        <v>798577</v>
      </c>
      <c r="CK44" s="55">
        <v>800120</v>
      </c>
      <c r="CL44" s="55">
        <v>802056</v>
      </c>
      <c r="CM44" s="55">
        <v>804005</v>
      </c>
      <c r="CN44" s="55">
        <v>805738</v>
      </c>
      <c r="CO44" s="55">
        <v>807771</v>
      </c>
      <c r="CP44" s="55">
        <v>809794</v>
      </c>
      <c r="CQ44" s="55">
        <v>811619</v>
      </c>
      <c r="CR44" s="55">
        <v>813753</v>
      </c>
      <c r="CS44" s="121">
        <v>815294</v>
      </c>
      <c r="CT44" s="77">
        <v>816891</v>
      </c>
      <c r="CU44" s="55">
        <v>818417</v>
      </c>
      <c r="CV44" s="55">
        <v>820375</v>
      </c>
      <c r="CW44" s="55">
        <v>822120</v>
      </c>
      <c r="CX44" s="55">
        <v>824079</v>
      </c>
      <c r="CY44" s="55">
        <v>826199</v>
      </c>
      <c r="CZ44" s="55">
        <v>828129</v>
      </c>
      <c r="DA44" s="55">
        <v>830346</v>
      </c>
      <c r="DB44" s="55">
        <v>832823</v>
      </c>
      <c r="DC44" s="55">
        <v>835502</v>
      </c>
      <c r="DD44" s="55">
        <v>838522</v>
      </c>
      <c r="DE44" s="121">
        <v>841222</v>
      </c>
      <c r="DF44" s="77">
        <v>844880</v>
      </c>
      <c r="DG44" s="55">
        <v>849275</v>
      </c>
      <c r="DH44" s="55">
        <v>859362</v>
      </c>
      <c r="DI44" s="55">
        <v>859380</v>
      </c>
      <c r="DJ44" s="55">
        <v>859392</v>
      </c>
      <c r="DK44" s="55">
        <v>859406</v>
      </c>
      <c r="DL44" s="55">
        <v>859421</v>
      </c>
      <c r="DM44" s="55">
        <v>859448</v>
      </c>
      <c r="DN44" s="55">
        <v>859478</v>
      </c>
      <c r="DO44" s="55">
        <v>859490</v>
      </c>
      <c r="DP44" s="55">
        <v>859505</v>
      </c>
      <c r="DQ44" s="121">
        <v>859518</v>
      </c>
      <c r="DR44" s="77">
        <v>859542</v>
      </c>
      <c r="DS44" s="55">
        <v>859574</v>
      </c>
      <c r="DT44" s="55">
        <v>859658</v>
      </c>
      <c r="DU44" s="55">
        <v>859658</v>
      </c>
      <c r="DV44" s="55">
        <v>859658</v>
      </c>
      <c r="DW44" s="55">
        <v>859659</v>
      </c>
      <c r="DX44" s="55">
        <v>859660</v>
      </c>
      <c r="DY44" s="55">
        <v>859666</v>
      </c>
      <c r="DZ44" s="55">
        <v>859672</v>
      </c>
      <c r="EA44" s="55">
        <v>859673</v>
      </c>
      <c r="EB44" s="55">
        <v>859673</v>
      </c>
      <c r="EC44" s="55">
        <v>859675</v>
      </c>
      <c r="ED44" s="77">
        <v>859676</v>
      </c>
      <c r="EE44" s="55">
        <v>859676</v>
      </c>
      <c r="EF44" s="55">
        <v>859676</v>
      </c>
      <c r="EG44" s="55">
        <v>859676</v>
      </c>
      <c r="EH44" s="55">
        <v>859676</v>
      </c>
      <c r="EI44" s="55">
        <v>859676</v>
      </c>
      <c r="EJ44" s="55">
        <v>859676</v>
      </c>
      <c r="EK44" s="55">
        <v>859676</v>
      </c>
      <c r="EL44" s="55">
        <v>859676</v>
      </c>
      <c r="EM44" s="55">
        <v>859676</v>
      </c>
      <c r="EN44" s="55">
        <v>859676</v>
      </c>
      <c r="EO44" s="55">
        <v>859676</v>
      </c>
      <c r="EP44" s="77">
        <v>859676</v>
      </c>
      <c r="EQ44" s="55">
        <v>859676</v>
      </c>
      <c r="ER44" s="55">
        <v>859676</v>
      </c>
      <c r="ES44" s="55">
        <v>859676</v>
      </c>
      <c r="ET44" s="55">
        <v>859676</v>
      </c>
      <c r="EU44" s="55">
        <v>859676</v>
      </c>
      <c r="EV44" s="55">
        <v>859676</v>
      </c>
      <c r="EW44" s="55">
        <v>859676</v>
      </c>
      <c r="EX44" s="55">
        <v>859676</v>
      </c>
      <c r="EY44" s="55">
        <v>859676</v>
      </c>
      <c r="EZ44" s="55">
        <v>859676</v>
      </c>
      <c r="FA44" s="83">
        <v>859676</v>
      </c>
      <c r="FB44" s="55">
        <v>859676</v>
      </c>
      <c r="FC44" s="55">
        <v>859676</v>
      </c>
      <c r="FD44" s="55">
        <v>859676</v>
      </c>
      <c r="FE44" s="55">
        <v>859676</v>
      </c>
      <c r="FF44" s="55">
        <v>859676</v>
      </c>
      <c r="FG44" s="55">
        <v>859676</v>
      </c>
      <c r="FH44" s="55">
        <v>859676</v>
      </c>
      <c r="FI44" s="55">
        <v>859676</v>
      </c>
      <c r="FJ44" s="55">
        <v>859676</v>
      </c>
      <c r="FK44" s="55">
        <v>859676</v>
      </c>
      <c r="FL44" s="55">
        <v>859676</v>
      </c>
      <c r="FM44" s="55">
        <v>859676</v>
      </c>
      <c r="FN44" s="69">
        <v>859676</v>
      </c>
      <c r="FO44" s="55">
        <v>859676</v>
      </c>
      <c r="FP44" s="55">
        <v>859676</v>
      </c>
      <c r="FQ44" s="55">
        <v>859676</v>
      </c>
      <c r="FR44" s="55">
        <v>859676</v>
      </c>
      <c r="FS44" s="55">
        <v>859676</v>
      </c>
      <c r="FT44" s="55">
        <v>859676</v>
      </c>
      <c r="FU44" s="55">
        <v>859676</v>
      </c>
      <c r="FV44" s="55">
        <v>859676</v>
      </c>
      <c r="FW44" s="55">
        <v>859676</v>
      </c>
      <c r="FX44" s="55">
        <v>859676</v>
      </c>
      <c r="FY44" s="55">
        <v>859676</v>
      </c>
      <c r="FZ44" s="77">
        <v>859676</v>
      </c>
      <c r="GA44" s="55">
        <v>859676</v>
      </c>
      <c r="GB44" s="55">
        <v>859676</v>
      </c>
      <c r="GC44" s="55">
        <v>859676</v>
      </c>
      <c r="GD44" s="55">
        <v>859676</v>
      </c>
      <c r="GE44" s="55">
        <v>859676</v>
      </c>
      <c r="GF44" s="55">
        <v>859676</v>
      </c>
      <c r="GG44" s="55">
        <v>859676</v>
      </c>
      <c r="GH44" s="55">
        <v>859676</v>
      </c>
      <c r="GI44" s="55">
        <v>859676</v>
      </c>
      <c r="GJ44" s="55">
        <v>859676</v>
      </c>
      <c r="GK44" s="55">
        <v>859676</v>
      </c>
      <c r="GL44" s="77">
        <v>859676</v>
      </c>
      <c r="GM44" s="55">
        <v>859676</v>
      </c>
      <c r="GN44" s="55">
        <v>859676</v>
      </c>
      <c r="GO44" s="55">
        <v>859676</v>
      </c>
      <c r="GP44" s="55">
        <v>859676</v>
      </c>
    </row>
    <row r="45" spans="1:198" s="1" customFormat="1" ht="20.149999999999999" customHeight="1" x14ac:dyDescent="0.35">
      <c r="A45" s="31" t="s">
        <v>279</v>
      </c>
      <c r="B45" s="55">
        <v>0</v>
      </c>
      <c r="C45" s="55">
        <v>0</v>
      </c>
      <c r="D45" s="55">
        <v>0</v>
      </c>
      <c r="E45" s="55">
        <v>0</v>
      </c>
      <c r="F45" s="55">
        <v>0</v>
      </c>
      <c r="G45" s="55">
        <v>0</v>
      </c>
      <c r="H45" s="55">
        <v>0</v>
      </c>
      <c r="I45" s="55">
        <v>0</v>
      </c>
      <c r="J45" s="55">
        <v>0</v>
      </c>
      <c r="K45" s="55">
        <v>0</v>
      </c>
      <c r="L45" s="55">
        <v>0</v>
      </c>
      <c r="M45" s="56">
        <v>0</v>
      </c>
      <c r="N45" s="57">
        <v>0</v>
      </c>
      <c r="O45" s="55">
        <v>0</v>
      </c>
      <c r="P45" s="55">
        <v>0</v>
      </c>
      <c r="Q45" s="55">
        <v>0</v>
      </c>
      <c r="R45" s="55">
        <v>0</v>
      </c>
      <c r="S45" s="55">
        <v>0</v>
      </c>
      <c r="T45" s="55">
        <v>1</v>
      </c>
      <c r="U45" s="55">
        <v>1</v>
      </c>
      <c r="V45" s="55">
        <v>1</v>
      </c>
      <c r="W45" s="55">
        <v>1</v>
      </c>
      <c r="X45" s="55">
        <v>1</v>
      </c>
      <c r="Y45" s="56">
        <v>2</v>
      </c>
      <c r="Z45" s="55">
        <v>2</v>
      </c>
      <c r="AA45" s="55">
        <v>2</v>
      </c>
      <c r="AB45" s="55">
        <v>2</v>
      </c>
      <c r="AC45" s="55">
        <v>2</v>
      </c>
      <c r="AD45" s="55">
        <v>2</v>
      </c>
      <c r="AE45" s="55">
        <v>2</v>
      </c>
      <c r="AF45" s="55">
        <v>2</v>
      </c>
      <c r="AG45" s="55">
        <v>2</v>
      </c>
      <c r="AH45" s="55">
        <v>2</v>
      </c>
      <c r="AI45" s="55">
        <v>2</v>
      </c>
      <c r="AJ45" s="55">
        <v>2</v>
      </c>
      <c r="AK45" s="56">
        <v>2</v>
      </c>
      <c r="AL45" s="55">
        <v>2</v>
      </c>
      <c r="AM45" s="55">
        <v>2</v>
      </c>
      <c r="AN45" s="55">
        <v>11</v>
      </c>
      <c r="AO45" s="55">
        <v>14</v>
      </c>
      <c r="AP45" s="55">
        <v>18</v>
      </c>
      <c r="AQ45" s="55">
        <v>26</v>
      </c>
      <c r="AR45" s="55">
        <v>27</v>
      </c>
      <c r="AS45" s="55">
        <v>32</v>
      </c>
      <c r="AT45" s="55">
        <v>33</v>
      </c>
      <c r="AU45" s="55">
        <v>33</v>
      </c>
      <c r="AV45" s="55">
        <v>37</v>
      </c>
      <c r="AW45" s="56">
        <v>38</v>
      </c>
      <c r="AX45" s="55">
        <v>48</v>
      </c>
      <c r="AY45" s="55">
        <v>54</v>
      </c>
      <c r="AZ45" s="55">
        <v>141</v>
      </c>
      <c r="BA45" s="55">
        <v>142</v>
      </c>
      <c r="BB45" s="55">
        <v>147</v>
      </c>
      <c r="BC45" s="55">
        <v>153</v>
      </c>
      <c r="BD45" s="55">
        <v>163</v>
      </c>
      <c r="BE45" s="55">
        <v>166</v>
      </c>
      <c r="BF45" s="55">
        <v>177</v>
      </c>
      <c r="BG45" s="55">
        <v>185</v>
      </c>
      <c r="BH45" s="55">
        <v>192</v>
      </c>
      <c r="BI45" s="56">
        <v>204</v>
      </c>
      <c r="BJ45" s="55">
        <v>208</v>
      </c>
      <c r="BK45" s="55">
        <v>219</v>
      </c>
      <c r="BL45" s="55">
        <v>379</v>
      </c>
      <c r="BM45" s="55">
        <v>380</v>
      </c>
      <c r="BN45" s="55">
        <v>381</v>
      </c>
      <c r="BO45" s="55">
        <v>381</v>
      </c>
      <c r="BP45" s="55">
        <v>384</v>
      </c>
      <c r="BQ45" s="55">
        <v>389</v>
      </c>
      <c r="BR45" s="55">
        <v>391</v>
      </c>
      <c r="BS45" s="55">
        <v>399</v>
      </c>
      <c r="BT45" s="55">
        <v>404</v>
      </c>
      <c r="BU45" s="56">
        <v>427</v>
      </c>
      <c r="BV45" s="55">
        <v>434</v>
      </c>
      <c r="BW45" s="55">
        <v>445</v>
      </c>
      <c r="BX45" s="55">
        <v>580</v>
      </c>
      <c r="BY45" s="55">
        <v>590</v>
      </c>
      <c r="BZ45" s="55">
        <v>593</v>
      </c>
      <c r="CA45" s="55">
        <v>597</v>
      </c>
      <c r="CB45" s="55">
        <v>599</v>
      </c>
      <c r="CC45" s="55">
        <v>602</v>
      </c>
      <c r="CD45" s="55">
        <v>605</v>
      </c>
      <c r="CE45" s="55">
        <v>611</v>
      </c>
      <c r="CF45" s="55">
        <v>616</v>
      </c>
      <c r="CG45" s="121">
        <v>629</v>
      </c>
      <c r="CH45" s="77">
        <v>634</v>
      </c>
      <c r="CI45" s="55">
        <v>651</v>
      </c>
      <c r="CJ45" s="55">
        <v>753</v>
      </c>
      <c r="CK45" s="55">
        <v>755</v>
      </c>
      <c r="CL45" s="55">
        <v>756</v>
      </c>
      <c r="CM45" s="55">
        <v>756</v>
      </c>
      <c r="CN45" s="55">
        <v>757</v>
      </c>
      <c r="CO45" s="55">
        <v>757</v>
      </c>
      <c r="CP45" s="55">
        <v>757</v>
      </c>
      <c r="CQ45" s="55">
        <v>757</v>
      </c>
      <c r="CR45" s="55">
        <v>757</v>
      </c>
      <c r="CS45" s="121">
        <v>758</v>
      </c>
      <c r="CT45" s="77">
        <v>759</v>
      </c>
      <c r="CU45" s="55">
        <v>760</v>
      </c>
      <c r="CV45" s="55">
        <v>763</v>
      </c>
      <c r="CW45" s="55">
        <v>764</v>
      </c>
      <c r="CX45" s="55">
        <v>764</v>
      </c>
      <c r="CY45" s="55">
        <v>765</v>
      </c>
      <c r="CZ45" s="55">
        <v>765</v>
      </c>
      <c r="DA45" s="55">
        <v>765</v>
      </c>
      <c r="DB45" s="55">
        <v>765</v>
      </c>
      <c r="DC45" s="55">
        <v>765</v>
      </c>
      <c r="DD45" s="55">
        <v>765</v>
      </c>
      <c r="DE45" s="121">
        <v>765</v>
      </c>
      <c r="DF45" s="77">
        <v>765</v>
      </c>
      <c r="DG45" s="55">
        <v>765</v>
      </c>
      <c r="DH45" s="55">
        <v>765</v>
      </c>
      <c r="DI45" s="55">
        <v>765</v>
      </c>
      <c r="DJ45" s="55">
        <v>765</v>
      </c>
      <c r="DK45" s="55">
        <v>765</v>
      </c>
      <c r="DL45" s="55">
        <v>765</v>
      </c>
      <c r="DM45" s="55">
        <v>765</v>
      </c>
      <c r="DN45" s="55">
        <v>765</v>
      </c>
      <c r="DO45" s="55">
        <v>765</v>
      </c>
      <c r="DP45" s="55">
        <v>765</v>
      </c>
      <c r="DQ45" s="121">
        <v>765</v>
      </c>
      <c r="DR45" s="77">
        <v>765</v>
      </c>
      <c r="DS45" s="55">
        <v>765</v>
      </c>
      <c r="DT45" s="55">
        <v>765</v>
      </c>
      <c r="DU45" s="55">
        <v>765</v>
      </c>
      <c r="DV45" s="55">
        <v>765</v>
      </c>
      <c r="DW45" s="55">
        <v>765</v>
      </c>
      <c r="DX45" s="55">
        <v>765</v>
      </c>
      <c r="DY45" s="55">
        <v>765</v>
      </c>
      <c r="DZ45" s="55">
        <v>765</v>
      </c>
      <c r="EA45" s="55">
        <v>765</v>
      </c>
      <c r="EB45" s="55">
        <v>765</v>
      </c>
      <c r="EC45" s="55">
        <v>765</v>
      </c>
      <c r="ED45" s="77">
        <v>765</v>
      </c>
      <c r="EE45" s="55">
        <v>765</v>
      </c>
      <c r="EF45" s="55">
        <v>765</v>
      </c>
      <c r="EG45" s="55">
        <v>765</v>
      </c>
      <c r="EH45" s="55">
        <v>765</v>
      </c>
      <c r="EI45" s="55">
        <v>765</v>
      </c>
      <c r="EJ45" s="55">
        <v>765</v>
      </c>
      <c r="EK45" s="55">
        <v>765</v>
      </c>
      <c r="EL45" s="55">
        <v>765</v>
      </c>
      <c r="EM45" s="55">
        <v>765</v>
      </c>
      <c r="EN45" s="55">
        <v>765</v>
      </c>
      <c r="EO45" s="55">
        <v>765</v>
      </c>
      <c r="EP45" s="77">
        <v>765</v>
      </c>
      <c r="EQ45" s="55">
        <v>765</v>
      </c>
      <c r="ER45" s="55">
        <v>765</v>
      </c>
      <c r="ES45" s="55">
        <v>765</v>
      </c>
      <c r="ET45" s="55">
        <v>765</v>
      </c>
      <c r="EU45" s="55">
        <v>765</v>
      </c>
      <c r="EV45" s="55">
        <v>765</v>
      </c>
      <c r="EW45" s="55">
        <v>765</v>
      </c>
      <c r="EX45" s="55">
        <v>765</v>
      </c>
      <c r="EY45" s="55">
        <v>765</v>
      </c>
      <c r="EZ45" s="55">
        <v>765</v>
      </c>
      <c r="FA45" s="83">
        <v>765</v>
      </c>
      <c r="FB45" s="55">
        <v>765</v>
      </c>
      <c r="FC45" s="55">
        <v>765</v>
      </c>
      <c r="FD45" s="55">
        <v>765</v>
      </c>
      <c r="FE45" s="55">
        <v>765</v>
      </c>
      <c r="FF45" s="55">
        <v>765</v>
      </c>
      <c r="FG45" s="55">
        <v>765</v>
      </c>
      <c r="FH45" s="55">
        <v>765</v>
      </c>
      <c r="FI45" s="55">
        <v>765</v>
      </c>
      <c r="FJ45" s="55">
        <v>765</v>
      </c>
      <c r="FK45" s="55">
        <v>765</v>
      </c>
      <c r="FL45" s="55">
        <v>765</v>
      </c>
      <c r="FM45" s="55">
        <v>765</v>
      </c>
      <c r="FN45" s="69">
        <v>765</v>
      </c>
      <c r="FO45" s="55">
        <v>765</v>
      </c>
      <c r="FP45" s="55">
        <v>765</v>
      </c>
      <c r="FQ45" s="55">
        <v>765</v>
      </c>
      <c r="FR45" s="55">
        <v>765</v>
      </c>
      <c r="FS45" s="55">
        <v>765</v>
      </c>
      <c r="FT45" s="55">
        <v>765</v>
      </c>
      <c r="FU45" s="55">
        <v>765</v>
      </c>
      <c r="FV45" s="55">
        <v>765</v>
      </c>
      <c r="FW45" s="55">
        <v>765</v>
      </c>
      <c r="FX45" s="55">
        <v>765</v>
      </c>
      <c r="FY45" s="55">
        <v>765</v>
      </c>
      <c r="FZ45" s="77">
        <v>765</v>
      </c>
      <c r="GA45" s="55">
        <v>765</v>
      </c>
      <c r="GB45" s="55">
        <v>765</v>
      </c>
      <c r="GC45" s="55">
        <v>765</v>
      </c>
      <c r="GD45" s="55">
        <v>765</v>
      </c>
      <c r="GE45" s="55">
        <v>765</v>
      </c>
      <c r="GF45" s="55">
        <v>765</v>
      </c>
      <c r="GG45" s="55">
        <v>765</v>
      </c>
      <c r="GH45" s="55">
        <v>765</v>
      </c>
      <c r="GI45" s="55">
        <v>765</v>
      </c>
      <c r="GJ45" s="55">
        <v>765</v>
      </c>
      <c r="GK45" s="55">
        <v>765</v>
      </c>
      <c r="GL45" s="77">
        <v>765</v>
      </c>
      <c r="GM45" s="55">
        <v>765</v>
      </c>
      <c r="GN45" s="55">
        <v>765</v>
      </c>
      <c r="GO45" s="55">
        <v>765</v>
      </c>
      <c r="GP45" s="55">
        <v>765</v>
      </c>
    </row>
    <row r="46" spans="1:198" s="1" customFormat="1" ht="20.149999999999999" customHeight="1" x14ac:dyDescent="0.35">
      <c r="A46" s="31" t="s">
        <v>280</v>
      </c>
      <c r="B46" s="55">
        <v>263</v>
      </c>
      <c r="C46" s="55">
        <v>263</v>
      </c>
      <c r="D46" s="55">
        <v>271</v>
      </c>
      <c r="E46" s="55">
        <v>284</v>
      </c>
      <c r="F46" s="55">
        <v>286</v>
      </c>
      <c r="G46" s="55">
        <v>302</v>
      </c>
      <c r="H46" s="55">
        <v>305</v>
      </c>
      <c r="I46" s="55">
        <v>307</v>
      </c>
      <c r="J46" s="55">
        <v>308</v>
      </c>
      <c r="K46" s="55">
        <v>313</v>
      </c>
      <c r="L46" s="55">
        <v>332</v>
      </c>
      <c r="M46" s="56">
        <v>338</v>
      </c>
      <c r="N46" s="57">
        <v>338</v>
      </c>
      <c r="O46" s="55">
        <v>340</v>
      </c>
      <c r="P46" s="55">
        <v>351</v>
      </c>
      <c r="Q46" s="55">
        <v>354</v>
      </c>
      <c r="R46" s="55">
        <v>367</v>
      </c>
      <c r="S46" s="55">
        <v>375</v>
      </c>
      <c r="T46" s="55">
        <v>379</v>
      </c>
      <c r="U46" s="55">
        <v>388</v>
      </c>
      <c r="V46" s="55">
        <v>414</v>
      </c>
      <c r="W46" s="55">
        <v>439</v>
      </c>
      <c r="X46" s="55">
        <v>475</v>
      </c>
      <c r="Y46" s="56">
        <v>513</v>
      </c>
      <c r="Z46" s="55">
        <v>594</v>
      </c>
      <c r="AA46" s="55">
        <v>616</v>
      </c>
      <c r="AB46" s="55">
        <v>673</v>
      </c>
      <c r="AC46" s="55">
        <v>695</v>
      </c>
      <c r="AD46" s="55">
        <v>719</v>
      </c>
      <c r="AE46" s="55">
        <v>732</v>
      </c>
      <c r="AF46" s="55">
        <v>775</v>
      </c>
      <c r="AG46" s="55">
        <v>890</v>
      </c>
      <c r="AH46" s="55">
        <v>1039</v>
      </c>
      <c r="AI46" s="55">
        <v>1189</v>
      </c>
      <c r="AJ46" s="55">
        <v>1350</v>
      </c>
      <c r="AK46" s="56">
        <v>1475</v>
      </c>
      <c r="AL46" s="55">
        <v>1682</v>
      </c>
      <c r="AM46" s="55">
        <v>1867</v>
      </c>
      <c r="AN46" s="55">
        <v>2102</v>
      </c>
      <c r="AO46" s="55">
        <v>2258</v>
      </c>
      <c r="AP46" s="55">
        <v>2482</v>
      </c>
      <c r="AQ46" s="55">
        <v>2666</v>
      </c>
      <c r="AR46" s="55">
        <v>2961</v>
      </c>
      <c r="AS46" s="55">
        <v>3428</v>
      </c>
      <c r="AT46" s="55">
        <v>3929</v>
      </c>
      <c r="AU46" s="55">
        <v>4380</v>
      </c>
      <c r="AV46" s="55">
        <v>4882</v>
      </c>
      <c r="AW46" s="56">
        <v>5331</v>
      </c>
      <c r="AX46" s="55">
        <v>5802</v>
      </c>
      <c r="AY46" s="55">
        <v>7106</v>
      </c>
      <c r="AZ46" s="55">
        <v>7501</v>
      </c>
      <c r="BA46" s="55">
        <v>7890</v>
      </c>
      <c r="BB46" s="55">
        <v>8388</v>
      </c>
      <c r="BC46" s="55">
        <v>8916</v>
      </c>
      <c r="BD46" s="55">
        <v>9404</v>
      </c>
      <c r="BE46" s="55">
        <v>9923</v>
      </c>
      <c r="BF46" s="55">
        <v>10496</v>
      </c>
      <c r="BG46" s="55">
        <v>11049</v>
      </c>
      <c r="BH46" s="55">
        <v>11610</v>
      </c>
      <c r="BI46" s="56">
        <v>12034</v>
      </c>
      <c r="BJ46" s="55">
        <v>12443</v>
      </c>
      <c r="BK46" s="55">
        <v>12928</v>
      </c>
      <c r="BL46" s="55">
        <v>13459</v>
      </c>
      <c r="BM46" s="55">
        <v>13899</v>
      </c>
      <c r="BN46" s="55">
        <v>14382</v>
      </c>
      <c r="BO46" s="55">
        <v>14888</v>
      </c>
      <c r="BP46" s="55">
        <v>15382</v>
      </c>
      <c r="BQ46" s="55">
        <v>16195</v>
      </c>
      <c r="BR46" s="55">
        <v>17816</v>
      </c>
      <c r="BS46" s="55">
        <v>18149</v>
      </c>
      <c r="BT46" s="55">
        <v>18518</v>
      </c>
      <c r="BU46" s="56">
        <v>18871</v>
      </c>
      <c r="BV46" s="55">
        <v>19268</v>
      </c>
      <c r="BW46" s="55">
        <v>19651</v>
      </c>
      <c r="BX46" s="55">
        <v>20094</v>
      </c>
      <c r="BY46" s="55">
        <v>20462</v>
      </c>
      <c r="BZ46" s="55">
        <v>20713</v>
      </c>
      <c r="CA46" s="55">
        <v>21024</v>
      </c>
      <c r="CB46" s="55">
        <v>21305</v>
      </c>
      <c r="CC46" s="55">
        <v>21693</v>
      </c>
      <c r="CD46" s="55">
        <v>22846</v>
      </c>
      <c r="CE46" s="55">
        <v>22889</v>
      </c>
      <c r="CF46" s="55">
        <v>22959</v>
      </c>
      <c r="CG46" s="121">
        <v>23009</v>
      </c>
      <c r="CH46" s="77">
        <v>23011</v>
      </c>
      <c r="CI46" s="55">
        <v>23014</v>
      </c>
      <c r="CJ46" s="55">
        <v>23023</v>
      </c>
      <c r="CK46" s="55">
        <v>23023</v>
      </c>
      <c r="CL46" s="55">
        <v>23023</v>
      </c>
      <c r="CM46" s="55">
        <v>23023</v>
      </c>
      <c r="CN46" s="55">
        <v>23023</v>
      </c>
      <c r="CO46" s="55">
        <v>23023</v>
      </c>
      <c r="CP46" s="55">
        <v>23023</v>
      </c>
      <c r="CQ46" s="55">
        <v>23023</v>
      </c>
      <c r="CR46" s="55">
        <v>23023</v>
      </c>
      <c r="CS46" s="121">
        <v>23023</v>
      </c>
      <c r="CT46" s="77">
        <v>23023</v>
      </c>
      <c r="CU46" s="55">
        <v>23023</v>
      </c>
      <c r="CV46" s="55">
        <v>23026</v>
      </c>
      <c r="CW46" s="55">
        <v>23026</v>
      </c>
      <c r="CX46" s="55">
        <v>23026</v>
      </c>
      <c r="CY46" s="55">
        <v>23026</v>
      </c>
      <c r="CZ46" s="55">
        <v>23026</v>
      </c>
      <c r="DA46" s="55">
        <v>23026</v>
      </c>
      <c r="DB46" s="55">
        <v>23026</v>
      </c>
      <c r="DC46" s="55">
        <v>23026</v>
      </c>
      <c r="DD46" s="55">
        <v>23026</v>
      </c>
      <c r="DE46" s="121">
        <v>23026</v>
      </c>
      <c r="DF46" s="77">
        <v>23026</v>
      </c>
      <c r="DG46" s="55">
        <v>23026</v>
      </c>
      <c r="DH46" s="55">
        <v>23026</v>
      </c>
      <c r="DI46" s="55">
        <v>23026</v>
      </c>
      <c r="DJ46" s="55">
        <v>23026</v>
      </c>
      <c r="DK46" s="55">
        <v>23026</v>
      </c>
      <c r="DL46" s="55">
        <v>23026</v>
      </c>
      <c r="DM46" s="55">
        <v>23026</v>
      </c>
      <c r="DN46" s="55">
        <v>23026</v>
      </c>
      <c r="DO46" s="55">
        <v>23026</v>
      </c>
      <c r="DP46" s="55">
        <v>23026</v>
      </c>
      <c r="DQ46" s="121">
        <v>23026</v>
      </c>
      <c r="DR46" s="77">
        <v>23026</v>
      </c>
      <c r="DS46" s="55">
        <v>23026</v>
      </c>
      <c r="DT46" s="55">
        <v>23026</v>
      </c>
      <c r="DU46" s="55">
        <v>23026</v>
      </c>
      <c r="DV46" s="55">
        <v>23026</v>
      </c>
      <c r="DW46" s="55">
        <v>23026</v>
      </c>
      <c r="DX46" s="55">
        <v>23026</v>
      </c>
      <c r="DY46" s="55">
        <v>23026</v>
      </c>
      <c r="DZ46" s="55">
        <v>23026</v>
      </c>
      <c r="EA46" s="55">
        <v>23026</v>
      </c>
      <c r="EB46" s="55">
        <v>23026</v>
      </c>
      <c r="EC46" s="55">
        <v>23026</v>
      </c>
      <c r="ED46" s="77">
        <v>23026</v>
      </c>
      <c r="EE46" s="55">
        <v>23026</v>
      </c>
      <c r="EF46" s="55">
        <v>23026</v>
      </c>
      <c r="EG46" s="55">
        <v>23026</v>
      </c>
      <c r="EH46" s="55">
        <v>23026</v>
      </c>
      <c r="EI46" s="55">
        <v>23026</v>
      </c>
      <c r="EJ46" s="55">
        <v>23026</v>
      </c>
      <c r="EK46" s="55">
        <v>23026</v>
      </c>
      <c r="EL46" s="55">
        <v>23026</v>
      </c>
      <c r="EM46" s="55">
        <v>23026</v>
      </c>
      <c r="EN46" s="55">
        <v>23026</v>
      </c>
      <c r="EO46" s="55">
        <v>23026</v>
      </c>
      <c r="EP46" s="77">
        <v>23026</v>
      </c>
      <c r="EQ46" s="55">
        <v>23026</v>
      </c>
      <c r="ER46" s="55">
        <v>23026</v>
      </c>
      <c r="ES46" s="55">
        <v>23026</v>
      </c>
      <c r="ET46" s="55">
        <v>23026</v>
      </c>
      <c r="EU46" s="55">
        <v>23026</v>
      </c>
      <c r="EV46" s="55">
        <v>23026</v>
      </c>
      <c r="EW46" s="55">
        <v>23026</v>
      </c>
      <c r="EX46" s="55">
        <v>23026</v>
      </c>
      <c r="EY46" s="55">
        <v>23026</v>
      </c>
      <c r="EZ46" s="55">
        <v>23026</v>
      </c>
      <c r="FA46" s="83">
        <v>23026</v>
      </c>
      <c r="FB46" s="55">
        <v>23026</v>
      </c>
      <c r="FC46" s="55">
        <v>23026</v>
      </c>
      <c r="FD46" s="55">
        <v>23026</v>
      </c>
      <c r="FE46" s="55">
        <v>23026</v>
      </c>
      <c r="FF46" s="55">
        <v>23026</v>
      </c>
      <c r="FG46" s="55">
        <v>23026</v>
      </c>
      <c r="FH46" s="55">
        <v>23026</v>
      </c>
      <c r="FI46" s="55">
        <v>23026</v>
      </c>
      <c r="FJ46" s="55">
        <v>23026</v>
      </c>
      <c r="FK46" s="55">
        <v>23026</v>
      </c>
      <c r="FL46" s="55">
        <v>23026</v>
      </c>
      <c r="FM46" s="55">
        <v>23026</v>
      </c>
      <c r="FN46" s="69">
        <v>23029</v>
      </c>
      <c r="FO46" s="55">
        <v>23029</v>
      </c>
      <c r="FP46" s="55">
        <v>23032</v>
      </c>
      <c r="FQ46" s="55">
        <v>23032</v>
      </c>
      <c r="FR46" s="55">
        <v>23035</v>
      </c>
      <c r="FS46" s="55">
        <v>23036</v>
      </c>
      <c r="FT46" s="55">
        <v>23036</v>
      </c>
      <c r="FU46" s="55">
        <v>23037</v>
      </c>
      <c r="FV46" s="55">
        <v>23037</v>
      </c>
      <c r="FW46" s="55">
        <v>23039</v>
      </c>
      <c r="FX46" s="55">
        <v>23039</v>
      </c>
      <c r="FY46" s="55">
        <v>23039</v>
      </c>
      <c r="FZ46" s="77">
        <v>23039</v>
      </c>
      <c r="GA46" s="55">
        <v>23039</v>
      </c>
      <c r="GB46" s="55">
        <v>23039</v>
      </c>
      <c r="GC46" s="55">
        <v>23039</v>
      </c>
      <c r="GD46" s="55">
        <v>23039</v>
      </c>
      <c r="GE46" s="55">
        <v>23039</v>
      </c>
      <c r="GF46" s="55">
        <v>23039</v>
      </c>
      <c r="GG46" s="55">
        <v>23039</v>
      </c>
      <c r="GH46" s="55">
        <v>23039</v>
      </c>
      <c r="GI46" s="55">
        <v>23039</v>
      </c>
      <c r="GJ46" s="55">
        <v>23039</v>
      </c>
      <c r="GK46" s="55">
        <v>23039</v>
      </c>
      <c r="GL46" s="77">
        <v>23039</v>
      </c>
      <c r="GM46" s="55">
        <v>23039</v>
      </c>
      <c r="GN46" s="55">
        <v>23039</v>
      </c>
      <c r="GO46" s="55">
        <v>23039</v>
      </c>
      <c r="GP46" s="55">
        <v>23039</v>
      </c>
    </row>
    <row r="47" spans="1:198" s="25" customFormat="1" ht="20.149999999999999" customHeight="1" x14ac:dyDescent="0.35">
      <c r="A47" s="31" t="s">
        <v>281</v>
      </c>
      <c r="B47" s="55">
        <v>0</v>
      </c>
      <c r="C47" s="55">
        <v>0</v>
      </c>
      <c r="D47" s="55">
        <v>0</v>
      </c>
      <c r="E47" s="55">
        <v>0</v>
      </c>
      <c r="F47" s="55">
        <v>0</v>
      </c>
      <c r="G47" s="55">
        <v>0</v>
      </c>
      <c r="H47" s="55">
        <v>0</v>
      </c>
      <c r="I47" s="55">
        <v>0</v>
      </c>
      <c r="J47" s="55">
        <v>0</v>
      </c>
      <c r="K47" s="55">
        <v>0</v>
      </c>
      <c r="L47" s="55">
        <v>0</v>
      </c>
      <c r="M47" s="56">
        <v>0</v>
      </c>
      <c r="N47" s="57">
        <v>0</v>
      </c>
      <c r="O47" s="55">
        <v>0</v>
      </c>
      <c r="P47" s="55">
        <v>0</v>
      </c>
      <c r="Q47" s="55">
        <v>0</v>
      </c>
      <c r="R47" s="55">
        <v>0</v>
      </c>
      <c r="S47" s="55">
        <v>0</v>
      </c>
      <c r="T47" s="55">
        <v>0</v>
      </c>
      <c r="U47" s="55">
        <v>0</v>
      </c>
      <c r="V47" s="55">
        <v>0</v>
      </c>
      <c r="W47" s="55">
        <v>0</v>
      </c>
      <c r="X47" s="55">
        <v>0</v>
      </c>
      <c r="Y47" s="56">
        <v>0</v>
      </c>
      <c r="Z47" s="55">
        <v>0</v>
      </c>
      <c r="AA47" s="55">
        <v>0</v>
      </c>
      <c r="AB47" s="55">
        <v>0</v>
      </c>
      <c r="AC47" s="55">
        <v>0</v>
      </c>
      <c r="AD47" s="55">
        <v>0</v>
      </c>
      <c r="AE47" s="55">
        <v>0</v>
      </c>
      <c r="AF47" s="55">
        <v>0</v>
      </c>
      <c r="AG47" s="55">
        <v>0</v>
      </c>
      <c r="AH47" s="55">
        <v>0</v>
      </c>
      <c r="AI47" s="55">
        <v>0</v>
      </c>
      <c r="AJ47" s="55">
        <v>0</v>
      </c>
      <c r="AK47" s="56">
        <v>0</v>
      </c>
      <c r="AL47" s="55">
        <v>0</v>
      </c>
      <c r="AM47" s="55">
        <v>0</v>
      </c>
      <c r="AN47" s="55">
        <v>0</v>
      </c>
      <c r="AO47" s="55">
        <v>0</v>
      </c>
      <c r="AP47" s="55">
        <v>0</v>
      </c>
      <c r="AQ47" s="55">
        <v>0</v>
      </c>
      <c r="AR47" s="55">
        <v>0</v>
      </c>
      <c r="AS47" s="55">
        <v>0</v>
      </c>
      <c r="AT47" s="55">
        <v>0</v>
      </c>
      <c r="AU47" s="55">
        <v>0</v>
      </c>
      <c r="AV47" s="55">
        <v>0</v>
      </c>
      <c r="AW47" s="56">
        <v>0</v>
      </c>
      <c r="AX47" s="55">
        <v>0</v>
      </c>
      <c r="AY47" s="55">
        <v>0</v>
      </c>
      <c r="AZ47" s="55">
        <v>0</v>
      </c>
      <c r="BA47" s="55">
        <v>0</v>
      </c>
      <c r="BB47" s="55">
        <v>0</v>
      </c>
      <c r="BC47" s="55">
        <v>0</v>
      </c>
      <c r="BD47" s="55">
        <v>0</v>
      </c>
      <c r="BE47" s="55">
        <v>0</v>
      </c>
      <c r="BF47" s="55">
        <v>0</v>
      </c>
      <c r="BG47" s="55">
        <v>0</v>
      </c>
      <c r="BH47" s="55">
        <v>0</v>
      </c>
      <c r="BI47" s="56">
        <v>0</v>
      </c>
      <c r="BJ47" s="55">
        <v>0</v>
      </c>
      <c r="BK47" s="55">
        <v>0</v>
      </c>
      <c r="BL47" s="55">
        <v>0</v>
      </c>
      <c r="BM47" s="55">
        <v>0</v>
      </c>
      <c r="BN47" s="55">
        <v>0</v>
      </c>
      <c r="BO47" s="55">
        <v>0</v>
      </c>
      <c r="BP47" s="55">
        <v>0</v>
      </c>
      <c r="BQ47" s="55">
        <v>0</v>
      </c>
      <c r="BR47" s="55">
        <v>0</v>
      </c>
      <c r="BS47" s="55">
        <v>0</v>
      </c>
      <c r="BT47" s="55">
        <v>0</v>
      </c>
      <c r="BU47" s="56">
        <v>0</v>
      </c>
      <c r="BV47" s="55">
        <v>0</v>
      </c>
      <c r="BW47" s="55">
        <v>0</v>
      </c>
      <c r="BX47" s="55">
        <v>0</v>
      </c>
      <c r="BY47" s="55">
        <v>0</v>
      </c>
      <c r="BZ47" s="55">
        <v>0</v>
      </c>
      <c r="CA47" s="55">
        <v>1</v>
      </c>
      <c r="CB47" s="55">
        <v>1</v>
      </c>
      <c r="CC47" s="55">
        <v>1</v>
      </c>
      <c r="CD47" s="55">
        <v>1</v>
      </c>
      <c r="CE47" s="55">
        <v>1</v>
      </c>
      <c r="CF47" s="55">
        <v>1</v>
      </c>
      <c r="CG47" s="121">
        <v>1</v>
      </c>
      <c r="CH47" s="77">
        <v>1</v>
      </c>
      <c r="CI47" s="55">
        <v>1</v>
      </c>
      <c r="CJ47" s="55">
        <v>1</v>
      </c>
      <c r="CK47" s="55">
        <v>1</v>
      </c>
      <c r="CL47" s="55">
        <v>1</v>
      </c>
      <c r="CM47" s="55">
        <v>1</v>
      </c>
      <c r="CN47" s="55">
        <v>2</v>
      </c>
      <c r="CO47" s="55">
        <v>2</v>
      </c>
      <c r="CP47" s="55">
        <v>2</v>
      </c>
      <c r="CQ47" s="55">
        <v>2</v>
      </c>
      <c r="CR47" s="55">
        <v>2</v>
      </c>
      <c r="CS47" s="121">
        <v>2</v>
      </c>
      <c r="CT47" s="77">
        <v>2</v>
      </c>
      <c r="CU47" s="55">
        <v>2</v>
      </c>
      <c r="CV47" s="55">
        <v>2</v>
      </c>
      <c r="CW47" s="55">
        <v>2</v>
      </c>
      <c r="CX47" s="55">
        <v>2</v>
      </c>
      <c r="CY47" s="55">
        <v>2</v>
      </c>
      <c r="CZ47" s="55">
        <v>2</v>
      </c>
      <c r="DA47" s="55">
        <v>2</v>
      </c>
      <c r="DB47" s="55">
        <v>2</v>
      </c>
      <c r="DC47" s="55">
        <v>2</v>
      </c>
      <c r="DD47" s="55">
        <v>2</v>
      </c>
      <c r="DE47" s="121">
        <v>2</v>
      </c>
      <c r="DF47" s="77">
        <v>2</v>
      </c>
      <c r="DG47" s="55">
        <v>2</v>
      </c>
      <c r="DH47" s="55">
        <v>2</v>
      </c>
      <c r="DI47" s="55">
        <v>2</v>
      </c>
      <c r="DJ47" s="55">
        <v>2</v>
      </c>
      <c r="DK47" s="55">
        <v>2</v>
      </c>
      <c r="DL47" s="55">
        <v>2</v>
      </c>
      <c r="DM47" s="55">
        <v>2</v>
      </c>
      <c r="DN47" s="55">
        <v>2</v>
      </c>
      <c r="DO47" s="55">
        <v>2</v>
      </c>
      <c r="DP47" s="55">
        <v>2</v>
      </c>
      <c r="DQ47" s="121">
        <v>2</v>
      </c>
      <c r="DR47" s="77">
        <v>2</v>
      </c>
      <c r="DS47" s="55">
        <v>2</v>
      </c>
      <c r="DT47" s="55">
        <v>2</v>
      </c>
      <c r="DU47" s="55">
        <v>2</v>
      </c>
      <c r="DV47" s="55">
        <v>2</v>
      </c>
      <c r="DW47" s="55">
        <v>2</v>
      </c>
      <c r="DX47" s="55">
        <v>2</v>
      </c>
      <c r="DY47" s="55">
        <v>2</v>
      </c>
      <c r="DZ47" s="55">
        <v>2</v>
      </c>
      <c r="EA47" s="55">
        <v>2</v>
      </c>
      <c r="EB47" s="55">
        <v>2</v>
      </c>
      <c r="EC47" s="55">
        <v>2</v>
      </c>
      <c r="ED47" s="77">
        <v>2</v>
      </c>
      <c r="EE47" s="55">
        <v>2</v>
      </c>
      <c r="EF47" s="55">
        <v>2</v>
      </c>
      <c r="EG47" s="55">
        <v>2</v>
      </c>
      <c r="EH47" s="55">
        <v>2</v>
      </c>
      <c r="EI47" s="55">
        <v>2</v>
      </c>
      <c r="EJ47" s="55">
        <v>2</v>
      </c>
      <c r="EK47" s="55">
        <v>2</v>
      </c>
      <c r="EL47" s="55">
        <v>2</v>
      </c>
      <c r="EM47" s="55">
        <v>2</v>
      </c>
      <c r="EN47" s="55">
        <v>2</v>
      </c>
      <c r="EO47" s="55">
        <v>2</v>
      </c>
      <c r="EP47" s="77">
        <v>2</v>
      </c>
      <c r="EQ47" s="55">
        <v>2</v>
      </c>
      <c r="ER47" s="55">
        <v>2</v>
      </c>
      <c r="ES47" s="55">
        <v>2</v>
      </c>
      <c r="ET47" s="55">
        <v>2</v>
      </c>
      <c r="EU47" s="55">
        <v>2</v>
      </c>
      <c r="EV47" s="55">
        <v>2</v>
      </c>
      <c r="EW47" s="55">
        <v>2</v>
      </c>
      <c r="EX47" s="55">
        <v>2</v>
      </c>
      <c r="EY47" s="55">
        <v>2</v>
      </c>
      <c r="EZ47" s="55">
        <v>2</v>
      </c>
      <c r="FA47" s="83">
        <v>2</v>
      </c>
      <c r="FB47" s="55">
        <v>2</v>
      </c>
      <c r="FC47" s="55">
        <v>2</v>
      </c>
      <c r="FD47" s="55">
        <v>2</v>
      </c>
      <c r="FE47" s="55">
        <v>2</v>
      </c>
      <c r="FF47" s="55">
        <v>2</v>
      </c>
      <c r="FG47" s="55">
        <v>2</v>
      </c>
      <c r="FH47" s="55">
        <v>2</v>
      </c>
      <c r="FI47" s="55">
        <v>2</v>
      </c>
      <c r="FJ47" s="55">
        <v>2</v>
      </c>
      <c r="FK47" s="55">
        <v>2</v>
      </c>
      <c r="FL47" s="55">
        <v>2</v>
      </c>
      <c r="FM47" s="55">
        <v>2</v>
      </c>
      <c r="FN47" s="69">
        <v>2</v>
      </c>
      <c r="FO47" s="55">
        <v>2</v>
      </c>
      <c r="FP47" s="55">
        <v>2</v>
      </c>
      <c r="FQ47" s="55">
        <v>2</v>
      </c>
      <c r="FR47" s="55">
        <v>2</v>
      </c>
      <c r="FS47" s="55">
        <v>2</v>
      </c>
      <c r="FT47" s="55">
        <v>2</v>
      </c>
      <c r="FU47" s="55">
        <v>2</v>
      </c>
      <c r="FV47" s="55">
        <v>2</v>
      </c>
      <c r="FW47" s="55">
        <v>2</v>
      </c>
      <c r="FX47" s="55">
        <v>2</v>
      </c>
      <c r="FY47" s="55">
        <v>2</v>
      </c>
      <c r="FZ47" s="77">
        <v>5</v>
      </c>
      <c r="GA47" s="55">
        <v>5</v>
      </c>
      <c r="GB47" s="55">
        <v>6</v>
      </c>
      <c r="GC47" s="55">
        <v>7</v>
      </c>
      <c r="GD47" s="55">
        <v>9</v>
      </c>
      <c r="GE47" s="55">
        <v>10</v>
      </c>
      <c r="GF47" s="55">
        <v>15</v>
      </c>
      <c r="GG47" s="55">
        <v>17</v>
      </c>
      <c r="GH47" s="55">
        <v>17</v>
      </c>
      <c r="GI47" s="55">
        <v>18</v>
      </c>
      <c r="GJ47" s="55">
        <v>19</v>
      </c>
      <c r="GK47" s="55">
        <v>21</v>
      </c>
      <c r="GL47" s="77">
        <v>23</v>
      </c>
      <c r="GM47" s="55">
        <v>23</v>
      </c>
      <c r="GN47" s="55">
        <v>25</v>
      </c>
      <c r="GO47" s="55">
        <v>30</v>
      </c>
      <c r="GP47" s="55">
        <v>30</v>
      </c>
    </row>
    <row r="48" spans="1:198" ht="20.149999999999999" customHeight="1" x14ac:dyDescent="0.35">
      <c r="A48" s="33" t="s">
        <v>284</v>
      </c>
      <c r="B48" s="58">
        <v>314</v>
      </c>
      <c r="C48" s="58">
        <v>484</v>
      </c>
      <c r="D48" s="58">
        <v>724</v>
      </c>
      <c r="E48" s="58">
        <v>863</v>
      </c>
      <c r="F48" s="58">
        <v>1048</v>
      </c>
      <c r="G48" s="58">
        <v>1263</v>
      </c>
      <c r="H48" s="58">
        <v>1570</v>
      </c>
      <c r="I48" s="58">
        <v>1787</v>
      </c>
      <c r="J48" s="58">
        <v>2054</v>
      </c>
      <c r="K48" s="58">
        <v>2421</v>
      </c>
      <c r="L48" s="58">
        <v>2829</v>
      </c>
      <c r="M48" s="59">
        <v>3200</v>
      </c>
      <c r="N48" s="60">
        <v>3686</v>
      </c>
      <c r="O48" s="58">
        <v>4192</v>
      </c>
      <c r="P48" s="58">
        <v>5010</v>
      </c>
      <c r="Q48" s="58">
        <v>5469</v>
      </c>
      <c r="R48" s="58">
        <v>5879</v>
      </c>
      <c r="S48" s="58">
        <v>6350</v>
      </c>
      <c r="T48" s="58">
        <v>6843</v>
      </c>
      <c r="U48" s="58">
        <v>7537</v>
      </c>
      <c r="V48" s="58">
        <v>8373</v>
      </c>
      <c r="W48" s="58">
        <v>9386</v>
      </c>
      <c r="X48" s="58">
        <v>11573</v>
      </c>
      <c r="Y48" s="59">
        <v>14228</v>
      </c>
      <c r="Z48" s="58">
        <v>14818</v>
      </c>
      <c r="AA48" s="58">
        <v>16780</v>
      </c>
      <c r="AB48" s="58">
        <v>18566</v>
      </c>
      <c r="AC48" s="58">
        <v>19257</v>
      </c>
      <c r="AD48" s="58">
        <v>20075</v>
      </c>
      <c r="AE48" s="58">
        <v>20980</v>
      </c>
      <c r="AF48" s="58">
        <v>22589</v>
      </c>
      <c r="AG48" s="58">
        <v>23130</v>
      </c>
      <c r="AH48" s="58">
        <v>23767</v>
      </c>
      <c r="AI48" s="58">
        <v>24531</v>
      </c>
      <c r="AJ48" s="58">
        <v>25240</v>
      </c>
      <c r="AK48" s="59">
        <v>25861</v>
      </c>
      <c r="AL48" s="58">
        <v>26515</v>
      </c>
      <c r="AM48" s="58">
        <v>27105</v>
      </c>
      <c r="AN48" s="58">
        <v>27963</v>
      </c>
      <c r="AO48" s="58">
        <v>28739</v>
      </c>
      <c r="AP48" s="58">
        <v>29351</v>
      </c>
      <c r="AQ48" s="58">
        <v>30129</v>
      </c>
      <c r="AR48" s="58">
        <v>30813</v>
      </c>
      <c r="AS48" s="58">
        <v>31419</v>
      </c>
      <c r="AT48" s="58">
        <v>32133</v>
      </c>
      <c r="AU48" s="58">
        <v>32975</v>
      </c>
      <c r="AV48" s="58">
        <v>33988</v>
      </c>
      <c r="AW48" s="59">
        <v>34732</v>
      </c>
      <c r="AX48" s="58">
        <v>35390</v>
      </c>
      <c r="AY48" s="58">
        <v>36143</v>
      </c>
      <c r="AZ48" s="58">
        <v>37241</v>
      </c>
      <c r="BA48" s="58">
        <v>38055</v>
      </c>
      <c r="BB48" s="58">
        <v>38920</v>
      </c>
      <c r="BC48" s="58">
        <v>39998</v>
      </c>
      <c r="BD48" s="58">
        <v>41055</v>
      </c>
      <c r="BE48" s="58">
        <v>41986</v>
      </c>
      <c r="BF48" s="58">
        <v>43277</v>
      </c>
      <c r="BG48" s="58">
        <v>44663</v>
      </c>
      <c r="BH48" s="58">
        <v>45776</v>
      </c>
      <c r="BI48" s="59">
        <v>46883</v>
      </c>
      <c r="BJ48" s="58">
        <v>48031</v>
      </c>
      <c r="BK48" s="58">
        <v>49357</v>
      </c>
      <c r="BL48" s="58">
        <v>51102</v>
      </c>
      <c r="BM48" s="58">
        <v>52377</v>
      </c>
      <c r="BN48" s="58">
        <v>53768</v>
      </c>
      <c r="BO48" s="58">
        <v>55459</v>
      </c>
      <c r="BP48" s="58">
        <v>57033</v>
      </c>
      <c r="BQ48" s="58">
        <v>58433</v>
      </c>
      <c r="BR48" s="58">
        <v>60333</v>
      </c>
      <c r="BS48" s="58">
        <v>62116</v>
      </c>
      <c r="BT48" s="58">
        <v>64203</v>
      </c>
      <c r="BU48" s="59">
        <v>66217</v>
      </c>
      <c r="BV48" s="58">
        <v>68317</v>
      </c>
      <c r="BW48" s="58">
        <v>69376</v>
      </c>
      <c r="BX48" s="58">
        <v>70578</v>
      </c>
      <c r="BY48" s="58">
        <v>71747</v>
      </c>
      <c r="BZ48" s="58">
        <v>72868</v>
      </c>
      <c r="CA48" s="58">
        <v>74197</v>
      </c>
      <c r="CB48" s="58">
        <v>75336</v>
      </c>
      <c r="CC48" s="58">
        <v>76321</v>
      </c>
      <c r="CD48" s="58">
        <v>77746</v>
      </c>
      <c r="CE48" s="58">
        <v>78838</v>
      </c>
      <c r="CF48" s="58">
        <v>80275</v>
      </c>
      <c r="CG48" s="58">
        <v>81176</v>
      </c>
      <c r="CH48" s="77">
        <v>82333</v>
      </c>
      <c r="CI48" s="55">
        <v>83576</v>
      </c>
      <c r="CJ48" s="55">
        <v>85275</v>
      </c>
      <c r="CK48" s="55">
        <v>86160</v>
      </c>
      <c r="CL48" s="55">
        <v>87485</v>
      </c>
      <c r="CM48" s="55">
        <v>88827</v>
      </c>
      <c r="CN48" s="55">
        <v>89959</v>
      </c>
      <c r="CO48" s="55">
        <v>91154</v>
      </c>
      <c r="CP48" s="55">
        <v>92523</v>
      </c>
      <c r="CQ48" s="55">
        <v>93886</v>
      </c>
      <c r="CR48" s="55">
        <v>95561</v>
      </c>
      <c r="CS48" s="121">
        <v>96499</v>
      </c>
      <c r="CT48" s="77">
        <v>97722</v>
      </c>
      <c r="CU48" s="55">
        <v>98960</v>
      </c>
      <c r="CV48" s="55">
        <v>100383</v>
      </c>
      <c r="CW48" s="55">
        <v>101675</v>
      </c>
      <c r="CX48" s="55">
        <v>103099</v>
      </c>
      <c r="CY48" s="55">
        <v>104476</v>
      </c>
      <c r="CZ48" s="55">
        <v>105835</v>
      </c>
      <c r="DA48" s="55">
        <v>107384</v>
      </c>
      <c r="DB48" s="55">
        <v>108775</v>
      </c>
      <c r="DC48" s="55">
        <v>110562</v>
      </c>
      <c r="DD48" s="58">
        <v>112434</v>
      </c>
      <c r="DE48" s="58">
        <v>113779</v>
      </c>
      <c r="DF48" s="77">
        <v>115204</v>
      </c>
      <c r="DG48" s="55">
        <v>116899</v>
      </c>
      <c r="DH48" s="58">
        <v>121867</v>
      </c>
      <c r="DI48" s="55">
        <v>123969</v>
      </c>
      <c r="DJ48" s="55">
        <v>126624</v>
      </c>
      <c r="DK48" s="55">
        <v>129521</v>
      </c>
      <c r="DL48" s="58">
        <v>132458</v>
      </c>
      <c r="DM48" s="55">
        <v>135548</v>
      </c>
      <c r="DN48" s="55">
        <v>138944</v>
      </c>
      <c r="DO48" s="55">
        <v>142513</v>
      </c>
      <c r="DP48" s="55">
        <v>146162</v>
      </c>
      <c r="DQ48" s="58">
        <v>148653</v>
      </c>
      <c r="DR48" s="77">
        <v>151809</v>
      </c>
      <c r="DS48" s="55">
        <v>154847</v>
      </c>
      <c r="DT48" s="55">
        <v>158032</v>
      </c>
      <c r="DU48" s="55">
        <v>158704</v>
      </c>
      <c r="DV48" s="55">
        <v>159788</v>
      </c>
      <c r="DW48" s="55">
        <v>162207</v>
      </c>
      <c r="DX48" s="55">
        <v>165509</v>
      </c>
      <c r="DY48" s="55">
        <v>168779</v>
      </c>
      <c r="DZ48" s="55">
        <v>172912</v>
      </c>
      <c r="EA48" s="55">
        <v>176915</v>
      </c>
      <c r="EB48" s="55">
        <v>181268</v>
      </c>
      <c r="EC48" s="55">
        <v>184422</v>
      </c>
      <c r="ED48" s="77">
        <v>188106</v>
      </c>
      <c r="EE48" s="55">
        <v>191691</v>
      </c>
      <c r="EF48" s="55">
        <v>196686</v>
      </c>
      <c r="EG48" s="55">
        <v>201690</v>
      </c>
      <c r="EH48" s="55">
        <v>206764</v>
      </c>
      <c r="EI48" s="55">
        <v>212027</v>
      </c>
      <c r="EJ48" s="55">
        <v>216938</v>
      </c>
      <c r="EK48" s="55">
        <v>222047</v>
      </c>
      <c r="EL48" s="55">
        <v>228023</v>
      </c>
      <c r="EM48" s="55">
        <v>233646</v>
      </c>
      <c r="EN48" s="55">
        <v>240790</v>
      </c>
      <c r="EO48" s="55">
        <v>245977</v>
      </c>
      <c r="EP48" s="77">
        <v>252145</v>
      </c>
      <c r="EQ48" s="55">
        <v>259730</v>
      </c>
      <c r="ER48" s="55">
        <v>269897</v>
      </c>
      <c r="ES48" s="55">
        <v>279799</v>
      </c>
      <c r="ET48" s="55">
        <v>291084</v>
      </c>
      <c r="EU48" s="55">
        <v>302675</v>
      </c>
      <c r="EV48" s="55">
        <v>314011</v>
      </c>
      <c r="EW48" s="55">
        <v>326557</v>
      </c>
      <c r="EX48" s="55">
        <v>341261</v>
      </c>
      <c r="EY48" s="55">
        <v>355714</v>
      </c>
      <c r="EZ48" s="55">
        <v>372248</v>
      </c>
      <c r="FA48" s="83">
        <v>384750</v>
      </c>
      <c r="FB48" s="55">
        <v>401471</v>
      </c>
      <c r="FC48" s="55">
        <v>419363</v>
      </c>
      <c r="FD48" s="55">
        <v>439712</v>
      </c>
      <c r="FE48" s="55">
        <v>455939</v>
      </c>
      <c r="FF48" s="55">
        <v>474276</v>
      </c>
      <c r="FG48" s="55">
        <v>493063</v>
      </c>
      <c r="FH48" s="55">
        <v>509113</v>
      </c>
      <c r="FI48" s="55">
        <v>525389</v>
      </c>
      <c r="FJ48" s="55">
        <v>541370</v>
      </c>
      <c r="FK48" s="55">
        <v>557177</v>
      </c>
      <c r="FL48" s="55">
        <v>573424</v>
      </c>
      <c r="FM48" s="55">
        <v>583761</v>
      </c>
      <c r="FN48" s="69">
        <v>597139</v>
      </c>
      <c r="FO48" s="55">
        <v>611287</v>
      </c>
      <c r="FP48" s="55">
        <v>626487</v>
      </c>
      <c r="FQ48" s="55">
        <v>642126</v>
      </c>
      <c r="FR48" s="55">
        <v>658483</v>
      </c>
      <c r="FS48" s="55">
        <v>674428</v>
      </c>
      <c r="FT48" s="55">
        <v>691032</v>
      </c>
      <c r="FU48" s="55">
        <v>706784</v>
      </c>
      <c r="FV48" s="55">
        <v>724079</v>
      </c>
      <c r="FW48" s="55">
        <v>744294</v>
      </c>
      <c r="FX48" s="55">
        <v>765608</v>
      </c>
      <c r="FY48" s="55">
        <v>779846</v>
      </c>
      <c r="FZ48" s="77">
        <v>797600</v>
      </c>
      <c r="GA48" s="55">
        <v>818215</v>
      </c>
      <c r="GB48" s="55">
        <v>843100</v>
      </c>
      <c r="GC48" s="55">
        <v>863762</v>
      </c>
      <c r="GD48" s="55">
        <v>887330</v>
      </c>
      <c r="GE48" s="55">
        <v>911336</v>
      </c>
      <c r="GF48" s="55">
        <v>934551</v>
      </c>
      <c r="GG48" s="55">
        <v>955282</v>
      </c>
      <c r="GH48" s="55">
        <v>979529</v>
      </c>
      <c r="GI48" s="55">
        <v>1006116</v>
      </c>
      <c r="GJ48" s="55">
        <v>1030406</v>
      </c>
      <c r="GK48" s="55">
        <v>1049071</v>
      </c>
      <c r="GL48" s="77">
        <v>1068997</v>
      </c>
      <c r="GM48" s="55">
        <v>1092270</v>
      </c>
      <c r="GN48" s="55">
        <v>1120938</v>
      </c>
      <c r="GO48" s="55">
        <v>1144519</v>
      </c>
      <c r="GP48" s="55">
        <v>1163139</v>
      </c>
    </row>
    <row r="49" spans="1:198" ht="20.149999999999999" customHeight="1" thickBot="1" x14ac:dyDescent="0.4">
      <c r="A49" s="34" t="s">
        <v>267</v>
      </c>
      <c r="B49" s="148">
        <f>SUM(B43:B48)</f>
        <v>5092</v>
      </c>
      <c r="C49" s="149">
        <f t="shared" ref="C49:BN49" si="20">SUM(C43:C48)</f>
        <v>5683</v>
      </c>
      <c r="D49" s="149">
        <f t="shared" si="20"/>
        <v>6718</v>
      </c>
      <c r="E49" s="149">
        <f t="shared" si="20"/>
        <v>7778</v>
      </c>
      <c r="F49" s="149">
        <f t="shared" si="20"/>
        <v>9307</v>
      </c>
      <c r="G49" s="149">
        <f t="shared" si="20"/>
        <v>11240</v>
      </c>
      <c r="H49" s="149">
        <f t="shared" si="20"/>
        <v>13566</v>
      </c>
      <c r="I49" s="149">
        <f t="shared" si="20"/>
        <v>15859</v>
      </c>
      <c r="J49" s="149">
        <f t="shared" si="20"/>
        <v>18726</v>
      </c>
      <c r="K49" s="149">
        <f t="shared" si="20"/>
        <v>22198</v>
      </c>
      <c r="L49" s="149">
        <f t="shared" si="20"/>
        <v>26183</v>
      </c>
      <c r="M49" s="149">
        <f t="shared" si="20"/>
        <v>29237</v>
      </c>
      <c r="N49" s="148">
        <f t="shared" si="20"/>
        <v>33398</v>
      </c>
      <c r="O49" s="149">
        <f t="shared" si="20"/>
        <v>38086</v>
      </c>
      <c r="P49" s="149">
        <f t="shared" si="20"/>
        <v>45196</v>
      </c>
      <c r="Q49" s="149">
        <f t="shared" si="20"/>
        <v>51615</v>
      </c>
      <c r="R49" s="149">
        <f t="shared" si="20"/>
        <v>58992</v>
      </c>
      <c r="S49" s="149">
        <f t="shared" si="20"/>
        <v>68565</v>
      </c>
      <c r="T49" s="149">
        <f t="shared" si="20"/>
        <v>79892</v>
      </c>
      <c r="U49" s="149">
        <f t="shared" si="20"/>
        <v>94145</v>
      </c>
      <c r="V49" s="149">
        <f t="shared" si="20"/>
        <v>111675</v>
      </c>
      <c r="W49" s="149">
        <f t="shared" si="20"/>
        <v>132175</v>
      </c>
      <c r="X49" s="149">
        <f t="shared" si="20"/>
        <v>189424</v>
      </c>
      <c r="Y49" s="150">
        <f t="shared" si="20"/>
        <v>235881</v>
      </c>
      <c r="Z49" s="149">
        <f t="shared" si="20"/>
        <v>244405</v>
      </c>
      <c r="AA49" s="149">
        <f t="shared" si="20"/>
        <v>288511</v>
      </c>
      <c r="AB49" s="149">
        <f t="shared" si="20"/>
        <v>315613</v>
      </c>
      <c r="AC49" s="149">
        <f t="shared" si="20"/>
        <v>321141</v>
      </c>
      <c r="AD49" s="149">
        <f t="shared" si="20"/>
        <v>331657</v>
      </c>
      <c r="AE49" s="149">
        <f t="shared" si="20"/>
        <v>344942</v>
      </c>
      <c r="AF49" s="149">
        <f t="shared" si="20"/>
        <v>371724</v>
      </c>
      <c r="AG49" s="149">
        <f t="shared" si="20"/>
        <v>375756</v>
      </c>
      <c r="AH49" s="149">
        <f t="shared" si="20"/>
        <v>381147</v>
      </c>
      <c r="AI49" s="149">
        <f t="shared" si="20"/>
        <v>392049</v>
      </c>
      <c r="AJ49" s="149">
        <f t="shared" si="20"/>
        <v>398017</v>
      </c>
      <c r="AK49" s="150">
        <f t="shared" si="20"/>
        <v>404218</v>
      </c>
      <c r="AL49" s="149">
        <f t="shared" si="20"/>
        <v>410888</v>
      </c>
      <c r="AM49" s="149">
        <f t="shared" si="20"/>
        <v>418097</v>
      </c>
      <c r="AN49" s="149">
        <f t="shared" si="20"/>
        <v>426451</v>
      </c>
      <c r="AO49" s="149">
        <f t="shared" si="20"/>
        <v>435069</v>
      </c>
      <c r="AP49" s="149">
        <f t="shared" si="20"/>
        <v>443870</v>
      </c>
      <c r="AQ49" s="149">
        <f t="shared" si="20"/>
        <v>456784</v>
      </c>
      <c r="AR49" s="149">
        <f t="shared" si="20"/>
        <v>463848</v>
      </c>
      <c r="AS49" s="149">
        <f t="shared" si="20"/>
        <v>472194</v>
      </c>
      <c r="AT49" s="149">
        <f t="shared" si="20"/>
        <v>481079</v>
      </c>
      <c r="AU49" s="149">
        <f t="shared" si="20"/>
        <v>490535</v>
      </c>
      <c r="AV49" s="149">
        <f t="shared" si="20"/>
        <v>501308</v>
      </c>
      <c r="AW49" s="150">
        <f t="shared" si="20"/>
        <v>510367</v>
      </c>
      <c r="AX49" s="149">
        <f t="shared" si="20"/>
        <v>519120</v>
      </c>
      <c r="AY49" s="149">
        <f t="shared" si="20"/>
        <v>529473</v>
      </c>
      <c r="AZ49" s="149">
        <f t="shared" si="20"/>
        <v>545748</v>
      </c>
      <c r="BA49" s="149">
        <f t="shared" si="20"/>
        <v>554380</v>
      </c>
      <c r="BB49" s="149">
        <f t="shared" si="20"/>
        <v>563936</v>
      </c>
      <c r="BC49" s="149">
        <f t="shared" si="20"/>
        <v>574615</v>
      </c>
      <c r="BD49" s="149">
        <f t="shared" si="20"/>
        <v>586392</v>
      </c>
      <c r="BE49" s="149">
        <f t="shared" si="20"/>
        <v>597728</v>
      </c>
      <c r="BF49" s="149">
        <f t="shared" si="20"/>
        <v>611220</v>
      </c>
      <c r="BG49" s="149">
        <f t="shared" si="20"/>
        <v>625228</v>
      </c>
      <c r="BH49" s="149">
        <f t="shared" si="20"/>
        <v>638518</v>
      </c>
      <c r="BI49" s="150">
        <f t="shared" si="20"/>
        <v>652352</v>
      </c>
      <c r="BJ49" s="149">
        <f t="shared" si="20"/>
        <v>661317</v>
      </c>
      <c r="BK49" s="149">
        <f t="shared" si="20"/>
        <v>672293</v>
      </c>
      <c r="BL49" s="149">
        <f t="shared" si="20"/>
        <v>689705</v>
      </c>
      <c r="BM49" s="149">
        <f t="shared" si="20"/>
        <v>701109</v>
      </c>
      <c r="BN49" s="149">
        <f t="shared" si="20"/>
        <v>713197</v>
      </c>
      <c r="BO49" s="149">
        <f t="shared" ref="BO49:DZ49" si="21">SUM(BO43:BO48)</f>
        <v>730476</v>
      </c>
      <c r="BP49" s="149">
        <f t="shared" si="21"/>
        <v>742664</v>
      </c>
      <c r="BQ49" s="149">
        <f t="shared" si="21"/>
        <v>755130</v>
      </c>
      <c r="BR49" s="149">
        <f t="shared" si="21"/>
        <v>776158</v>
      </c>
      <c r="BS49" s="149">
        <f t="shared" si="21"/>
        <v>793278</v>
      </c>
      <c r="BT49" s="149">
        <f t="shared" si="21"/>
        <v>815429</v>
      </c>
      <c r="BU49" s="150">
        <f t="shared" si="21"/>
        <v>841824</v>
      </c>
      <c r="BV49" s="149">
        <f t="shared" si="21"/>
        <v>857297</v>
      </c>
      <c r="BW49" s="149">
        <f t="shared" si="21"/>
        <v>860994</v>
      </c>
      <c r="BX49" s="149">
        <f t="shared" si="21"/>
        <v>865862</v>
      </c>
      <c r="BY49" s="149">
        <f t="shared" si="21"/>
        <v>869609</v>
      </c>
      <c r="BZ49" s="149">
        <f t="shared" si="21"/>
        <v>873332</v>
      </c>
      <c r="CA49" s="149">
        <f t="shared" si="21"/>
        <v>877769</v>
      </c>
      <c r="CB49" s="149">
        <f t="shared" si="21"/>
        <v>881301</v>
      </c>
      <c r="CC49" s="149">
        <f t="shared" si="21"/>
        <v>884749</v>
      </c>
      <c r="CD49" s="149">
        <f t="shared" si="21"/>
        <v>889714</v>
      </c>
      <c r="CE49" s="149">
        <f t="shared" si="21"/>
        <v>892597</v>
      </c>
      <c r="CF49" s="149">
        <f t="shared" si="21"/>
        <v>896116</v>
      </c>
      <c r="CG49" s="149">
        <f t="shared" si="21"/>
        <v>898766</v>
      </c>
      <c r="CH49" s="151">
        <f t="shared" si="21"/>
        <v>901302</v>
      </c>
      <c r="CI49" s="149">
        <f t="shared" si="21"/>
        <v>904153</v>
      </c>
      <c r="CJ49" s="149">
        <f t="shared" si="21"/>
        <v>908202</v>
      </c>
      <c r="CK49" s="149">
        <f t="shared" si="21"/>
        <v>910632</v>
      </c>
      <c r="CL49" s="149">
        <f t="shared" si="21"/>
        <v>913895</v>
      </c>
      <c r="CM49" s="149">
        <f t="shared" si="21"/>
        <v>917186</v>
      </c>
      <c r="CN49" s="149">
        <f t="shared" si="21"/>
        <v>920054</v>
      </c>
      <c r="CO49" s="149">
        <f t="shared" si="21"/>
        <v>923282</v>
      </c>
      <c r="CP49" s="149">
        <f t="shared" si="21"/>
        <v>926674</v>
      </c>
      <c r="CQ49" s="149">
        <f t="shared" si="21"/>
        <v>929862</v>
      </c>
      <c r="CR49" s="149">
        <f t="shared" si="21"/>
        <v>933671</v>
      </c>
      <c r="CS49" s="149">
        <f t="shared" si="21"/>
        <v>936151</v>
      </c>
      <c r="CT49" s="151">
        <f t="shared" si="21"/>
        <v>938973</v>
      </c>
      <c r="CU49" s="149">
        <f t="shared" si="21"/>
        <v>941738</v>
      </c>
      <c r="CV49" s="149">
        <f t="shared" si="21"/>
        <v>945125</v>
      </c>
      <c r="CW49" s="149">
        <f t="shared" si="21"/>
        <v>948163</v>
      </c>
      <c r="CX49" s="149">
        <f t="shared" si="21"/>
        <v>951546</v>
      </c>
      <c r="CY49" s="149">
        <f t="shared" si="21"/>
        <v>955044</v>
      </c>
      <c r="CZ49" s="149">
        <f t="shared" si="21"/>
        <v>958333</v>
      </c>
      <c r="DA49" s="149">
        <f t="shared" si="21"/>
        <v>962099</v>
      </c>
      <c r="DB49" s="149">
        <f t="shared" si="21"/>
        <v>965967</v>
      </c>
      <c r="DC49" s="149">
        <f t="shared" si="21"/>
        <v>970433</v>
      </c>
      <c r="DD49" s="149">
        <f t="shared" si="21"/>
        <v>975325</v>
      </c>
      <c r="DE49" s="149">
        <f t="shared" si="21"/>
        <v>979370</v>
      </c>
      <c r="DF49" s="151">
        <f t="shared" si="21"/>
        <v>984453</v>
      </c>
      <c r="DG49" s="149">
        <f t="shared" si="21"/>
        <v>990543</v>
      </c>
      <c r="DH49" s="149">
        <f t="shared" si="21"/>
        <v>1005598</v>
      </c>
      <c r="DI49" s="149">
        <f t="shared" si="21"/>
        <v>1007718</v>
      </c>
      <c r="DJ49" s="149">
        <f t="shared" si="21"/>
        <v>1010385</v>
      </c>
      <c r="DK49" s="149">
        <f t="shared" si="21"/>
        <v>1013296</v>
      </c>
      <c r="DL49" s="149">
        <f t="shared" si="21"/>
        <v>1016248</v>
      </c>
      <c r="DM49" s="149">
        <f t="shared" si="21"/>
        <v>1019365</v>
      </c>
      <c r="DN49" s="149">
        <f t="shared" si="21"/>
        <v>1022791</v>
      </c>
      <c r="DO49" s="149">
        <f t="shared" si="21"/>
        <v>1026372</v>
      </c>
      <c r="DP49" s="149">
        <f t="shared" si="21"/>
        <v>1030036</v>
      </c>
      <c r="DQ49" s="149">
        <f t="shared" si="21"/>
        <v>1032540</v>
      </c>
      <c r="DR49" s="151">
        <f t="shared" si="21"/>
        <v>1035720</v>
      </c>
      <c r="DS49" s="149">
        <f t="shared" si="21"/>
        <v>1038790</v>
      </c>
      <c r="DT49" s="149">
        <f t="shared" si="21"/>
        <v>1042059</v>
      </c>
      <c r="DU49" s="149">
        <f t="shared" si="21"/>
        <v>1042731</v>
      </c>
      <c r="DV49" s="149">
        <f t="shared" si="21"/>
        <v>1043815</v>
      </c>
      <c r="DW49" s="149">
        <f t="shared" si="21"/>
        <v>1046235</v>
      </c>
      <c r="DX49" s="149">
        <f t="shared" si="21"/>
        <v>1049538</v>
      </c>
      <c r="DY49" s="149">
        <f t="shared" si="21"/>
        <v>1052814</v>
      </c>
      <c r="DZ49" s="149">
        <f t="shared" si="21"/>
        <v>1056953</v>
      </c>
      <c r="EA49" s="149">
        <f t="shared" ref="EA49:GL49" si="22">SUM(EA43:EA48)</f>
        <v>1060957</v>
      </c>
      <c r="EB49" s="149">
        <f t="shared" si="22"/>
        <v>1065310</v>
      </c>
      <c r="EC49" s="149">
        <f t="shared" si="22"/>
        <v>1068466</v>
      </c>
      <c r="ED49" s="151">
        <f t="shared" si="22"/>
        <v>1072151</v>
      </c>
      <c r="EE49" s="149">
        <f t="shared" si="22"/>
        <v>1075736</v>
      </c>
      <c r="EF49" s="149">
        <f t="shared" si="22"/>
        <v>1080731</v>
      </c>
      <c r="EG49" s="149">
        <f t="shared" si="22"/>
        <v>1085735</v>
      </c>
      <c r="EH49" s="149">
        <f t="shared" si="22"/>
        <v>1090809</v>
      </c>
      <c r="EI49" s="149">
        <f t="shared" si="22"/>
        <v>1096072</v>
      </c>
      <c r="EJ49" s="149">
        <f t="shared" si="22"/>
        <v>1100983</v>
      </c>
      <c r="EK49" s="149">
        <f t="shared" si="22"/>
        <v>1106092</v>
      </c>
      <c r="EL49" s="149">
        <f t="shared" si="22"/>
        <v>1112068</v>
      </c>
      <c r="EM49" s="149">
        <f t="shared" si="22"/>
        <v>1117691</v>
      </c>
      <c r="EN49" s="149">
        <f t="shared" si="22"/>
        <v>1124835</v>
      </c>
      <c r="EO49" s="149">
        <f t="shared" si="22"/>
        <v>1130022</v>
      </c>
      <c r="EP49" s="151">
        <f t="shared" si="22"/>
        <v>1136190</v>
      </c>
      <c r="EQ49" s="149">
        <f t="shared" si="22"/>
        <v>1143775</v>
      </c>
      <c r="ER49" s="149">
        <f t="shared" si="22"/>
        <v>1153942</v>
      </c>
      <c r="ES49" s="149">
        <f t="shared" si="22"/>
        <v>1163844</v>
      </c>
      <c r="ET49" s="149">
        <f t="shared" si="22"/>
        <v>1175129</v>
      </c>
      <c r="EU49" s="149">
        <f t="shared" si="22"/>
        <v>1186720</v>
      </c>
      <c r="EV49" s="149">
        <f t="shared" si="22"/>
        <v>1198056</v>
      </c>
      <c r="EW49" s="149">
        <f t="shared" si="22"/>
        <v>1210602</v>
      </c>
      <c r="EX49" s="149">
        <f t="shared" si="22"/>
        <v>1225306</v>
      </c>
      <c r="EY49" s="149">
        <f t="shared" si="22"/>
        <v>1239759</v>
      </c>
      <c r="EZ49" s="149">
        <f t="shared" si="22"/>
        <v>1256293</v>
      </c>
      <c r="FA49" s="152">
        <f t="shared" si="22"/>
        <v>1268795</v>
      </c>
      <c r="FB49" s="149">
        <f t="shared" si="22"/>
        <v>1285516</v>
      </c>
      <c r="FC49" s="149">
        <f t="shared" si="22"/>
        <v>1303408</v>
      </c>
      <c r="FD49" s="149">
        <f t="shared" si="22"/>
        <v>1323757</v>
      </c>
      <c r="FE49" s="149">
        <f t="shared" si="22"/>
        <v>1339984</v>
      </c>
      <c r="FF49" s="149">
        <f t="shared" si="22"/>
        <v>1358321</v>
      </c>
      <c r="FG49" s="149">
        <f t="shared" si="22"/>
        <v>1377108</v>
      </c>
      <c r="FH49" s="149">
        <f t="shared" si="22"/>
        <v>1393158</v>
      </c>
      <c r="FI49" s="149">
        <f t="shared" si="22"/>
        <v>1409434</v>
      </c>
      <c r="FJ49" s="149">
        <f t="shared" si="22"/>
        <v>1425415</v>
      </c>
      <c r="FK49" s="149">
        <f t="shared" si="22"/>
        <v>1441222</v>
      </c>
      <c r="FL49" s="149">
        <f t="shared" si="22"/>
        <v>1457469</v>
      </c>
      <c r="FM49" s="152">
        <f t="shared" si="22"/>
        <v>1467806</v>
      </c>
      <c r="FN49" s="149">
        <f t="shared" si="22"/>
        <v>1481187</v>
      </c>
      <c r="FO49" s="174">
        <f t="shared" si="22"/>
        <v>1495335</v>
      </c>
      <c r="FP49" s="174">
        <f t="shared" si="22"/>
        <v>1510538</v>
      </c>
      <c r="FQ49" s="174">
        <f t="shared" si="22"/>
        <v>1526177</v>
      </c>
      <c r="FR49" s="174">
        <f t="shared" si="22"/>
        <v>1542537</v>
      </c>
      <c r="FS49" s="174">
        <f t="shared" si="22"/>
        <v>1558483</v>
      </c>
      <c r="FT49" s="174">
        <f t="shared" si="22"/>
        <v>1575087</v>
      </c>
      <c r="FU49" s="174">
        <f t="shared" si="22"/>
        <v>1590840</v>
      </c>
      <c r="FV49" s="174">
        <f t="shared" si="22"/>
        <v>1608135</v>
      </c>
      <c r="FW49" s="174">
        <f t="shared" si="22"/>
        <v>1628352</v>
      </c>
      <c r="FX49" s="174">
        <f t="shared" si="22"/>
        <v>1649666</v>
      </c>
      <c r="FY49" s="152">
        <f t="shared" si="22"/>
        <v>1663904</v>
      </c>
      <c r="FZ49" s="149">
        <f t="shared" si="22"/>
        <v>1681661</v>
      </c>
      <c r="GA49" s="174">
        <f t="shared" si="22"/>
        <v>1702276</v>
      </c>
      <c r="GB49" s="174">
        <f t="shared" si="22"/>
        <v>1727162</v>
      </c>
      <c r="GC49" s="174">
        <f t="shared" si="22"/>
        <v>1747825</v>
      </c>
      <c r="GD49" s="174">
        <f t="shared" si="22"/>
        <v>1771395</v>
      </c>
      <c r="GE49" s="174">
        <f t="shared" si="22"/>
        <v>1795402</v>
      </c>
      <c r="GF49" s="174">
        <f t="shared" si="22"/>
        <v>1818622</v>
      </c>
      <c r="GG49" s="174">
        <f t="shared" si="22"/>
        <v>1839355</v>
      </c>
      <c r="GH49" s="174">
        <f t="shared" si="22"/>
        <v>1863602</v>
      </c>
      <c r="GI49" s="174">
        <f t="shared" si="22"/>
        <v>1890190</v>
      </c>
      <c r="GJ49" s="174">
        <f t="shared" si="22"/>
        <v>1914481</v>
      </c>
      <c r="GK49" s="152">
        <f t="shared" si="22"/>
        <v>1933148</v>
      </c>
      <c r="GL49" s="149">
        <f t="shared" si="22"/>
        <v>1953076</v>
      </c>
      <c r="GM49" s="174">
        <f t="shared" ref="GM49:GP49" si="23">SUM(GM43:GM48)</f>
        <v>1976349</v>
      </c>
      <c r="GN49" s="174">
        <f t="shared" si="23"/>
        <v>2005019</v>
      </c>
      <c r="GO49" s="174">
        <f t="shared" si="23"/>
        <v>2028605</v>
      </c>
      <c r="GP49" s="174">
        <f t="shared" si="23"/>
        <v>2047225</v>
      </c>
    </row>
  </sheetData>
  <pageMargins left="0.23622047244094502" right="0.23622047244094502" top="0.74803149606299213" bottom="0.74803149606299213" header="0.31496062992126012" footer="0.31496062992126012"/>
  <pageSetup paperSize="9" fitToWidth="0" orientation="landscape" r:id="rId1"/>
  <headerFooter>
    <oddHeader>&amp;LSolar Deployment Table&amp;RTable 1</oddHeader>
    <oddFooter>&amp;Lhttps://www.gov.uk/government/statistics/solar-photovoltaics-deployment</oddFooter>
  </headerFooter>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A1067-4BD9-4179-9D9B-EAB7333E35FD}">
  <dimension ref="A1:I671"/>
  <sheetViews>
    <sheetView showGridLines="0" zoomScaleNormal="100" workbookViewId="0"/>
  </sheetViews>
  <sheetFormatPr defaultColWidth="8.81640625" defaultRowHeight="14.5" x14ac:dyDescent="0.35"/>
  <cols>
    <col min="1" max="2" width="22.453125" style="108" customWidth="1"/>
    <col min="3" max="3" width="46.453125" style="108" customWidth="1"/>
    <col min="4" max="5" width="18.1796875" style="108" customWidth="1"/>
    <col min="6" max="6" width="16.81640625" style="108" customWidth="1"/>
    <col min="7" max="7" width="12.81640625" style="108" bestFit="1" customWidth="1"/>
    <col min="8" max="8" width="10" style="108" bestFit="1" customWidth="1"/>
    <col min="9" max="16384" width="8.81640625" style="108"/>
  </cols>
  <sheetData>
    <row r="1" spans="1:9" ht="41.15" customHeight="1" x14ac:dyDescent="0.45">
      <c r="A1" s="106" t="s">
        <v>1648</v>
      </c>
      <c r="B1" s="106"/>
      <c r="C1" s="107"/>
      <c r="D1" s="107"/>
      <c r="E1" s="107"/>
    </row>
    <row r="2" spans="1:9" ht="15.65" customHeight="1" x14ac:dyDescent="0.45">
      <c r="A2" s="109" t="s">
        <v>286</v>
      </c>
      <c r="B2" s="109"/>
      <c r="C2" s="107"/>
      <c r="D2" s="107"/>
      <c r="E2" s="107"/>
    </row>
    <row r="3" spans="1:9" ht="20.5" customHeight="1" x14ac:dyDescent="0.45">
      <c r="A3" s="108" t="s">
        <v>287</v>
      </c>
      <c r="C3" s="107"/>
      <c r="D3" s="107"/>
      <c r="E3" s="107"/>
    </row>
    <row r="4" spans="1:9" ht="31" x14ac:dyDescent="0.35">
      <c r="A4" s="110" t="s">
        <v>288</v>
      </c>
      <c r="B4" s="110" t="s">
        <v>289</v>
      </c>
      <c r="C4" s="110" t="s">
        <v>290</v>
      </c>
      <c r="D4" s="111" t="s">
        <v>291</v>
      </c>
      <c r="E4" s="111" t="s">
        <v>292</v>
      </c>
    </row>
    <row r="5" spans="1:9" ht="30" customHeight="1" thickBot="1" x14ac:dyDescent="0.4">
      <c r="A5" s="112" t="s">
        <v>293</v>
      </c>
      <c r="B5" s="112" t="s">
        <v>294</v>
      </c>
      <c r="C5" s="112" t="s">
        <v>293</v>
      </c>
      <c r="D5" s="113">
        <v>6759.6630000000059</v>
      </c>
      <c r="E5" s="114">
        <v>1702347</v>
      </c>
      <c r="F5" s="163"/>
      <c r="G5" s="164"/>
      <c r="H5" s="173"/>
      <c r="I5" s="173"/>
    </row>
    <row r="6" spans="1:9" ht="15.5" x14ac:dyDescent="0.35">
      <c r="A6" s="115" t="s">
        <v>295</v>
      </c>
      <c r="B6" s="115" t="s">
        <v>295</v>
      </c>
      <c r="C6" s="115" t="s">
        <v>295</v>
      </c>
      <c r="D6" s="116">
        <v>14.856999999999999</v>
      </c>
      <c r="E6" s="117">
        <v>5450</v>
      </c>
      <c r="F6" s="163"/>
      <c r="G6" s="164"/>
      <c r="H6" s="165"/>
    </row>
    <row r="7" spans="1:9" ht="15.5" x14ac:dyDescent="0.35">
      <c r="A7" s="203" t="s">
        <v>296</v>
      </c>
      <c r="B7" s="203" t="s">
        <v>297</v>
      </c>
      <c r="C7" s="118"/>
      <c r="D7" s="201">
        <v>0</v>
      </c>
      <c r="E7" s="202">
        <v>0</v>
      </c>
      <c r="F7" s="163"/>
      <c r="G7" s="164"/>
      <c r="H7" s="165"/>
    </row>
    <row r="8" spans="1:9" ht="15.5" x14ac:dyDescent="0.35">
      <c r="A8" s="203" t="s">
        <v>298</v>
      </c>
      <c r="B8" s="203" t="s">
        <v>299</v>
      </c>
      <c r="C8" s="118"/>
      <c r="D8" s="201">
        <v>0</v>
      </c>
      <c r="E8" s="202">
        <v>0</v>
      </c>
      <c r="F8" s="163"/>
      <c r="G8" s="164"/>
      <c r="H8" s="165"/>
    </row>
    <row r="9" spans="1:9" ht="15.5" x14ac:dyDescent="0.35">
      <c r="A9" s="118" t="s">
        <v>300</v>
      </c>
      <c r="B9" s="118" t="s">
        <v>299</v>
      </c>
      <c r="C9" s="118" t="s">
        <v>301</v>
      </c>
      <c r="D9" s="201">
        <v>13.699</v>
      </c>
      <c r="E9" s="202">
        <v>3438</v>
      </c>
      <c r="F9" s="163"/>
      <c r="G9" s="164"/>
      <c r="H9" s="165"/>
    </row>
    <row r="10" spans="1:9" ht="15.5" x14ac:dyDescent="0.35">
      <c r="A10" s="118" t="s">
        <v>302</v>
      </c>
      <c r="B10" s="118" t="s">
        <v>299</v>
      </c>
      <c r="C10" s="118" t="s">
        <v>303</v>
      </c>
      <c r="D10" s="201">
        <v>7.5979999999999999</v>
      </c>
      <c r="E10" s="202">
        <v>2174</v>
      </c>
      <c r="F10" s="163"/>
      <c r="G10" s="164"/>
      <c r="H10" s="165"/>
    </row>
    <row r="11" spans="1:9" ht="15.5" x14ac:dyDescent="0.35">
      <c r="A11" s="118" t="s">
        <v>304</v>
      </c>
      <c r="B11" s="118" t="s">
        <v>299</v>
      </c>
      <c r="C11" s="118" t="s">
        <v>305</v>
      </c>
      <c r="D11" s="201">
        <v>11.77</v>
      </c>
      <c r="E11" s="202">
        <v>3728</v>
      </c>
      <c r="F11" s="163"/>
      <c r="G11" s="164"/>
      <c r="H11" s="165"/>
    </row>
    <row r="12" spans="1:9" ht="15.5" x14ac:dyDescent="0.35">
      <c r="A12" s="118" t="s">
        <v>306</v>
      </c>
      <c r="B12" s="118" t="s">
        <v>299</v>
      </c>
      <c r="C12" s="118" t="s">
        <v>307</v>
      </c>
      <c r="D12" s="201">
        <v>12.426</v>
      </c>
      <c r="E12" s="202">
        <v>3479</v>
      </c>
      <c r="F12" s="163"/>
      <c r="G12" s="164"/>
      <c r="H12" s="165"/>
    </row>
    <row r="13" spans="1:9" ht="15.5" x14ac:dyDescent="0.35">
      <c r="A13" s="118" t="s">
        <v>308</v>
      </c>
      <c r="B13" s="118" t="s">
        <v>299</v>
      </c>
      <c r="C13" s="118" t="s">
        <v>309</v>
      </c>
      <c r="D13" s="201">
        <v>11.185</v>
      </c>
      <c r="E13" s="202">
        <v>3592</v>
      </c>
      <c r="F13" s="163"/>
      <c r="G13" s="164"/>
      <c r="H13" s="165"/>
    </row>
    <row r="14" spans="1:9" ht="15.5" x14ac:dyDescent="0.35">
      <c r="A14" s="118" t="s">
        <v>310</v>
      </c>
      <c r="B14" s="118" t="s">
        <v>299</v>
      </c>
      <c r="C14" s="118" t="s">
        <v>311</v>
      </c>
      <c r="D14" s="201">
        <v>9.1069999999999993</v>
      </c>
      <c r="E14" s="202">
        <v>2498</v>
      </c>
      <c r="F14" s="163"/>
      <c r="G14" s="164"/>
      <c r="H14" s="165"/>
    </row>
    <row r="15" spans="1:9" ht="15.5" x14ac:dyDescent="0.35">
      <c r="A15" s="118" t="s">
        <v>312</v>
      </c>
      <c r="B15" s="118" t="s">
        <v>299</v>
      </c>
      <c r="C15" s="118" t="s">
        <v>313</v>
      </c>
      <c r="D15" s="201">
        <v>8.2889999999999997</v>
      </c>
      <c r="E15" s="202">
        <v>2419</v>
      </c>
      <c r="F15" s="163"/>
      <c r="G15" s="164"/>
      <c r="H15" s="165"/>
    </row>
    <row r="16" spans="1:9" ht="15.5" x14ac:dyDescent="0.35">
      <c r="A16" s="118" t="s">
        <v>314</v>
      </c>
      <c r="B16" s="118" t="s">
        <v>299</v>
      </c>
      <c r="C16" s="118" t="s">
        <v>315</v>
      </c>
      <c r="D16" s="201">
        <v>3.9980000000000002</v>
      </c>
      <c r="E16" s="202">
        <v>1188</v>
      </c>
      <c r="F16" s="163"/>
      <c r="G16" s="163"/>
      <c r="H16" s="165"/>
    </row>
    <row r="17" spans="1:8" ht="15.5" x14ac:dyDescent="0.35">
      <c r="A17" s="118" t="s">
        <v>316</v>
      </c>
      <c r="B17" s="118" t="s">
        <v>299</v>
      </c>
      <c r="C17" s="118" t="s">
        <v>317</v>
      </c>
      <c r="D17" s="201">
        <v>9.4450000000000003</v>
      </c>
      <c r="E17" s="202">
        <v>2941</v>
      </c>
      <c r="F17" s="163"/>
      <c r="G17" s="164"/>
      <c r="H17" s="165"/>
    </row>
    <row r="18" spans="1:8" ht="15.5" x14ac:dyDescent="0.35">
      <c r="A18" s="118" t="s">
        <v>318</v>
      </c>
      <c r="B18" s="118" t="s">
        <v>299</v>
      </c>
      <c r="C18" s="118" t="s">
        <v>319</v>
      </c>
      <c r="D18" s="201">
        <v>17.23</v>
      </c>
      <c r="E18" s="202">
        <v>4067</v>
      </c>
      <c r="F18" s="163"/>
      <c r="G18" s="164"/>
      <c r="H18" s="165"/>
    </row>
    <row r="19" spans="1:8" ht="15.5" x14ac:dyDescent="0.35">
      <c r="A19" s="118" t="s">
        <v>320</v>
      </c>
      <c r="B19" s="118" t="s">
        <v>299</v>
      </c>
      <c r="C19" s="118" t="s">
        <v>321</v>
      </c>
      <c r="D19" s="201">
        <v>14.481</v>
      </c>
      <c r="E19" s="202">
        <v>5513</v>
      </c>
      <c r="F19" s="163"/>
      <c r="G19" s="164"/>
      <c r="H19" s="165"/>
    </row>
    <row r="20" spans="1:8" ht="15.5" x14ac:dyDescent="0.35">
      <c r="A20" s="118" t="s">
        <v>322</v>
      </c>
      <c r="B20" s="118" t="s">
        <v>299</v>
      </c>
      <c r="C20" s="118" t="s">
        <v>323</v>
      </c>
      <c r="D20" s="201">
        <v>6.3710000000000004</v>
      </c>
      <c r="E20" s="202">
        <v>1890</v>
      </c>
      <c r="F20" s="163"/>
      <c r="G20" s="164"/>
      <c r="H20" s="165"/>
    </row>
    <row r="21" spans="1:8" ht="15.5" x14ac:dyDescent="0.35">
      <c r="A21" s="118" t="s">
        <v>324</v>
      </c>
      <c r="B21" s="118" t="s">
        <v>299</v>
      </c>
      <c r="C21" s="118" t="s">
        <v>325</v>
      </c>
      <c r="D21" s="201">
        <v>5.8250000000000002</v>
      </c>
      <c r="E21" s="202">
        <v>1745</v>
      </c>
      <c r="F21" s="163"/>
      <c r="G21" s="164"/>
      <c r="H21" s="165"/>
    </row>
    <row r="22" spans="1:8" ht="15.5" x14ac:dyDescent="0.35">
      <c r="A22" s="118" t="s">
        <v>326</v>
      </c>
      <c r="B22" s="118" t="s">
        <v>299</v>
      </c>
      <c r="C22" s="118" t="s">
        <v>327</v>
      </c>
      <c r="D22" s="201">
        <v>9.8049999999999997</v>
      </c>
      <c r="E22" s="202">
        <v>2861</v>
      </c>
      <c r="F22" s="163"/>
      <c r="G22" s="164"/>
      <c r="H22" s="165"/>
    </row>
    <row r="23" spans="1:8" ht="15.5" x14ac:dyDescent="0.35">
      <c r="A23" s="118" t="s">
        <v>328</v>
      </c>
      <c r="B23" s="118" t="s">
        <v>299</v>
      </c>
      <c r="C23" s="118" t="s">
        <v>329</v>
      </c>
      <c r="D23" s="201">
        <v>6.0860000000000003</v>
      </c>
      <c r="E23" s="202">
        <v>1926</v>
      </c>
      <c r="F23" s="163"/>
      <c r="G23" s="164"/>
      <c r="H23" s="165"/>
    </row>
    <row r="24" spans="1:8" ht="15.5" x14ac:dyDescent="0.35">
      <c r="A24" s="118" t="s">
        <v>330</v>
      </c>
      <c r="B24" s="118" t="s">
        <v>299</v>
      </c>
      <c r="C24" s="118" t="s">
        <v>331</v>
      </c>
      <c r="D24" s="201">
        <v>6.7649999999999997</v>
      </c>
      <c r="E24" s="202">
        <v>2419</v>
      </c>
      <c r="F24" s="163"/>
      <c r="G24" s="164"/>
      <c r="H24" s="165"/>
    </row>
    <row r="25" spans="1:8" ht="15.5" x14ac:dyDescent="0.35">
      <c r="A25" s="118" t="s">
        <v>332</v>
      </c>
      <c r="B25" s="118" t="s">
        <v>299</v>
      </c>
      <c r="C25" s="118" t="s">
        <v>333</v>
      </c>
      <c r="D25" s="201">
        <v>7.47</v>
      </c>
      <c r="E25" s="202">
        <v>2024</v>
      </c>
      <c r="F25" s="163"/>
      <c r="G25" s="164"/>
      <c r="H25" s="165"/>
    </row>
    <row r="26" spans="1:8" ht="15.5" x14ac:dyDescent="0.35">
      <c r="A26" s="118" t="s">
        <v>334</v>
      </c>
      <c r="B26" s="118" t="s">
        <v>299</v>
      </c>
      <c r="C26" s="118" t="s">
        <v>335</v>
      </c>
      <c r="D26" s="201">
        <v>10.991</v>
      </c>
      <c r="E26" s="202">
        <v>3025</v>
      </c>
      <c r="F26" s="163"/>
      <c r="G26" s="164"/>
      <c r="H26" s="165"/>
    </row>
    <row r="27" spans="1:8" ht="15.5" x14ac:dyDescent="0.35">
      <c r="A27" s="118" t="s">
        <v>336</v>
      </c>
      <c r="B27" s="118" t="s">
        <v>299</v>
      </c>
      <c r="C27" s="118" t="s">
        <v>337</v>
      </c>
      <c r="D27" s="201">
        <v>10.334</v>
      </c>
      <c r="E27" s="202">
        <v>2886</v>
      </c>
      <c r="F27" s="163"/>
      <c r="G27" s="164"/>
      <c r="H27" s="165"/>
    </row>
    <row r="28" spans="1:8" ht="15.5" x14ac:dyDescent="0.35">
      <c r="A28" s="118" t="s">
        <v>338</v>
      </c>
      <c r="B28" s="118" t="s">
        <v>299</v>
      </c>
      <c r="C28" s="118" t="s">
        <v>339</v>
      </c>
      <c r="D28" s="201">
        <v>19.154</v>
      </c>
      <c r="E28" s="202">
        <v>4888</v>
      </c>
      <c r="F28" s="163"/>
      <c r="G28" s="164"/>
      <c r="H28" s="165"/>
    </row>
    <row r="29" spans="1:8" ht="15.5" x14ac:dyDescent="0.35">
      <c r="A29" s="118" t="s">
        <v>340</v>
      </c>
      <c r="B29" s="118" t="s">
        <v>299</v>
      </c>
      <c r="C29" s="118" t="s">
        <v>341</v>
      </c>
      <c r="D29" s="201">
        <v>7.5460000000000003</v>
      </c>
      <c r="E29" s="202">
        <v>2207</v>
      </c>
      <c r="F29" s="163"/>
      <c r="G29" s="164"/>
      <c r="H29" s="165"/>
    </row>
    <row r="30" spans="1:8" ht="15.5" x14ac:dyDescent="0.35">
      <c r="A30" s="118" t="s">
        <v>342</v>
      </c>
      <c r="B30" s="118" t="s">
        <v>299</v>
      </c>
      <c r="C30" s="118" t="s">
        <v>343</v>
      </c>
      <c r="D30" s="201">
        <v>6.8879999999999999</v>
      </c>
      <c r="E30" s="202">
        <v>2352</v>
      </c>
      <c r="F30" s="163"/>
      <c r="G30" s="164"/>
      <c r="H30" s="165"/>
    </row>
    <row r="31" spans="1:8" ht="15.5" x14ac:dyDescent="0.35">
      <c r="A31" s="118" t="s">
        <v>344</v>
      </c>
      <c r="B31" s="118" t="s">
        <v>299</v>
      </c>
      <c r="C31" s="118" t="s">
        <v>345</v>
      </c>
      <c r="D31" s="201">
        <v>8.9450000000000003</v>
      </c>
      <c r="E31" s="202">
        <v>2489</v>
      </c>
      <c r="F31" s="163"/>
      <c r="G31" s="164"/>
      <c r="H31" s="165"/>
    </row>
    <row r="32" spans="1:8" ht="15.5" x14ac:dyDescent="0.35">
      <c r="A32" s="118" t="s">
        <v>346</v>
      </c>
      <c r="B32" s="118" t="s">
        <v>299</v>
      </c>
      <c r="C32" s="118" t="s">
        <v>347</v>
      </c>
      <c r="D32" s="201">
        <v>11.786</v>
      </c>
      <c r="E32" s="202">
        <v>3026</v>
      </c>
      <c r="F32" s="163"/>
      <c r="G32" s="164"/>
      <c r="H32" s="165"/>
    </row>
    <row r="33" spans="1:8" ht="15.5" x14ac:dyDescent="0.35">
      <c r="A33" s="118" t="s">
        <v>348</v>
      </c>
      <c r="B33" s="118" t="s">
        <v>299</v>
      </c>
      <c r="C33" s="118" t="s">
        <v>349</v>
      </c>
      <c r="D33" s="201">
        <v>6.9909999999999997</v>
      </c>
      <c r="E33" s="202">
        <v>2455</v>
      </c>
      <c r="F33" s="163"/>
      <c r="G33" s="164"/>
      <c r="H33" s="165"/>
    </row>
    <row r="34" spans="1:8" ht="15.5" x14ac:dyDescent="0.35">
      <c r="A34" s="118" t="s">
        <v>350</v>
      </c>
      <c r="B34" s="118" t="s">
        <v>299</v>
      </c>
      <c r="C34" s="118" t="s">
        <v>351</v>
      </c>
      <c r="D34" s="201">
        <v>7.101</v>
      </c>
      <c r="E34" s="202">
        <v>2131</v>
      </c>
      <c r="F34" s="163"/>
      <c r="G34" s="164"/>
      <c r="H34" s="165"/>
    </row>
    <row r="35" spans="1:8" ht="15.5" x14ac:dyDescent="0.35">
      <c r="A35" s="118" t="s">
        <v>352</v>
      </c>
      <c r="B35" s="118" t="s">
        <v>299</v>
      </c>
      <c r="C35" s="118" t="s">
        <v>353</v>
      </c>
      <c r="D35" s="201">
        <v>11.807</v>
      </c>
      <c r="E35" s="202">
        <v>4423</v>
      </c>
      <c r="F35" s="163"/>
      <c r="G35" s="164"/>
      <c r="H35" s="165"/>
    </row>
    <row r="36" spans="1:8" ht="15.5" x14ac:dyDescent="0.35">
      <c r="A36" s="203" t="s">
        <v>354</v>
      </c>
      <c r="B36" s="203" t="s">
        <v>355</v>
      </c>
      <c r="C36" s="118"/>
      <c r="D36" s="201">
        <v>0</v>
      </c>
      <c r="E36" s="202">
        <v>0</v>
      </c>
      <c r="F36" s="163"/>
      <c r="G36" s="164"/>
      <c r="H36" s="165"/>
    </row>
    <row r="37" spans="1:8" ht="15.5" x14ac:dyDescent="0.35">
      <c r="A37" s="118" t="s">
        <v>356</v>
      </c>
      <c r="B37" s="118" t="s">
        <v>355</v>
      </c>
      <c r="C37" s="118" t="s">
        <v>357</v>
      </c>
      <c r="D37" s="201">
        <v>4.8600000000000003</v>
      </c>
      <c r="E37" s="202">
        <v>1162</v>
      </c>
      <c r="F37" s="163"/>
      <c r="G37" s="164"/>
      <c r="H37" s="165"/>
    </row>
    <row r="38" spans="1:8" ht="15.5" x14ac:dyDescent="0.35">
      <c r="A38" s="118" t="s">
        <v>358</v>
      </c>
      <c r="B38" s="118" t="s">
        <v>355</v>
      </c>
      <c r="C38" s="118" t="s">
        <v>359</v>
      </c>
      <c r="D38" s="201">
        <v>6.4390000000000001</v>
      </c>
      <c r="E38" s="202">
        <v>2168</v>
      </c>
      <c r="F38" s="163"/>
      <c r="G38" s="164"/>
      <c r="H38" s="165"/>
    </row>
    <row r="39" spans="1:8" ht="15.5" x14ac:dyDescent="0.35">
      <c r="A39" s="118" t="s">
        <v>360</v>
      </c>
      <c r="B39" s="118" t="s">
        <v>355</v>
      </c>
      <c r="C39" s="118" t="s">
        <v>361</v>
      </c>
      <c r="D39" s="201">
        <v>10.429</v>
      </c>
      <c r="E39" s="202">
        <v>2551</v>
      </c>
      <c r="F39" s="163"/>
      <c r="G39" s="164"/>
      <c r="H39" s="165"/>
    </row>
    <row r="40" spans="1:8" ht="15.5" x14ac:dyDescent="0.35">
      <c r="A40" s="118" t="s">
        <v>362</v>
      </c>
      <c r="B40" s="118" t="s">
        <v>355</v>
      </c>
      <c r="C40" s="118" t="s">
        <v>363</v>
      </c>
      <c r="D40" s="201">
        <v>5.3540000000000001</v>
      </c>
      <c r="E40" s="202">
        <v>1399</v>
      </c>
      <c r="F40" s="163"/>
      <c r="G40" s="164"/>
      <c r="H40" s="165"/>
    </row>
    <row r="41" spans="1:8" ht="15.5" x14ac:dyDescent="0.35">
      <c r="A41" s="118" t="s">
        <v>364</v>
      </c>
      <c r="B41" s="118" t="s">
        <v>355</v>
      </c>
      <c r="C41" s="118" t="s">
        <v>365</v>
      </c>
      <c r="D41" s="201">
        <v>8.3379999999999992</v>
      </c>
      <c r="E41" s="202">
        <v>2385</v>
      </c>
      <c r="F41" s="163"/>
      <c r="G41" s="164"/>
      <c r="H41" s="165"/>
    </row>
    <row r="42" spans="1:8" ht="15.5" x14ac:dyDescent="0.35">
      <c r="A42" s="118" t="s">
        <v>366</v>
      </c>
      <c r="B42" s="118" t="s">
        <v>355</v>
      </c>
      <c r="C42" s="118" t="s">
        <v>367</v>
      </c>
      <c r="D42" s="201">
        <v>9.0830000000000002</v>
      </c>
      <c r="E42" s="202">
        <v>2888</v>
      </c>
      <c r="F42" s="163"/>
      <c r="G42" s="164"/>
      <c r="H42" s="165"/>
    </row>
    <row r="43" spans="1:8" ht="15.5" x14ac:dyDescent="0.35">
      <c r="A43" s="118" t="s">
        <v>368</v>
      </c>
      <c r="B43" s="118" t="s">
        <v>355</v>
      </c>
      <c r="C43" s="118" t="s">
        <v>369</v>
      </c>
      <c r="D43" s="201">
        <v>5.4710000000000001</v>
      </c>
      <c r="E43" s="202">
        <v>1424</v>
      </c>
      <c r="F43" s="163"/>
      <c r="G43" s="164"/>
      <c r="H43" s="165"/>
    </row>
    <row r="44" spans="1:8" ht="15.5" x14ac:dyDescent="0.35">
      <c r="A44" s="118" t="s">
        <v>370</v>
      </c>
      <c r="B44" s="118" t="s">
        <v>355</v>
      </c>
      <c r="C44" s="118" t="s">
        <v>371</v>
      </c>
      <c r="D44" s="201">
        <v>4.5730000000000004</v>
      </c>
      <c r="E44" s="202">
        <v>1273</v>
      </c>
      <c r="F44" s="163"/>
      <c r="G44" s="164"/>
      <c r="H44" s="165"/>
    </row>
    <row r="45" spans="1:8" ht="15.5" x14ac:dyDescent="0.35">
      <c r="A45" s="118" t="s">
        <v>372</v>
      </c>
      <c r="B45" s="118" t="s">
        <v>355</v>
      </c>
      <c r="C45" s="118" t="s">
        <v>373</v>
      </c>
      <c r="D45" s="201">
        <v>5.0970000000000004</v>
      </c>
      <c r="E45" s="202">
        <v>1375</v>
      </c>
      <c r="F45" s="163"/>
      <c r="G45" s="164"/>
      <c r="H45" s="165"/>
    </row>
    <row r="46" spans="1:8" ht="15.5" x14ac:dyDescent="0.35">
      <c r="A46" s="118" t="s">
        <v>374</v>
      </c>
      <c r="B46" s="118" t="s">
        <v>355</v>
      </c>
      <c r="C46" s="118" t="s">
        <v>375</v>
      </c>
      <c r="D46" s="201">
        <v>7.7380000000000004</v>
      </c>
      <c r="E46" s="202">
        <v>2430</v>
      </c>
      <c r="F46" s="163"/>
      <c r="G46" s="164"/>
      <c r="H46" s="165"/>
    </row>
    <row r="47" spans="1:8" ht="15.5" x14ac:dyDescent="0.35">
      <c r="A47" s="118" t="s">
        <v>376</v>
      </c>
      <c r="B47" s="118" t="s">
        <v>355</v>
      </c>
      <c r="C47" s="118" t="s">
        <v>377</v>
      </c>
      <c r="D47" s="201">
        <v>6.5650000000000004</v>
      </c>
      <c r="E47" s="202">
        <v>1490</v>
      </c>
      <c r="F47" s="163"/>
      <c r="G47" s="164"/>
      <c r="H47" s="165"/>
    </row>
    <row r="48" spans="1:8" ht="15.5" x14ac:dyDescent="0.35">
      <c r="A48" s="118" t="s">
        <v>378</v>
      </c>
      <c r="B48" s="118" t="s">
        <v>355</v>
      </c>
      <c r="C48" s="118" t="s">
        <v>379</v>
      </c>
      <c r="D48" s="201">
        <v>3.8519999999999999</v>
      </c>
      <c r="E48" s="202">
        <v>1090</v>
      </c>
      <c r="F48" s="163"/>
      <c r="G48" s="164"/>
      <c r="H48" s="165"/>
    </row>
    <row r="49" spans="1:8" ht="15.5" x14ac:dyDescent="0.35">
      <c r="A49" s="118" t="s">
        <v>380</v>
      </c>
      <c r="B49" s="118" t="s">
        <v>355</v>
      </c>
      <c r="C49" s="118" t="s">
        <v>381</v>
      </c>
      <c r="D49" s="201">
        <v>6.7569999999999997</v>
      </c>
      <c r="E49" s="202">
        <v>1787</v>
      </c>
      <c r="F49" s="163"/>
      <c r="G49" s="164"/>
      <c r="H49" s="165"/>
    </row>
    <row r="50" spans="1:8" ht="15.5" x14ac:dyDescent="0.35">
      <c r="A50" s="118" t="s">
        <v>382</v>
      </c>
      <c r="B50" s="118" t="s">
        <v>355</v>
      </c>
      <c r="C50" s="118" t="s">
        <v>383</v>
      </c>
      <c r="D50" s="201">
        <v>6.9589999999999996</v>
      </c>
      <c r="E50" s="202">
        <v>1764</v>
      </c>
      <c r="F50" s="163"/>
      <c r="G50" s="164"/>
      <c r="H50" s="165"/>
    </row>
    <row r="51" spans="1:8" ht="15.5" x14ac:dyDescent="0.35">
      <c r="A51" s="118" t="s">
        <v>384</v>
      </c>
      <c r="B51" s="118" t="s">
        <v>355</v>
      </c>
      <c r="C51" s="118" t="s">
        <v>385</v>
      </c>
      <c r="D51" s="201">
        <v>4.9870000000000001</v>
      </c>
      <c r="E51" s="202">
        <v>1256</v>
      </c>
      <c r="F51" s="163"/>
      <c r="G51" s="164"/>
      <c r="H51" s="165"/>
    </row>
    <row r="52" spans="1:8" ht="15.5" x14ac:dyDescent="0.35">
      <c r="A52" s="118" t="s">
        <v>386</v>
      </c>
      <c r="B52" s="118" t="s">
        <v>355</v>
      </c>
      <c r="C52" s="118" t="s">
        <v>387</v>
      </c>
      <c r="D52" s="201">
        <v>10.404999999999999</v>
      </c>
      <c r="E52" s="202">
        <v>2594</v>
      </c>
      <c r="F52" s="163"/>
      <c r="G52" s="164"/>
      <c r="H52" s="165"/>
    </row>
    <row r="53" spans="1:8" ht="15.5" x14ac:dyDescent="0.35">
      <c r="A53" s="118" t="s">
        <v>388</v>
      </c>
      <c r="B53" s="118" t="s">
        <v>355</v>
      </c>
      <c r="C53" s="118" t="s">
        <v>389</v>
      </c>
      <c r="D53" s="201">
        <v>6.391</v>
      </c>
      <c r="E53" s="202">
        <v>1697</v>
      </c>
      <c r="F53" s="163"/>
      <c r="G53" s="164"/>
      <c r="H53" s="165"/>
    </row>
    <row r="54" spans="1:8" ht="15.5" x14ac:dyDescent="0.35">
      <c r="A54" s="118" t="s">
        <v>390</v>
      </c>
      <c r="B54" s="118" t="s">
        <v>355</v>
      </c>
      <c r="C54" s="118" t="s">
        <v>391</v>
      </c>
      <c r="D54" s="201">
        <v>10.179</v>
      </c>
      <c r="E54" s="202">
        <v>2504</v>
      </c>
      <c r="F54" s="163"/>
      <c r="G54" s="164"/>
      <c r="H54" s="165"/>
    </row>
    <row r="55" spans="1:8" ht="15.5" x14ac:dyDescent="0.35">
      <c r="A55" s="118" t="s">
        <v>392</v>
      </c>
      <c r="B55" s="118" t="s">
        <v>355</v>
      </c>
      <c r="C55" s="118" t="s">
        <v>393</v>
      </c>
      <c r="D55" s="201">
        <v>18.846</v>
      </c>
      <c r="E55" s="202">
        <v>3988</v>
      </c>
      <c r="F55" s="163"/>
      <c r="G55" s="164"/>
      <c r="H55" s="165"/>
    </row>
    <row r="56" spans="1:8" ht="15.5" x14ac:dyDescent="0.35">
      <c r="A56" s="118" t="s">
        <v>394</v>
      </c>
      <c r="B56" s="118" t="s">
        <v>355</v>
      </c>
      <c r="C56" s="118" t="s">
        <v>395</v>
      </c>
      <c r="D56" s="201">
        <v>9.9819999999999993</v>
      </c>
      <c r="E56" s="202">
        <v>3136</v>
      </c>
      <c r="F56" s="163"/>
      <c r="G56" s="164"/>
      <c r="H56" s="165"/>
    </row>
    <row r="57" spans="1:8" ht="15.5" x14ac:dyDescent="0.35">
      <c r="A57" s="118" t="s">
        <v>396</v>
      </c>
      <c r="B57" s="118" t="s">
        <v>355</v>
      </c>
      <c r="C57" s="118" t="s">
        <v>397</v>
      </c>
      <c r="D57" s="201">
        <v>11.914999999999999</v>
      </c>
      <c r="E57" s="202">
        <v>2648</v>
      </c>
      <c r="F57" s="163"/>
      <c r="G57" s="164"/>
      <c r="H57" s="165"/>
    </row>
    <row r="58" spans="1:8" ht="15.5" x14ac:dyDescent="0.35">
      <c r="A58" s="118" t="s">
        <v>398</v>
      </c>
      <c r="B58" s="118" t="s">
        <v>355</v>
      </c>
      <c r="C58" s="118" t="s">
        <v>399</v>
      </c>
      <c r="D58" s="201">
        <v>9.4760000000000009</v>
      </c>
      <c r="E58" s="202">
        <v>2461</v>
      </c>
      <c r="F58" s="163"/>
      <c r="G58" s="164"/>
      <c r="H58" s="165"/>
    </row>
    <row r="59" spans="1:8" ht="15.5" x14ac:dyDescent="0.35">
      <c r="A59" s="118" t="s">
        <v>400</v>
      </c>
      <c r="B59" s="118" t="s">
        <v>355</v>
      </c>
      <c r="C59" s="118" t="s">
        <v>401</v>
      </c>
      <c r="D59" s="201">
        <v>6.4029999999999996</v>
      </c>
      <c r="E59" s="202">
        <v>1770</v>
      </c>
      <c r="F59" s="163"/>
      <c r="G59" s="164"/>
      <c r="H59" s="165"/>
    </row>
    <row r="60" spans="1:8" ht="15.5" x14ac:dyDescent="0.35">
      <c r="A60" s="118" t="s">
        <v>402</v>
      </c>
      <c r="B60" s="118" t="s">
        <v>355</v>
      </c>
      <c r="C60" s="118" t="s">
        <v>403</v>
      </c>
      <c r="D60" s="201">
        <v>8.4420000000000002</v>
      </c>
      <c r="E60" s="202">
        <v>1970</v>
      </c>
      <c r="F60" s="163"/>
      <c r="G60" s="164"/>
      <c r="H60" s="165"/>
    </row>
    <row r="61" spans="1:8" ht="15.5" x14ac:dyDescent="0.35">
      <c r="A61" s="118" t="s">
        <v>404</v>
      </c>
      <c r="B61" s="118" t="s">
        <v>355</v>
      </c>
      <c r="C61" s="118" t="s">
        <v>405</v>
      </c>
      <c r="D61" s="201">
        <v>6.3129999999999997</v>
      </c>
      <c r="E61" s="202">
        <v>2229</v>
      </c>
      <c r="F61" s="163"/>
      <c r="G61" s="164"/>
      <c r="H61" s="165"/>
    </row>
    <row r="62" spans="1:8" ht="15.5" x14ac:dyDescent="0.35">
      <c r="A62" s="118" t="s">
        <v>406</v>
      </c>
      <c r="B62" s="118" t="s">
        <v>355</v>
      </c>
      <c r="C62" s="118" t="s">
        <v>407</v>
      </c>
      <c r="D62" s="201">
        <v>7.55</v>
      </c>
      <c r="E62" s="202">
        <v>2166</v>
      </c>
      <c r="F62" s="163"/>
      <c r="G62" s="164"/>
      <c r="H62" s="165"/>
    </row>
    <row r="63" spans="1:8" ht="15.5" x14ac:dyDescent="0.35">
      <c r="A63" s="118" t="s">
        <v>408</v>
      </c>
      <c r="B63" s="118" t="s">
        <v>355</v>
      </c>
      <c r="C63" s="118" t="s">
        <v>409</v>
      </c>
      <c r="D63" s="201">
        <v>6.47</v>
      </c>
      <c r="E63" s="202">
        <v>1841</v>
      </c>
      <c r="F63" s="163"/>
      <c r="G63" s="164"/>
      <c r="H63" s="165"/>
    </row>
    <row r="64" spans="1:8" ht="15.5" x14ac:dyDescent="0.35">
      <c r="A64" s="118" t="s">
        <v>410</v>
      </c>
      <c r="B64" s="118" t="s">
        <v>355</v>
      </c>
      <c r="C64" s="118" t="s">
        <v>411</v>
      </c>
      <c r="D64" s="201">
        <v>5.484</v>
      </c>
      <c r="E64" s="202">
        <v>1407</v>
      </c>
      <c r="F64" s="163"/>
      <c r="G64" s="164"/>
      <c r="H64" s="165"/>
    </row>
    <row r="65" spans="1:8" ht="15.5" x14ac:dyDescent="0.35">
      <c r="A65" s="118" t="s">
        <v>412</v>
      </c>
      <c r="B65" s="118" t="s">
        <v>355</v>
      </c>
      <c r="C65" s="118" t="s">
        <v>413</v>
      </c>
      <c r="D65" s="201">
        <v>9.0540000000000003</v>
      </c>
      <c r="E65" s="202">
        <v>3044</v>
      </c>
      <c r="F65" s="163"/>
      <c r="G65" s="164"/>
      <c r="H65" s="165"/>
    </row>
    <row r="66" spans="1:8" ht="15.5" x14ac:dyDescent="0.35">
      <c r="A66" s="118" t="s">
        <v>414</v>
      </c>
      <c r="B66" s="118" t="s">
        <v>355</v>
      </c>
      <c r="C66" s="118" t="s">
        <v>415</v>
      </c>
      <c r="D66" s="201">
        <v>11.958</v>
      </c>
      <c r="E66" s="202">
        <v>2520</v>
      </c>
      <c r="F66" s="163"/>
      <c r="G66" s="164"/>
      <c r="H66" s="165"/>
    </row>
    <row r="67" spans="1:8" ht="15.5" x14ac:dyDescent="0.35">
      <c r="A67" s="118" t="s">
        <v>416</v>
      </c>
      <c r="B67" s="118" t="s">
        <v>355</v>
      </c>
      <c r="C67" s="118" t="s">
        <v>417</v>
      </c>
      <c r="D67" s="201">
        <v>7.577</v>
      </c>
      <c r="E67" s="202">
        <v>2398</v>
      </c>
      <c r="F67" s="163"/>
      <c r="G67" s="164"/>
      <c r="H67" s="165"/>
    </row>
    <row r="68" spans="1:8" ht="15.5" x14ac:dyDescent="0.35">
      <c r="A68" s="118" t="s">
        <v>418</v>
      </c>
      <c r="B68" s="118" t="s">
        <v>355</v>
      </c>
      <c r="C68" s="118" t="s">
        <v>419</v>
      </c>
      <c r="D68" s="201">
        <v>8.1809999999999992</v>
      </c>
      <c r="E68" s="202">
        <v>2498</v>
      </c>
      <c r="F68" s="163"/>
      <c r="G68" s="164"/>
      <c r="H68" s="165"/>
    </row>
    <row r="69" spans="1:8" ht="15.5" x14ac:dyDescent="0.35">
      <c r="A69" s="118" t="s">
        <v>420</v>
      </c>
      <c r="B69" s="118" t="s">
        <v>355</v>
      </c>
      <c r="C69" s="118" t="s">
        <v>421</v>
      </c>
      <c r="D69" s="201">
        <v>4.625</v>
      </c>
      <c r="E69" s="202">
        <v>1500</v>
      </c>
      <c r="F69" s="163"/>
      <c r="G69" s="164"/>
      <c r="H69" s="165"/>
    </row>
    <row r="70" spans="1:8" ht="15.5" x14ac:dyDescent="0.35">
      <c r="A70" s="118" t="s">
        <v>422</v>
      </c>
      <c r="B70" s="118" t="s">
        <v>355</v>
      </c>
      <c r="C70" s="118" t="s">
        <v>423</v>
      </c>
      <c r="D70" s="201">
        <v>6.3159999999999998</v>
      </c>
      <c r="E70" s="202">
        <v>2112</v>
      </c>
      <c r="F70" s="163"/>
      <c r="G70" s="164"/>
      <c r="H70" s="165"/>
    </row>
    <row r="71" spans="1:8" ht="15.5" x14ac:dyDescent="0.35">
      <c r="A71" s="118" t="s">
        <v>424</v>
      </c>
      <c r="B71" s="118" t="s">
        <v>355</v>
      </c>
      <c r="C71" s="118" t="s">
        <v>425</v>
      </c>
      <c r="D71" s="201">
        <v>3.8650000000000002</v>
      </c>
      <c r="E71" s="202">
        <v>1095</v>
      </c>
      <c r="F71" s="163"/>
      <c r="G71" s="164"/>
      <c r="H71" s="165"/>
    </row>
    <row r="72" spans="1:8" ht="15.5" x14ac:dyDescent="0.35">
      <c r="A72" s="118" t="s">
        <v>426</v>
      </c>
      <c r="B72" s="118" t="s">
        <v>355</v>
      </c>
      <c r="C72" s="118" t="s">
        <v>427</v>
      </c>
      <c r="D72" s="201">
        <v>5.0519999999999996</v>
      </c>
      <c r="E72" s="202">
        <v>1611</v>
      </c>
      <c r="F72" s="163"/>
      <c r="G72" s="164"/>
      <c r="H72" s="165"/>
    </row>
    <row r="73" spans="1:8" ht="15.5" x14ac:dyDescent="0.35">
      <c r="A73" s="118" t="s">
        <v>428</v>
      </c>
      <c r="B73" s="118" t="s">
        <v>355</v>
      </c>
      <c r="C73" s="118" t="s">
        <v>429</v>
      </c>
      <c r="D73" s="201">
        <v>10.391999999999999</v>
      </c>
      <c r="E73" s="202">
        <v>2394</v>
      </c>
      <c r="F73" s="163"/>
      <c r="G73" s="164"/>
      <c r="H73" s="165"/>
    </row>
    <row r="74" spans="1:8" ht="15.5" x14ac:dyDescent="0.35">
      <c r="A74" s="118" t="s">
        <v>430</v>
      </c>
      <c r="B74" s="118" t="s">
        <v>355</v>
      </c>
      <c r="C74" s="118" t="s">
        <v>431</v>
      </c>
      <c r="D74" s="201">
        <v>6.3780000000000001</v>
      </c>
      <c r="E74" s="202">
        <v>1783</v>
      </c>
      <c r="F74" s="163"/>
      <c r="G74" s="164"/>
      <c r="H74" s="165"/>
    </row>
    <row r="75" spans="1:8" ht="15.5" x14ac:dyDescent="0.35">
      <c r="A75" s="118" t="s">
        <v>432</v>
      </c>
      <c r="B75" s="118" t="s">
        <v>355</v>
      </c>
      <c r="C75" s="118" t="s">
        <v>433</v>
      </c>
      <c r="D75" s="201">
        <v>4.524</v>
      </c>
      <c r="E75" s="202">
        <v>1334</v>
      </c>
      <c r="F75" s="163"/>
      <c r="G75" s="164"/>
      <c r="H75" s="165"/>
    </row>
    <row r="76" spans="1:8" ht="15.5" x14ac:dyDescent="0.35">
      <c r="A76" s="118" t="s">
        <v>434</v>
      </c>
      <c r="B76" s="118" t="s">
        <v>355</v>
      </c>
      <c r="C76" s="118" t="s">
        <v>435</v>
      </c>
      <c r="D76" s="201">
        <v>3.129</v>
      </c>
      <c r="E76" s="202">
        <v>1119</v>
      </c>
      <c r="F76" s="163"/>
      <c r="G76" s="164"/>
      <c r="H76" s="165"/>
    </row>
    <row r="77" spans="1:8" ht="15.5" x14ac:dyDescent="0.35">
      <c r="A77" s="118" t="s">
        <v>436</v>
      </c>
      <c r="B77" s="118" t="s">
        <v>355</v>
      </c>
      <c r="C77" s="118" t="s">
        <v>437</v>
      </c>
      <c r="D77" s="201">
        <v>6.524</v>
      </c>
      <c r="E77" s="202">
        <v>2257</v>
      </c>
      <c r="F77" s="163"/>
      <c r="G77" s="164"/>
      <c r="H77" s="165"/>
    </row>
    <row r="78" spans="1:8" ht="15.5" x14ac:dyDescent="0.35">
      <c r="A78" s="118" t="s">
        <v>438</v>
      </c>
      <c r="B78" s="118" t="s">
        <v>355</v>
      </c>
      <c r="C78" s="118" t="s">
        <v>439</v>
      </c>
      <c r="D78" s="201">
        <v>10.304</v>
      </c>
      <c r="E78" s="202">
        <v>2844</v>
      </c>
      <c r="F78" s="163"/>
      <c r="G78" s="164"/>
      <c r="H78" s="165"/>
    </row>
    <row r="79" spans="1:8" ht="15.5" x14ac:dyDescent="0.35">
      <c r="A79" s="118" t="s">
        <v>440</v>
      </c>
      <c r="B79" s="118" t="s">
        <v>355</v>
      </c>
      <c r="C79" s="118" t="s">
        <v>441</v>
      </c>
      <c r="D79" s="201">
        <v>13.064</v>
      </c>
      <c r="E79" s="202">
        <v>2912</v>
      </c>
      <c r="F79" s="163"/>
      <c r="G79" s="164"/>
      <c r="H79" s="165"/>
    </row>
    <row r="80" spans="1:8" ht="15.5" x14ac:dyDescent="0.35">
      <c r="A80" s="118" t="s">
        <v>442</v>
      </c>
      <c r="B80" s="118" t="s">
        <v>355</v>
      </c>
      <c r="C80" s="118" t="s">
        <v>443</v>
      </c>
      <c r="D80" s="201">
        <v>5.8040000000000003</v>
      </c>
      <c r="E80" s="202">
        <v>1539</v>
      </c>
      <c r="F80" s="163"/>
      <c r="G80" s="164"/>
      <c r="H80" s="165"/>
    </row>
    <row r="81" spans="1:8" ht="15.5" x14ac:dyDescent="0.35">
      <c r="A81" s="118" t="s">
        <v>444</v>
      </c>
      <c r="B81" s="118" t="s">
        <v>355</v>
      </c>
      <c r="C81" s="118" t="s">
        <v>445</v>
      </c>
      <c r="D81" s="201">
        <v>5.5540000000000003</v>
      </c>
      <c r="E81" s="202">
        <v>1745</v>
      </c>
      <c r="F81" s="163"/>
      <c r="G81" s="164"/>
      <c r="H81" s="165"/>
    </row>
    <row r="82" spans="1:8" ht="15.5" x14ac:dyDescent="0.35">
      <c r="A82" s="118" t="s">
        <v>446</v>
      </c>
      <c r="B82" s="118" t="s">
        <v>355</v>
      </c>
      <c r="C82" s="118" t="s">
        <v>447</v>
      </c>
      <c r="D82" s="201">
        <v>10.888999999999999</v>
      </c>
      <c r="E82" s="202">
        <v>2537</v>
      </c>
      <c r="F82" s="163"/>
      <c r="G82" s="164"/>
      <c r="H82" s="165"/>
    </row>
    <row r="83" spans="1:8" ht="15.5" x14ac:dyDescent="0.35">
      <c r="A83" s="118" t="s">
        <v>448</v>
      </c>
      <c r="B83" s="118" t="s">
        <v>355</v>
      </c>
      <c r="C83" s="118" t="s">
        <v>449</v>
      </c>
      <c r="D83" s="201">
        <v>18.814</v>
      </c>
      <c r="E83" s="202">
        <v>4240</v>
      </c>
      <c r="F83" s="163"/>
      <c r="G83" s="164"/>
      <c r="H83" s="165"/>
    </row>
    <row r="84" spans="1:8" ht="15.5" x14ac:dyDescent="0.35">
      <c r="A84" s="118" t="s">
        <v>450</v>
      </c>
      <c r="B84" s="118" t="s">
        <v>355</v>
      </c>
      <c r="C84" s="118" t="s">
        <v>451</v>
      </c>
      <c r="D84" s="201">
        <v>5.8390000000000004</v>
      </c>
      <c r="E84" s="202">
        <v>1736</v>
      </c>
      <c r="F84" s="163"/>
      <c r="G84" s="164"/>
      <c r="H84" s="165"/>
    </row>
    <row r="85" spans="1:8" ht="15.5" x14ac:dyDescent="0.35">
      <c r="A85" s="118" t="s">
        <v>452</v>
      </c>
      <c r="B85" s="118" t="s">
        <v>355</v>
      </c>
      <c r="C85" s="118" t="s">
        <v>453</v>
      </c>
      <c r="D85" s="201">
        <v>13.211</v>
      </c>
      <c r="E85" s="202">
        <v>3339</v>
      </c>
      <c r="F85" s="163"/>
      <c r="G85" s="164"/>
      <c r="H85" s="165"/>
    </row>
    <row r="86" spans="1:8" ht="15.5" x14ac:dyDescent="0.35">
      <c r="A86" s="118" t="s">
        <v>454</v>
      </c>
      <c r="B86" s="118" t="s">
        <v>355</v>
      </c>
      <c r="C86" s="118" t="s">
        <v>455</v>
      </c>
      <c r="D86" s="201">
        <v>5.1050000000000004</v>
      </c>
      <c r="E86" s="202">
        <v>1386</v>
      </c>
      <c r="F86" s="163"/>
      <c r="G86" s="164"/>
      <c r="H86" s="165"/>
    </row>
    <row r="87" spans="1:8" ht="15.5" x14ac:dyDescent="0.35">
      <c r="A87" s="118" t="s">
        <v>456</v>
      </c>
      <c r="B87" s="118" t="s">
        <v>355</v>
      </c>
      <c r="C87" s="118" t="s">
        <v>457</v>
      </c>
      <c r="D87" s="201">
        <v>9.9260000000000002</v>
      </c>
      <c r="E87" s="202">
        <v>2437</v>
      </c>
      <c r="F87" s="163"/>
      <c r="G87" s="164"/>
      <c r="H87" s="165"/>
    </row>
    <row r="88" spans="1:8" ht="15.5" x14ac:dyDescent="0.35">
      <c r="A88" s="118" t="s">
        <v>458</v>
      </c>
      <c r="B88" s="118" t="s">
        <v>355</v>
      </c>
      <c r="C88" s="118" t="s">
        <v>459</v>
      </c>
      <c r="D88" s="201">
        <v>9.6150000000000002</v>
      </c>
      <c r="E88" s="202">
        <v>2409</v>
      </c>
      <c r="F88" s="163"/>
      <c r="G88" s="164"/>
      <c r="H88" s="165"/>
    </row>
    <row r="89" spans="1:8" ht="15.5" x14ac:dyDescent="0.35">
      <c r="A89" s="118" t="s">
        <v>460</v>
      </c>
      <c r="B89" s="118" t="s">
        <v>355</v>
      </c>
      <c r="C89" s="118" t="s">
        <v>461</v>
      </c>
      <c r="D89" s="201">
        <v>3.972</v>
      </c>
      <c r="E89" s="202">
        <v>1336</v>
      </c>
      <c r="F89" s="163"/>
      <c r="G89" s="164"/>
      <c r="H89" s="165"/>
    </row>
    <row r="90" spans="1:8" ht="15.5" x14ac:dyDescent="0.35">
      <c r="A90" s="118" t="s">
        <v>462</v>
      </c>
      <c r="B90" s="118" t="s">
        <v>355</v>
      </c>
      <c r="C90" s="118" t="s">
        <v>463</v>
      </c>
      <c r="D90" s="201">
        <v>7.1619999999999999</v>
      </c>
      <c r="E90" s="202">
        <v>1856</v>
      </c>
      <c r="F90" s="163"/>
      <c r="G90" s="164"/>
      <c r="H90" s="165"/>
    </row>
    <row r="91" spans="1:8" ht="15.5" x14ac:dyDescent="0.35">
      <c r="A91" s="118" t="s">
        <v>464</v>
      </c>
      <c r="B91" s="118" t="s">
        <v>355</v>
      </c>
      <c r="C91" s="118" t="s">
        <v>465</v>
      </c>
      <c r="D91" s="201">
        <v>9.77</v>
      </c>
      <c r="E91" s="202">
        <v>2290</v>
      </c>
      <c r="F91" s="163"/>
      <c r="G91" s="164"/>
      <c r="H91" s="165"/>
    </row>
    <row r="92" spans="1:8" ht="15.5" x14ac:dyDescent="0.35">
      <c r="A92" s="118" t="s">
        <v>466</v>
      </c>
      <c r="B92" s="118" t="s">
        <v>355</v>
      </c>
      <c r="C92" s="118" t="s">
        <v>467</v>
      </c>
      <c r="D92" s="201">
        <v>6.867</v>
      </c>
      <c r="E92" s="202">
        <v>1533</v>
      </c>
      <c r="F92" s="163"/>
      <c r="G92" s="164"/>
      <c r="H92" s="165"/>
    </row>
    <row r="93" spans="1:8" ht="15.5" x14ac:dyDescent="0.35">
      <c r="A93" s="118" t="s">
        <v>468</v>
      </c>
      <c r="B93" s="118" t="s">
        <v>355</v>
      </c>
      <c r="C93" s="118" t="s">
        <v>469</v>
      </c>
      <c r="D93" s="201">
        <v>6.7030000000000003</v>
      </c>
      <c r="E93" s="202">
        <v>1963</v>
      </c>
      <c r="F93" s="163"/>
      <c r="G93" s="164"/>
      <c r="H93" s="165"/>
    </row>
    <row r="94" spans="1:8" ht="15.5" x14ac:dyDescent="0.35">
      <c r="A94" s="118" t="s">
        <v>470</v>
      </c>
      <c r="B94" s="118" t="s">
        <v>355</v>
      </c>
      <c r="C94" s="118" t="s">
        <v>471</v>
      </c>
      <c r="D94" s="201">
        <v>6.3319999999999999</v>
      </c>
      <c r="E94" s="202">
        <v>1970</v>
      </c>
      <c r="F94" s="163"/>
      <c r="G94" s="164"/>
      <c r="H94" s="165"/>
    </row>
    <row r="95" spans="1:8" ht="15.5" x14ac:dyDescent="0.35">
      <c r="A95" s="118" t="s">
        <v>472</v>
      </c>
      <c r="B95" s="118" t="s">
        <v>355</v>
      </c>
      <c r="C95" s="118" t="s">
        <v>473</v>
      </c>
      <c r="D95" s="201">
        <v>7.0640000000000001</v>
      </c>
      <c r="E95" s="202">
        <v>2170</v>
      </c>
      <c r="F95" s="163"/>
      <c r="G95" s="164"/>
      <c r="H95" s="165"/>
    </row>
    <row r="96" spans="1:8" ht="15.5" x14ac:dyDescent="0.35">
      <c r="A96" s="118" t="s">
        <v>474</v>
      </c>
      <c r="B96" s="118" t="s">
        <v>355</v>
      </c>
      <c r="C96" s="118" t="s">
        <v>475</v>
      </c>
      <c r="D96" s="201">
        <v>6.6479999999999997</v>
      </c>
      <c r="E96" s="202">
        <v>2296</v>
      </c>
      <c r="F96" s="163"/>
      <c r="G96" s="164"/>
      <c r="H96" s="165"/>
    </row>
    <row r="97" spans="1:8" ht="15.5" x14ac:dyDescent="0.35">
      <c r="A97" s="118" t="s">
        <v>476</v>
      </c>
      <c r="B97" s="118" t="s">
        <v>355</v>
      </c>
      <c r="C97" s="118" t="s">
        <v>477</v>
      </c>
      <c r="D97" s="201">
        <v>4.6420000000000003</v>
      </c>
      <c r="E97" s="202">
        <v>1262</v>
      </c>
      <c r="F97" s="163"/>
      <c r="G97" s="164"/>
      <c r="H97" s="165"/>
    </row>
    <row r="98" spans="1:8" ht="15.5" x14ac:dyDescent="0.35">
      <c r="A98" s="118" t="s">
        <v>478</v>
      </c>
      <c r="B98" s="118" t="s">
        <v>355</v>
      </c>
      <c r="C98" s="118" t="s">
        <v>479</v>
      </c>
      <c r="D98" s="201">
        <v>11.502000000000001</v>
      </c>
      <c r="E98" s="202">
        <v>2539</v>
      </c>
      <c r="F98" s="163"/>
      <c r="G98" s="164"/>
      <c r="H98" s="165"/>
    </row>
    <row r="99" spans="1:8" ht="15.5" x14ac:dyDescent="0.35">
      <c r="A99" s="118" t="s">
        <v>480</v>
      </c>
      <c r="B99" s="118" t="s">
        <v>355</v>
      </c>
      <c r="C99" s="118" t="s">
        <v>481</v>
      </c>
      <c r="D99" s="201">
        <v>5.9329999999999998</v>
      </c>
      <c r="E99" s="202">
        <v>1635</v>
      </c>
      <c r="F99" s="163"/>
      <c r="G99" s="164"/>
      <c r="H99" s="165"/>
    </row>
    <row r="100" spans="1:8" ht="15.5" x14ac:dyDescent="0.35">
      <c r="A100" s="118" t="s">
        <v>482</v>
      </c>
      <c r="B100" s="118" t="s">
        <v>355</v>
      </c>
      <c r="C100" s="118" t="s">
        <v>483</v>
      </c>
      <c r="D100" s="201">
        <v>9.298</v>
      </c>
      <c r="E100" s="202">
        <v>3039</v>
      </c>
      <c r="F100" s="163"/>
      <c r="G100" s="164"/>
      <c r="H100" s="165"/>
    </row>
    <row r="101" spans="1:8" ht="15.5" x14ac:dyDescent="0.35">
      <c r="A101" s="118" t="s">
        <v>484</v>
      </c>
      <c r="B101" s="118" t="s">
        <v>355</v>
      </c>
      <c r="C101" s="118" t="s">
        <v>485</v>
      </c>
      <c r="D101" s="201">
        <v>8.2520000000000007</v>
      </c>
      <c r="E101" s="202">
        <v>2206</v>
      </c>
      <c r="F101" s="163"/>
      <c r="G101" s="164"/>
      <c r="H101" s="165"/>
    </row>
    <row r="102" spans="1:8" ht="15.5" x14ac:dyDescent="0.35">
      <c r="A102" s="118" t="s">
        <v>486</v>
      </c>
      <c r="B102" s="118" t="s">
        <v>355</v>
      </c>
      <c r="C102" s="118" t="s">
        <v>487</v>
      </c>
      <c r="D102" s="201">
        <v>9.2159999999999993</v>
      </c>
      <c r="E102" s="202">
        <v>2306</v>
      </c>
      <c r="F102" s="163"/>
      <c r="G102" s="164"/>
      <c r="H102" s="165"/>
    </row>
    <row r="103" spans="1:8" ht="15.5" x14ac:dyDescent="0.35">
      <c r="A103" s="118" t="s">
        <v>488</v>
      </c>
      <c r="B103" s="118" t="s">
        <v>355</v>
      </c>
      <c r="C103" s="118" t="s">
        <v>489</v>
      </c>
      <c r="D103" s="201">
        <v>21.826000000000001</v>
      </c>
      <c r="E103" s="202">
        <v>5045</v>
      </c>
      <c r="F103" s="163"/>
      <c r="G103" s="164"/>
      <c r="H103" s="165"/>
    </row>
    <row r="104" spans="1:8" ht="15.5" x14ac:dyDescent="0.35">
      <c r="A104" s="118" t="s">
        <v>490</v>
      </c>
      <c r="B104" s="118" t="s">
        <v>355</v>
      </c>
      <c r="C104" s="118" t="s">
        <v>491</v>
      </c>
      <c r="D104" s="201">
        <v>9.2189999999999994</v>
      </c>
      <c r="E104" s="202">
        <v>2162</v>
      </c>
      <c r="F104" s="163"/>
      <c r="G104" s="164"/>
      <c r="H104" s="165"/>
    </row>
    <row r="105" spans="1:8" ht="15.5" x14ac:dyDescent="0.35">
      <c r="A105" s="118" t="s">
        <v>492</v>
      </c>
      <c r="B105" s="118" t="s">
        <v>355</v>
      </c>
      <c r="C105" s="118" t="s">
        <v>493</v>
      </c>
      <c r="D105" s="201">
        <v>7.1660000000000004</v>
      </c>
      <c r="E105" s="202">
        <v>2049</v>
      </c>
      <c r="F105" s="163"/>
      <c r="G105" s="164"/>
      <c r="H105" s="165"/>
    </row>
    <row r="106" spans="1:8" ht="15.5" x14ac:dyDescent="0.35">
      <c r="A106" s="118" t="s">
        <v>494</v>
      </c>
      <c r="B106" s="118" t="s">
        <v>355</v>
      </c>
      <c r="C106" s="118" t="s">
        <v>495</v>
      </c>
      <c r="D106" s="201">
        <v>5.7640000000000002</v>
      </c>
      <c r="E106" s="202">
        <v>1727</v>
      </c>
      <c r="F106" s="163"/>
      <c r="G106" s="164"/>
      <c r="H106" s="165"/>
    </row>
    <row r="107" spans="1:8" ht="15.5" x14ac:dyDescent="0.35">
      <c r="A107" s="118" t="s">
        <v>496</v>
      </c>
      <c r="B107" s="118" t="s">
        <v>355</v>
      </c>
      <c r="C107" s="118" t="s">
        <v>497</v>
      </c>
      <c r="D107" s="201">
        <v>8.1590000000000007</v>
      </c>
      <c r="E107" s="202">
        <v>1893</v>
      </c>
      <c r="F107" s="163"/>
      <c r="G107" s="164"/>
      <c r="H107" s="165"/>
    </row>
    <row r="108" spans="1:8" ht="15.5" x14ac:dyDescent="0.35">
      <c r="A108" s="118" t="s">
        <v>498</v>
      </c>
      <c r="B108" s="118" t="s">
        <v>355</v>
      </c>
      <c r="C108" s="118" t="s">
        <v>499</v>
      </c>
      <c r="D108" s="201">
        <v>6.4349999999999996</v>
      </c>
      <c r="E108" s="202">
        <v>1857</v>
      </c>
      <c r="F108" s="163"/>
      <c r="G108" s="164"/>
      <c r="H108" s="165"/>
    </row>
    <row r="109" spans="1:8" ht="15.5" x14ac:dyDescent="0.35">
      <c r="A109" s="118" t="s">
        <v>500</v>
      </c>
      <c r="B109" s="118" t="s">
        <v>355</v>
      </c>
      <c r="C109" s="118" t="s">
        <v>501</v>
      </c>
      <c r="D109" s="201">
        <v>5.3550000000000004</v>
      </c>
      <c r="E109" s="202">
        <v>1786</v>
      </c>
      <c r="F109" s="163"/>
      <c r="G109" s="164"/>
      <c r="H109" s="165"/>
    </row>
    <row r="110" spans="1:8" ht="15.5" x14ac:dyDescent="0.35">
      <c r="A110" s="203" t="s">
        <v>502</v>
      </c>
      <c r="B110" s="203" t="s">
        <v>503</v>
      </c>
      <c r="C110" s="118"/>
      <c r="D110" s="201">
        <v>0</v>
      </c>
      <c r="E110" s="202">
        <v>0</v>
      </c>
      <c r="F110" s="163"/>
      <c r="G110" s="164"/>
      <c r="H110" s="165"/>
    </row>
    <row r="111" spans="1:8" ht="15.5" x14ac:dyDescent="0.35">
      <c r="A111" s="118" t="s">
        <v>504</v>
      </c>
      <c r="B111" s="118" t="s">
        <v>503</v>
      </c>
      <c r="C111" s="118" t="s">
        <v>505</v>
      </c>
      <c r="D111" s="201">
        <v>11.574999999999999</v>
      </c>
      <c r="E111" s="202">
        <v>3249</v>
      </c>
      <c r="F111" s="163"/>
      <c r="G111" s="164"/>
      <c r="H111" s="165"/>
    </row>
    <row r="112" spans="1:8" ht="15.5" x14ac:dyDescent="0.35">
      <c r="A112" s="118" t="s">
        <v>506</v>
      </c>
      <c r="B112" s="118" t="s">
        <v>503</v>
      </c>
      <c r="C112" s="118" t="s">
        <v>507</v>
      </c>
      <c r="D112" s="201">
        <v>10.84</v>
      </c>
      <c r="E112" s="202">
        <v>3216</v>
      </c>
      <c r="F112" s="163"/>
      <c r="G112" s="164"/>
      <c r="H112" s="165"/>
    </row>
    <row r="113" spans="1:8" ht="15.5" x14ac:dyDescent="0.35">
      <c r="A113" s="118" t="s">
        <v>508</v>
      </c>
      <c r="B113" s="118" t="s">
        <v>503</v>
      </c>
      <c r="C113" s="118" t="s">
        <v>509</v>
      </c>
      <c r="D113" s="201">
        <v>13.038</v>
      </c>
      <c r="E113" s="202">
        <v>3008</v>
      </c>
      <c r="F113" s="163"/>
      <c r="G113" s="164"/>
      <c r="H113" s="165"/>
    </row>
    <row r="114" spans="1:8" ht="15.5" x14ac:dyDescent="0.35">
      <c r="A114" s="118" t="s">
        <v>510</v>
      </c>
      <c r="B114" s="118" t="s">
        <v>503</v>
      </c>
      <c r="C114" s="118" t="s">
        <v>511</v>
      </c>
      <c r="D114" s="201">
        <v>3.7810000000000001</v>
      </c>
      <c r="E114" s="202">
        <v>1079</v>
      </c>
      <c r="F114" s="163"/>
      <c r="G114" s="164"/>
      <c r="H114" s="165"/>
    </row>
    <row r="115" spans="1:8" ht="15.5" x14ac:dyDescent="0.35">
      <c r="A115" s="118" t="s">
        <v>512</v>
      </c>
      <c r="B115" s="118" t="s">
        <v>503</v>
      </c>
      <c r="C115" s="118" t="s">
        <v>513</v>
      </c>
      <c r="D115" s="201">
        <v>5.8470000000000004</v>
      </c>
      <c r="E115" s="202">
        <v>1512</v>
      </c>
      <c r="F115" s="163"/>
      <c r="G115" s="164"/>
      <c r="H115" s="165"/>
    </row>
    <row r="116" spans="1:8" ht="15.5" x14ac:dyDescent="0.35">
      <c r="A116" s="118" t="s">
        <v>514</v>
      </c>
      <c r="B116" s="118" t="s">
        <v>503</v>
      </c>
      <c r="C116" s="118" t="s">
        <v>515</v>
      </c>
      <c r="D116" s="201">
        <v>3.9209999999999998</v>
      </c>
      <c r="E116" s="202">
        <v>1021</v>
      </c>
      <c r="F116" s="163"/>
      <c r="G116" s="164"/>
      <c r="H116" s="165"/>
    </row>
    <row r="117" spans="1:8" ht="15.5" x14ac:dyDescent="0.35">
      <c r="A117" s="118" t="s">
        <v>516</v>
      </c>
      <c r="B117" s="118" t="s">
        <v>503</v>
      </c>
      <c r="C117" s="118" t="s">
        <v>517</v>
      </c>
      <c r="D117" s="201">
        <v>14.678000000000001</v>
      </c>
      <c r="E117" s="202">
        <v>3240</v>
      </c>
      <c r="F117" s="163"/>
      <c r="G117" s="164"/>
      <c r="H117" s="165"/>
    </row>
    <row r="118" spans="1:8" ht="15.5" x14ac:dyDescent="0.35">
      <c r="A118" s="118" t="s">
        <v>518</v>
      </c>
      <c r="B118" s="118" t="s">
        <v>503</v>
      </c>
      <c r="C118" s="118" t="s">
        <v>519</v>
      </c>
      <c r="D118" s="201">
        <v>16.093</v>
      </c>
      <c r="E118" s="202">
        <v>3726</v>
      </c>
      <c r="F118" s="163"/>
      <c r="G118" s="164"/>
      <c r="H118" s="165"/>
    </row>
    <row r="119" spans="1:8" ht="15.5" x14ac:dyDescent="0.35">
      <c r="A119" s="118" t="s">
        <v>520</v>
      </c>
      <c r="B119" s="118" t="s">
        <v>503</v>
      </c>
      <c r="C119" s="118" t="s">
        <v>521</v>
      </c>
      <c r="D119" s="201">
        <v>9.4589999999999996</v>
      </c>
      <c r="E119" s="202">
        <v>2254</v>
      </c>
      <c r="F119" s="163"/>
      <c r="G119" s="164"/>
      <c r="H119" s="165"/>
    </row>
    <row r="120" spans="1:8" ht="15.5" x14ac:dyDescent="0.35">
      <c r="A120" s="118" t="s">
        <v>522</v>
      </c>
      <c r="B120" s="118" t="s">
        <v>503</v>
      </c>
      <c r="C120" s="118" t="s">
        <v>523</v>
      </c>
      <c r="D120" s="201">
        <v>9.7469999999999999</v>
      </c>
      <c r="E120" s="202">
        <v>2452</v>
      </c>
      <c r="F120" s="163"/>
      <c r="G120" s="164"/>
      <c r="H120" s="165"/>
    </row>
    <row r="121" spans="1:8" ht="15.5" x14ac:dyDescent="0.35">
      <c r="A121" s="118" t="s">
        <v>524</v>
      </c>
      <c r="B121" s="118" t="s">
        <v>503</v>
      </c>
      <c r="C121" s="118" t="s">
        <v>525</v>
      </c>
      <c r="D121" s="201">
        <v>6.6369999999999996</v>
      </c>
      <c r="E121" s="202">
        <v>1767</v>
      </c>
      <c r="F121" s="163"/>
      <c r="G121" s="164"/>
      <c r="H121" s="165"/>
    </row>
    <row r="122" spans="1:8" ht="15.5" x14ac:dyDescent="0.35">
      <c r="A122" s="118" t="s">
        <v>526</v>
      </c>
      <c r="B122" s="118" t="s">
        <v>503</v>
      </c>
      <c r="C122" s="118" t="s">
        <v>527</v>
      </c>
      <c r="D122" s="201">
        <v>12.098000000000001</v>
      </c>
      <c r="E122" s="202">
        <v>3222</v>
      </c>
      <c r="F122" s="163"/>
      <c r="G122" s="164"/>
      <c r="H122" s="165"/>
    </row>
    <row r="123" spans="1:8" ht="15.5" x14ac:dyDescent="0.35">
      <c r="A123" s="118" t="s">
        <v>528</v>
      </c>
      <c r="B123" s="118" t="s">
        <v>503</v>
      </c>
      <c r="C123" s="118" t="s">
        <v>529</v>
      </c>
      <c r="D123" s="201">
        <v>17.312000000000001</v>
      </c>
      <c r="E123" s="202">
        <v>4218</v>
      </c>
      <c r="F123" s="163"/>
      <c r="G123" s="164"/>
      <c r="H123" s="165"/>
    </row>
    <row r="124" spans="1:8" ht="15.5" x14ac:dyDescent="0.35">
      <c r="A124" s="118" t="s">
        <v>530</v>
      </c>
      <c r="B124" s="118" t="s">
        <v>503</v>
      </c>
      <c r="C124" s="118" t="s">
        <v>531</v>
      </c>
      <c r="D124" s="201">
        <v>11.56</v>
      </c>
      <c r="E124" s="202">
        <v>3260</v>
      </c>
      <c r="F124" s="163"/>
      <c r="G124" s="164"/>
      <c r="H124" s="165"/>
    </row>
    <row r="125" spans="1:8" ht="15.5" x14ac:dyDescent="0.35">
      <c r="A125" s="118" t="s">
        <v>532</v>
      </c>
      <c r="B125" s="118" t="s">
        <v>503</v>
      </c>
      <c r="C125" s="118" t="s">
        <v>533</v>
      </c>
      <c r="D125" s="201">
        <v>17.100999999999999</v>
      </c>
      <c r="E125" s="202">
        <v>3740</v>
      </c>
      <c r="F125" s="163"/>
      <c r="G125" s="164"/>
      <c r="H125" s="165"/>
    </row>
    <row r="126" spans="1:8" ht="15.5" x14ac:dyDescent="0.35">
      <c r="A126" s="118" t="s">
        <v>534</v>
      </c>
      <c r="B126" s="118" t="s">
        <v>503</v>
      </c>
      <c r="C126" s="118" t="s">
        <v>535</v>
      </c>
      <c r="D126" s="201">
        <v>7.9210000000000003</v>
      </c>
      <c r="E126" s="202">
        <v>2088</v>
      </c>
      <c r="F126" s="163"/>
      <c r="G126" s="164"/>
      <c r="H126" s="165"/>
    </row>
    <row r="127" spans="1:8" ht="15.5" x14ac:dyDescent="0.35">
      <c r="A127" s="118" t="s">
        <v>536</v>
      </c>
      <c r="B127" s="118" t="s">
        <v>503</v>
      </c>
      <c r="C127" s="118" t="s">
        <v>537</v>
      </c>
      <c r="D127" s="201">
        <v>7.1539999999999999</v>
      </c>
      <c r="E127" s="202">
        <v>1747</v>
      </c>
      <c r="F127" s="163"/>
      <c r="G127" s="164"/>
      <c r="H127" s="165"/>
    </row>
    <row r="128" spans="1:8" ht="15.5" x14ac:dyDescent="0.35">
      <c r="A128" s="118" t="s">
        <v>538</v>
      </c>
      <c r="B128" s="118" t="s">
        <v>503</v>
      </c>
      <c r="C128" s="118" t="s">
        <v>539</v>
      </c>
      <c r="D128" s="201">
        <v>7.6890000000000001</v>
      </c>
      <c r="E128" s="202">
        <v>2052</v>
      </c>
      <c r="F128" s="163"/>
      <c r="G128" s="164"/>
      <c r="H128" s="165"/>
    </row>
    <row r="129" spans="1:8" ht="15.5" x14ac:dyDescent="0.35">
      <c r="A129" s="118" t="s">
        <v>540</v>
      </c>
      <c r="B129" s="118" t="s">
        <v>503</v>
      </c>
      <c r="C129" s="118" t="s">
        <v>541</v>
      </c>
      <c r="D129" s="201">
        <v>7.3360000000000003</v>
      </c>
      <c r="E129" s="202">
        <v>2122</v>
      </c>
      <c r="F129" s="163"/>
      <c r="G129" s="164"/>
      <c r="H129" s="165"/>
    </row>
    <row r="130" spans="1:8" ht="15.5" x14ac:dyDescent="0.35">
      <c r="A130" s="118" t="s">
        <v>542</v>
      </c>
      <c r="B130" s="118" t="s">
        <v>503</v>
      </c>
      <c r="C130" s="118" t="s">
        <v>543</v>
      </c>
      <c r="D130" s="201">
        <v>7.5590000000000002</v>
      </c>
      <c r="E130" s="202">
        <v>1838</v>
      </c>
      <c r="F130" s="163"/>
      <c r="G130" s="164"/>
      <c r="H130" s="165"/>
    </row>
    <row r="131" spans="1:8" ht="15.5" x14ac:dyDescent="0.35">
      <c r="A131" s="118" t="s">
        <v>544</v>
      </c>
      <c r="B131" s="118" t="s">
        <v>503</v>
      </c>
      <c r="C131" s="118" t="s">
        <v>545</v>
      </c>
      <c r="D131" s="201">
        <v>6.5650000000000004</v>
      </c>
      <c r="E131" s="202">
        <v>1939</v>
      </c>
      <c r="F131" s="163"/>
      <c r="G131" s="164"/>
      <c r="H131" s="165"/>
    </row>
    <row r="132" spans="1:8" ht="15.5" x14ac:dyDescent="0.35">
      <c r="A132" s="118" t="s">
        <v>546</v>
      </c>
      <c r="B132" s="118" t="s">
        <v>503</v>
      </c>
      <c r="C132" s="118" t="s">
        <v>547</v>
      </c>
      <c r="D132" s="201">
        <v>6.577</v>
      </c>
      <c r="E132" s="202">
        <v>1765</v>
      </c>
      <c r="F132" s="163"/>
      <c r="G132" s="164"/>
      <c r="H132" s="165"/>
    </row>
    <row r="133" spans="1:8" ht="15.5" x14ac:dyDescent="0.35">
      <c r="A133" s="118" t="s">
        <v>548</v>
      </c>
      <c r="B133" s="118" t="s">
        <v>503</v>
      </c>
      <c r="C133" s="118" t="s">
        <v>549</v>
      </c>
      <c r="D133" s="201">
        <v>5.915</v>
      </c>
      <c r="E133" s="202">
        <v>1573</v>
      </c>
      <c r="F133" s="163"/>
      <c r="G133" s="164"/>
      <c r="H133" s="165"/>
    </row>
    <row r="134" spans="1:8" ht="15.5" x14ac:dyDescent="0.35">
      <c r="A134" s="118" t="s">
        <v>550</v>
      </c>
      <c r="B134" s="118" t="s">
        <v>503</v>
      </c>
      <c r="C134" s="118" t="s">
        <v>551</v>
      </c>
      <c r="D134" s="201">
        <v>2.9689999999999999</v>
      </c>
      <c r="E134" s="202">
        <v>836</v>
      </c>
      <c r="F134" s="163"/>
      <c r="G134" s="164"/>
      <c r="H134" s="165"/>
    </row>
    <row r="135" spans="1:8" ht="15.5" x14ac:dyDescent="0.35">
      <c r="A135" s="118" t="s">
        <v>552</v>
      </c>
      <c r="B135" s="118" t="s">
        <v>503</v>
      </c>
      <c r="C135" s="118" t="s">
        <v>553</v>
      </c>
      <c r="D135" s="201">
        <v>6.7229999999999999</v>
      </c>
      <c r="E135" s="202">
        <v>1955</v>
      </c>
      <c r="F135" s="163"/>
      <c r="G135" s="164"/>
      <c r="H135" s="165"/>
    </row>
    <row r="136" spans="1:8" ht="15.5" x14ac:dyDescent="0.35">
      <c r="A136" s="118" t="s">
        <v>554</v>
      </c>
      <c r="B136" s="118" t="s">
        <v>503</v>
      </c>
      <c r="C136" s="118" t="s">
        <v>555</v>
      </c>
      <c r="D136" s="201">
        <v>5.74</v>
      </c>
      <c r="E136" s="202">
        <v>1541</v>
      </c>
      <c r="F136" s="163"/>
      <c r="G136" s="164"/>
      <c r="H136" s="165"/>
    </row>
    <row r="137" spans="1:8" ht="15.5" x14ac:dyDescent="0.35">
      <c r="A137" s="118" t="s">
        <v>556</v>
      </c>
      <c r="B137" s="118" t="s">
        <v>503</v>
      </c>
      <c r="C137" s="118" t="s">
        <v>557</v>
      </c>
      <c r="D137" s="201">
        <v>7.8410000000000002</v>
      </c>
      <c r="E137" s="202">
        <v>1911</v>
      </c>
      <c r="F137" s="163"/>
      <c r="G137" s="164"/>
      <c r="H137" s="165"/>
    </row>
    <row r="138" spans="1:8" ht="15.5" x14ac:dyDescent="0.35">
      <c r="A138" s="118" t="s">
        <v>558</v>
      </c>
      <c r="B138" s="118" t="s">
        <v>503</v>
      </c>
      <c r="C138" s="118" t="s">
        <v>559</v>
      </c>
      <c r="D138" s="201">
        <v>4.8550000000000004</v>
      </c>
      <c r="E138" s="202">
        <v>1555</v>
      </c>
      <c r="F138" s="163"/>
      <c r="G138" s="164"/>
      <c r="H138" s="165"/>
    </row>
    <row r="139" spans="1:8" ht="15.5" x14ac:dyDescent="0.35">
      <c r="A139" s="118" t="s">
        <v>560</v>
      </c>
      <c r="B139" s="118" t="s">
        <v>503</v>
      </c>
      <c r="C139" s="118" t="s">
        <v>561</v>
      </c>
      <c r="D139" s="201">
        <v>7.2930000000000001</v>
      </c>
      <c r="E139" s="202">
        <v>1832</v>
      </c>
      <c r="F139" s="163"/>
      <c r="G139" s="164"/>
      <c r="H139" s="165"/>
    </row>
    <row r="140" spans="1:8" ht="15.5" x14ac:dyDescent="0.35">
      <c r="A140" s="118" t="s">
        <v>562</v>
      </c>
      <c r="B140" s="118" t="s">
        <v>503</v>
      </c>
      <c r="C140" s="118" t="s">
        <v>563</v>
      </c>
      <c r="D140" s="201">
        <v>4.6879999999999997</v>
      </c>
      <c r="E140" s="202">
        <v>1352</v>
      </c>
      <c r="F140" s="163"/>
      <c r="G140" s="164"/>
      <c r="H140" s="165"/>
    </row>
    <row r="141" spans="1:8" ht="15.5" x14ac:dyDescent="0.35">
      <c r="A141" s="118" t="s">
        <v>564</v>
      </c>
      <c r="B141" s="118" t="s">
        <v>503</v>
      </c>
      <c r="C141" s="118" t="s">
        <v>565</v>
      </c>
      <c r="D141" s="201">
        <v>12.340999999999999</v>
      </c>
      <c r="E141" s="202">
        <v>3547</v>
      </c>
      <c r="F141" s="163"/>
      <c r="G141" s="164"/>
      <c r="H141" s="165"/>
    </row>
    <row r="142" spans="1:8" ht="15.5" x14ac:dyDescent="0.35">
      <c r="A142" s="118" t="s">
        <v>566</v>
      </c>
      <c r="B142" s="118" t="s">
        <v>503</v>
      </c>
      <c r="C142" s="118" t="s">
        <v>567</v>
      </c>
      <c r="D142" s="201">
        <v>10.384</v>
      </c>
      <c r="E142" s="202">
        <v>2654</v>
      </c>
      <c r="F142" s="163"/>
      <c r="G142" s="164"/>
      <c r="H142" s="165"/>
    </row>
    <row r="143" spans="1:8" ht="15.5" x14ac:dyDescent="0.35">
      <c r="A143" s="118" t="s">
        <v>568</v>
      </c>
      <c r="B143" s="118" t="s">
        <v>503</v>
      </c>
      <c r="C143" s="118" t="s">
        <v>569</v>
      </c>
      <c r="D143" s="201">
        <v>11.420999999999999</v>
      </c>
      <c r="E143" s="202">
        <v>2912</v>
      </c>
      <c r="F143" s="163"/>
      <c r="G143" s="164"/>
      <c r="H143" s="165"/>
    </row>
    <row r="144" spans="1:8" ht="15.5" x14ac:dyDescent="0.35">
      <c r="A144" s="118" t="s">
        <v>570</v>
      </c>
      <c r="B144" s="118" t="s">
        <v>503</v>
      </c>
      <c r="C144" s="118" t="s">
        <v>571</v>
      </c>
      <c r="D144" s="201">
        <v>9.9670000000000005</v>
      </c>
      <c r="E144" s="202">
        <v>2638</v>
      </c>
      <c r="F144" s="163"/>
      <c r="G144" s="164"/>
      <c r="H144" s="165"/>
    </row>
    <row r="145" spans="1:8" ht="15.5" x14ac:dyDescent="0.35">
      <c r="A145" s="118" t="s">
        <v>572</v>
      </c>
      <c r="B145" s="118" t="s">
        <v>503</v>
      </c>
      <c r="C145" s="118" t="s">
        <v>573</v>
      </c>
      <c r="D145" s="201">
        <v>9.9510000000000005</v>
      </c>
      <c r="E145" s="202">
        <v>2713</v>
      </c>
      <c r="F145" s="163"/>
      <c r="G145" s="164"/>
      <c r="H145" s="165"/>
    </row>
    <row r="146" spans="1:8" ht="15.5" x14ac:dyDescent="0.35">
      <c r="A146" s="118" t="s">
        <v>574</v>
      </c>
      <c r="B146" s="118" t="s">
        <v>503</v>
      </c>
      <c r="C146" s="118" t="s">
        <v>575</v>
      </c>
      <c r="D146" s="201">
        <v>18.63</v>
      </c>
      <c r="E146" s="202">
        <v>4135</v>
      </c>
      <c r="F146" s="163"/>
      <c r="G146" s="164"/>
      <c r="H146" s="165"/>
    </row>
    <row r="147" spans="1:8" ht="15.5" x14ac:dyDescent="0.35">
      <c r="A147" s="118" t="s">
        <v>576</v>
      </c>
      <c r="B147" s="118" t="s">
        <v>503</v>
      </c>
      <c r="C147" s="118" t="s">
        <v>577</v>
      </c>
      <c r="D147" s="201">
        <v>11.589</v>
      </c>
      <c r="E147" s="202">
        <v>3017</v>
      </c>
      <c r="F147" s="163"/>
      <c r="G147" s="164"/>
      <c r="H147" s="165"/>
    </row>
    <row r="148" spans="1:8" ht="15.5" x14ac:dyDescent="0.35">
      <c r="A148" s="118" t="s">
        <v>578</v>
      </c>
      <c r="B148" s="118" t="s">
        <v>503</v>
      </c>
      <c r="C148" s="118" t="s">
        <v>579</v>
      </c>
      <c r="D148" s="201">
        <v>8.59</v>
      </c>
      <c r="E148" s="202">
        <v>2839</v>
      </c>
      <c r="F148" s="163"/>
      <c r="G148" s="164"/>
      <c r="H148" s="165"/>
    </row>
    <row r="149" spans="1:8" ht="15.5" x14ac:dyDescent="0.35">
      <c r="A149" s="118" t="s">
        <v>580</v>
      </c>
      <c r="B149" s="118" t="s">
        <v>503</v>
      </c>
      <c r="C149" s="118" t="s">
        <v>581</v>
      </c>
      <c r="D149" s="201">
        <v>11.289</v>
      </c>
      <c r="E149" s="202">
        <v>2945</v>
      </c>
      <c r="F149" s="163"/>
      <c r="G149" s="164"/>
      <c r="H149" s="165"/>
    </row>
    <row r="150" spans="1:8" ht="15.5" x14ac:dyDescent="0.35">
      <c r="A150" s="118" t="s">
        <v>582</v>
      </c>
      <c r="B150" s="118" t="s">
        <v>503</v>
      </c>
      <c r="C150" s="118" t="s">
        <v>583</v>
      </c>
      <c r="D150" s="201">
        <v>17.074999999999999</v>
      </c>
      <c r="E150" s="202">
        <v>4520</v>
      </c>
      <c r="F150" s="163"/>
      <c r="G150" s="164"/>
      <c r="H150" s="165"/>
    </row>
    <row r="151" spans="1:8" ht="15.5" x14ac:dyDescent="0.35">
      <c r="A151" s="118" t="s">
        <v>584</v>
      </c>
      <c r="B151" s="118" t="s">
        <v>503</v>
      </c>
      <c r="C151" s="118" t="s">
        <v>585</v>
      </c>
      <c r="D151" s="201">
        <v>17.079999999999998</v>
      </c>
      <c r="E151" s="202">
        <v>3863</v>
      </c>
      <c r="F151" s="163"/>
      <c r="G151" s="164"/>
      <c r="H151" s="165"/>
    </row>
    <row r="152" spans="1:8" ht="15.5" x14ac:dyDescent="0.35">
      <c r="A152" s="118" t="s">
        <v>586</v>
      </c>
      <c r="B152" s="118" t="s">
        <v>503</v>
      </c>
      <c r="C152" s="118" t="s">
        <v>587</v>
      </c>
      <c r="D152" s="201">
        <v>6.8369999999999997</v>
      </c>
      <c r="E152" s="202">
        <v>2094</v>
      </c>
      <c r="F152" s="163"/>
      <c r="G152" s="164"/>
      <c r="H152" s="165"/>
    </row>
    <row r="153" spans="1:8" ht="15.5" x14ac:dyDescent="0.35">
      <c r="A153" s="118" t="s">
        <v>588</v>
      </c>
      <c r="B153" s="118" t="s">
        <v>503</v>
      </c>
      <c r="C153" s="118" t="s">
        <v>589</v>
      </c>
      <c r="D153" s="201">
        <v>2.9009999999999998</v>
      </c>
      <c r="E153" s="202">
        <v>761</v>
      </c>
      <c r="F153" s="163"/>
      <c r="G153" s="164"/>
      <c r="H153" s="165"/>
    </row>
    <row r="154" spans="1:8" ht="15.5" x14ac:dyDescent="0.35">
      <c r="A154" s="118" t="s">
        <v>590</v>
      </c>
      <c r="B154" s="118" t="s">
        <v>503</v>
      </c>
      <c r="C154" s="118" t="s">
        <v>591</v>
      </c>
      <c r="D154" s="201">
        <v>10.496</v>
      </c>
      <c r="E154" s="202">
        <v>2509</v>
      </c>
      <c r="F154" s="163"/>
      <c r="G154" s="164"/>
      <c r="H154" s="165"/>
    </row>
    <row r="155" spans="1:8" ht="15.5" x14ac:dyDescent="0.35">
      <c r="A155" s="118" t="s">
        <v>592</v>
      </c>
      <c r="B155" s="118" t="s">
        <v>503</v>
      </c>
      <c r="C155" s="118" t="s">
        <v>593</v>
      </c>
      <c r="D155" s="201">
        <v>5.27</v>
      </c>
      <c r="E155" s="202">
        <v>1769</v>
      </c>
      <c r="F155" s="163"/>
      <c r="G155" s="164"/>
      <c r="H155" s="165"/>
    </row>
    <row r="156" spans="1:8" ht="15.5" x14ac:dyDescent="0.35">
      <c r="A156" s="118" t="s">
        <v>594</v>
      </c>
      <c r="B156" s="118" t="s">
        <v>503</v>
      </c>
      <c r="C156" s="118" t="s">
        <v>595</v>
      </c>
      <c r="D156" s="201">
        <v>8.0470000000000006</v>
      </c>
      <c r="E156" s="202">
        <v>2174</v>
      </c>
      <c r="F156" s="163"/>
      <c r="G156" s="164"/>
      <c r="H156" s="165"/>
    </row>
    <row r="157" spans="1:8" ht="15.5" x14ac:dyDescent="0.35">
      <c r="A157" s="118" t="s">
        <v>596</v>
      </c>
      <c r="B157" s="118" t="s">
        <v>503</v>
      </c>
      <c r="C157" s="118" t="s">
        <v>597</v>
      </c>
      <c r="D157" s="201">
        <v>7.2190000000000003</v>
      </c>
      <c r="E157" s="202">
        <v>1722</v>
      </c>
      <c r="F157" s="163"/>
      <c r="G157" s="164"/>
      <c r="H157" s="165"/>
    </row>
    <row r="158" spans="1:8" ht="15.5" x14ac:dyDescent="0.35">
      <c r="A158" s="118" t="s">
        <v>598</v>
      </c>
      <c r="B158" s="118" t="s">
        <v>503</v>
      </c>
      <c r="C158" s="118" t="s">
        <v>599</v>
      </c>
      <c r="D158" s="201">
        <v>16.364000000000001</v>
      </c>
      <c r="E158" s="202">
        <v>3517</v>
      </c>
      <c r="F158" s="163"/>
      <c r="G158" s="164"/>
      <c r="H158" s="165"/>
    </row>
    <row r="159" spans="1:8" ht="15.5" x14ac:dyDescent="0.35">
      <c r="A159" s="118" t="s">
        <v>600</v>
      </c>
      <c r="B159" s="118" t="s">
        <v>503</v>
      </c>
      <c r="C159" s="118" t="s">
        <v>601</v>
      </c>
      <c r="D159" s="201">
        <v>7.5510000000000002</v>
      </c>
      <c r="E159" s="202">
        <v>2144</v>
      </c>
      <c r="F159" s="163"/>
      <c r="G159" s="164"/>
      <c r="H159" s="165"/>
    </row>
    <row r="160" spans="1:8" ht="15.5" x14ac:dyDescent="0.35">
      <c r="A160" s="118" t="s">
        <v>602</v>
      </c>
      <c r="B160" s="118" t="s">
        <v>503</v>
      </c>
      <c r="C160" s="118" t="s">
        <v>603</v>
      </c>
      <c r="D160" s="201">
        <v>22.34</v>
      </c>
      <c r="E160" s="202">
        <v>5203</v>
      </c>
      <c r="F160" s="163"/>
      <c r="G160" s="164"/>
      <c r="H160" s="165"/>
    </row>
    <row r="161" spans="1:8" ht="15.5" x14ac:dyDescent="0.35">
      <c r="A161" s="118" t="s">
        <v>604</v>
      </c>
      <c r="B161" s="118" t="s">
        <v>503</v>
      </c>
      <c r="C161" s="118" t="s">
        <v>605</v>
      </c>
      <c r="D161" s="201">
        <v>9.3369999999999997</v>
      </c>
      <c r="E161" s="202">
        <v>2495</v>
      </c>
      <c r="F161" s="163"/>
      <c r="G161" s="164"/>
      <c r="H161" s="165"/>
    </row>
    <row r="162" spans="1:8" ht="15.5" x14ac:dyDescent="0.35">
      <c r="A162" s="118" t="s">
        <v>606</v>
      </c>
      <c r="B162" s="118" t="s">
        <v>503</v>
      </c>
      <c r="C162" s="118" t="s">
        <v>607</v>
      </c>
      <c r="D162" s="201">
        <v>17.814</v>
      </c>
      <c r="E162" s="202">
        <v>3900</v>
      </c>
      <c r="F162" s="163"/>
      <c r="G162" s="164"/>
      <c r="H162" s="165"/>
    </row>
    <row r="163" spans="1:8" ht="15.5" x14ac:dyDescent="0.35">
      <c r="A163" s="118" t="s">
        <v>608</v>
      </c>
      <c r="B163" s="118" t="s">
        <v>503</v>
      </c>
      <c r="C163" s="118" t="s">
        <v>609</v>
      </c>
      <c r="D163" s="201">
        <v>7.2569999999999997</v>
      </c>
      <c r="E163" s="202">
        <v>2166</v>
      </c>
      <c r="F163" s="163"/>
      <c r="G163" s="164"/>
      <c r="H163" s="165"/>
    </row>
    <row r="164" spans="1:8" ht="15.5" x14ac:dyDescent="0.35">
      <c r="A164" s="118" t="s">
        <v>610</v>
      </c>
      <c r="B164" s="118" t="s">
        <v>503</v>
      </c>
      <c r="C164" s="118" t="s">
        <v>611</v>
      </c>
      <c r="D164" s="201">
        <v>12.667</v>
      </c>
      <c r="E164" s="202">
        <v>3090</v>
      </c>
      <c r="F164" s="163"/>
      <c r="G164" s="164"/>
      <c r="H164" s="165"/>
    </row>
    <row r="165" spans="1:8" ht="15.5" x14ac:dyDescent="0.35">
      <c r="A165" s="203" t="s">
        <v>612</v>
      </c>
      <c r="B165" s="203" t="s">
        <v>613</v>
      </c>
      <c r="C165" s="118"/>
      <c r="D165" s="201">
        <v>0</v>
      </c>
      <c r="E165" s="202">
        <v>0</v>
      </c>
      <c r="F165" s="163"/>
      <c r="G165" s="164"/>
      <c r="H165" s="165"/>
    </row>
    <row r="166" spans="1:8" ht="15.5" x14ac:dyDescent="0.35">
      <c r="A166" s="118" t="s">
        <v>614</v>
      </c>
      <c r="B166" s="118" t="s">
        <v>613</v>
      </c>
      <c r="C166" s="118" t="s">
        <v>615</v>
      </c>
      <c r="D166" s="201">
        <v>9.1880000000000006</v>
      </c>
      <c r="E166" s="202">
        <v>2345</v>
      </c>
      <c r="F166" s="163"/>
      <c r="G166" s="164"/>
      <c r="H166" s="165"/>
    </row>
    <row r="167" spans="1:8" ht="15.5" x14ac:dyDescent="0.35">
      <c r="A167" s="118" t="s">
        <v>616</v>
      </c>
      <c r="B167" s="118" t="s">
        <v>613</v>
      </c>
      <c r="C167" s="118" t="s">
        <v>617</v>
      </c>
      <c r="D167" s="201">
        <v>10.179</v>
      </c>
      <c r="E167" s="202">
        <v>2622</v>
      </c>
      <c r="F167" s="163"/>
      <c r="G167" s="164"/>
      <c r="H167" s="165"/>
    </row>
    <row r="168" spans="1:8" ht="15.5" x14ac:dyDescent="0.35">
      <c r="A168" s="118" t="s">
        <v>618</v>
      </c>
      <c r="B168" s="118" t="s">
        <v>613</v>
      </c>
      <c r="C168" s="118" t="s">
        <v>619</v>
      </c>
      <c r="D168" s="201">
        <v>19.187000000000001</v>
      </c>
      <c r="E168" s="202">
        <v>4794</v>
      </c>
      <c r="F168" s="163"/>
      <c r="G168" s="164"/>
      <c r="H168" s="165"/>
    </row>
    <row r="169" spans="1:8" ht="15.5" x14ac:dyDescent="0.35">
      <c r="A169" s="118" t="s">
        <v>620</v>
      </c>
      <c r="B169" s="118" t="s">
        <v>613</v>
      </c>
      <c r="C169" s="118" t="s">
        <v>621</v>
      </c>
      <c r="D169" s="201">
        <v>13.186</v>
      </c>
      <c r="E169" s="202">
        <v>3276</v>
      </c>
      <c r="F169" s="163"/>
      <c r="G169" s="164"/>
      <c r="H169" s="165"/>
    </row>
    <row r="170" spans="1:8" ht="15.5" x14ac:dyDescent="0.35">
      <c r="A170" s="118" t="s">
        <v>622</v>
      </c>
      <c r="B170" s="118" t="s">
        <v>613</v>
      </c>
      <c r="C170" s="118" t="s">
        <v>623</v>
      </c>
      <c r="D170" s="201">
        <v>26.529</v>
      </c>
      <c r="E170" s="202">
        <v>6335</v>
      </c>
      <c r="F170" s="163"/>
      <c r="G170" s="164"/>
      <c r="H170" s="165"/>
    </row>
    <row r="171" spans="1:8" ht="15.5" x14ac:dyDescent="0.35">
      <c r="A171" s="118" t="s">
        <v>624</v>
      </c>
      <c r="B171" s="118" t="s">
        <v>613</v>
      </c>
      <c r="C171" s="118" t="s">
        <v>625</v>
      </c>
      <c r="D171" s="201">
        <v>9.359</v>
      </c>
      <c r="E171" s="202">
        <v>2367</v>
      </c>
      <c r="F171" s="163"/>
      <c r="G171" s="164"/>
      <c r="H171" s="165"/>
    </row>
    <row r="172" spans="1:8" ht="15.5" x14ac:dyDescent="0.35">
      <c r="A172" s="118" t="s">
        <v>626</v>
      </c>
      <c r="B172" s="118" t="s">
        <v>613</v>
      </c>
      <c r="C172" s="118" t="s">
        <v>627</v>
      </c>
      <c r="D172" s="201">
        <v>10.544</v>
      </c>
      <c r="E172" s="202">
        <v>2798</v>
      </c>
      <c r="F172" s="163"/>
      <c r="G172" s="164"/>
      <c r="H172" s="165"/>
    </row>
    <row r="173" spans="1:8" ht="15.5" x14ac:dyDescent="0.35">
      <c r="A173" s="118" t="s">
        <v>628</v>
      </c>
      <c r="B173" s="118" t="s">
        <v>613</v>
      </c>
      <c r="C173" s="118" t="s">
        <v>629</v>
      </c>
      <c r="D173" s="201">
        <v>14.631</v>
      </c>
      <c r="E173" s="202">
        <v>3680</v>
      </c>
      <c r="F173" s="163"/>
      <c r="G173" s="164"/>
      <c r="H173" s="165"/>
    </row>
    <row r="174" spans="1:8" ht="15.5" x14ac:dyDescent="0.35">
      <c r="A174" s="118" t="s">
        <v>630</v>
      </c>
      <c r="B174" s="118" t="s">
        <v>613</v>
      </c>
      <c r="C174" s="118" t="s">
        <v>631</v>
      </c>
      <c r="D174" s="201">
        <v>16.687999999999999</v>
      </c>
      <c r="E174" s="202">
        <v>3670</v>
      </c>
      <c r="F174" s="163"/>
      <c r="G174" s="164"/>
      <c r="H174" s="165"/>
    </row>
    <row r="175" spans="1:8" ht="15.5" x14ac:dyDescent="0.35">
      <c r="A175" s="118" t="s">
        <v>632</v>
      </c>
      <c r="B175" s="118" t="s">
        <v>613</v>
      </c>
      <c r="C175" s="118" t="s">
        <v>633</v>
      </c>
      <c r="D175" s="201">
        <v>9.4269999999999996</v>
      </c>
      <c r="E175" s="202">
        <v>2876</v>
      </c>
      <c r="F175" s="163"/>
      <c r="G175" s="164"/>
      <c r="H175" s="165"/>
    </row>
    <row r="176" spans="1:8" ht="15.5" x14ac:dyDescent="0.35">
      <c r="A176" s="118" t="s">
        <v>634</v>
      </c>
      <c r="B176" s="118" t="s">
        <v>613</v>
      </c>
      <c r="C176" s="118" t="s">
        <v>635</v>
      </c>
      <c r="D176" s="201">
        <v>9.4060000000000006</v>
      </c>
      <c r="E176" s="202">
        <v>2771</v>
      </c>
      <c r="F176" s="163"/>
      <c r="G176" s="164"/>
      <c r="H176" s="165"/>
    </row>
    <row r="177" spans="1:8" ht="15.5" x14ac:dyDescent="0.35">
      <c r="A177" s="118" t="s">
        <v>636</v>
      </c>
      <c r="B177" s="118" t="s">
        <v>613</v>
      </c>
      <c r="C177" s="118" t="s">
        <v>637</v>
      </c>
      <c r="D177" s="201">
        <v>17.542999999999999</v>
      </c>
      <c r="E177" s="202">
        <v>3818</v>
      </c>
      <c r="F177" s="163"/>
      <c r="G177" s="164"/>
      <c r="H177" s="165"/>
    </row>
    <row r="178" spans="1:8" ht="15.5" x14ac:dyDescent="0.35">
      <c r="A178" s="118" t="s">
        <v>638</v>
      </c>
      <c r="B178" s="118" t="s">
        <v>613</v>
      </c>
      <c r="C178" s="118" t="s">
        <v>639</v>
      </c>
      <c r="D178" s="201">
        <v>8.1389999999999993</v>
      </c>
      <c r="E178" s="202">
        <v>2136</v>
      </c>
      <c r="F178" s="163"/>
      <c r="G178" s="164"/>
      <c r="H178" s="165"/>
    </row>
    <row r="179" spans="1:8" ht="15.5" x14ac:dyDescent="0.35">
      <c r="A179" s="118" t="s">
        <v>640</v>
      </c>
      <c r="B179" s="118" t="s">
        <v>613</v>
      </c>
      <c r="C179" s="118" t="s">
        <v>641</v>
      </c>
      <c r="D179" s="201">
        <v>21.571999999999999</v>
      </c>
      <c r="E179" s="202">
        <v>4924</v>
      </c>
      <c r="F179" s="163"/>
      <c r="G179" s="164"/>
      <c r="H179" s="165"/>
    </row>
    <row r="180" spans="1:8" ht="15.5" x14ac:dyDescent="0.35">
      <c r="A180" s="118" t="s">
        <v>642</v>
      </c>
      <c r="B180" s="118" t="s">
        <v>613</v>
      </c>
      <c r="C180" s="118" t="s">
        <v>643</v>
      </c>
      <c r="D180" s="201">
        <v>9.8450000000000006</v>
      </c>
      <c r="E180" s="202">
        <v>2620</v>
      </c>
      <c r="F180" s="163"/>
      <c r="G180" s="164"/>
      <c r="H180" s="165"/>
    </row>
    <row r="181" spans="1:8" ht="15.5" x14ac:dyDescent="0.35">
      <c r="A181" s="118" t="s">
        <v>644</v>
      </c>
      <c r="B181" s="118" t="s">
        <v>613</v>
      </c>
      <c r="C181" s="118" t="s">
        <v>645</v>
      </c>
      <c r="D181" s="201">
        <v>17.555</v>
      </c>
      <c r="E181" s="202">
        <v>3997</v>
      </c>
      <c r="F181" s="163"/>
      <c r="G181" s="164"/>
      <c r="H181" s="165"/>
    </row>
    <row r="182" spans="1:8" ht="15.5" x14ac:dyDescent="0.35">
      <c r="A182" s="118" t="s">
        <v>646</v>
      </c>
      <c r="B182" s="118" t="s">
        <v>613</v>
      </c>
      <c r="C182" s="118" t="s">
        <v>647</v>
      </c>
      <c r="D182" s="201">
        <v>11.532999999999999</v>
      </c>
      <c r="E182" s="202">
        <v>2633</v>
      </c>
      <c r="F182" s="163"/>
      <c r="G182" s="164"/>
      <c r="H182" s="165"/>
    </row>
    <row r="183" spans="1:8" ht="15.5" x14ac:dyDescent="0.35">
      <c r="A183" s="118" t="s">
        <v>648</v>
      </c>
      <c r="B183" s="118" t="s">
        <v>613</v>
      </c>
      <c r="C183" s="118" t="s">
        <v>649</v>
      </c>
      <c r="D183" s="201">
        <v>8.1419999999999995</v>
      </c>
      <c r="E183" s="202">
        <v>1975</v>
      </c>
      <c r="F183" s="163"/>
      <c r="G183" s="164"/>
      <c r="H183" s="165"/>
    </row>
    <row r="184" spans="1:8" ht="15.5" x14ac:dyDescent="0.35">
      <c r="A184" s="118" t="s">
        <v>650</v>
      </c>
      <c r="B184" s="118" t="s">
        <v>613</v>
      </c>
      <c r="C184" s="118" t="s">
        <v>651</v>
      </c>
      <c r="D184" s="201">
        <v>13.768000000000001</v>
      </c>
      <c r="E184" s="202">
        <v>3177</v>
      </c>
      <c r="F184" s="163"/>
      <c r="G184" s="164"/>
      <c r="H184" s="165"/>
    </row>
    <row r="185" spans="1:8" ht="15.5" x14ac:dyDescent="0.35">
      <c r="A185" s="118" t="s">
        <v>652</v>
      </c>
      <c r="B185" s="118" t="s">
        <v>613</v>
      </c>
      <c r="C185" s="118" t="s">
        <v>653</v>
      </c>
      <c r="D185" s="201">
        <v>11.191000000000001</v>
      </c>
      <c r="E185" s="202">
        <v>3126</v>
      </c>
      <c r="F185" s="163"/>
      <c r="G185" s="164"/>
      <c r="H185" s="165"/>
    </row>
    <row r="186" spans="1:8" ht="15.5" x14ac:dyDescent="0.35">
      <c r="A186" s="118" t="s">
        <v>654</v>
      </c>
      <c r="B186" s="118" t="s">
        <v>613</v>
      </c>
      <c r="C186" s="118" t="s">
        <v>655</v>
      </c>
      <c r="D186" s="201">
        <v>9.5839999999999996</v>
      </c>
      <c r="E186" s="202">
        <v>2703</v>
      </c>
      <c r="F186" s="163"/>
      <c r="G186" s="164"/>
      <c r="H186" s="165"/>
    </row>
    <row r="187" spans="1:8" ht="15.5" x14ac:dyDescent="0.35">
      <c r="A187" s="118" t="s">
        <v>656</v>
      </c>
      <c r="B187" s="118" t="s">
        <v>613</v>
      </c>
      <c r="C187" s="118" t="s">
        <v>657</v>
      </c>
      <c r="D187" s="201">
        <v>5.6539999999999999</v>
      </c>
      <c r="E187" s="202">
        <v>1720</v>
      </c>
      <c r="F187" s="163"/>
      <c r="G187" s="164"/>
      <c r="H187" s="165"/>
    </row>
    <row r="188" spans="1:8" ht="15.5" x14ac:dyDescent="0.35">
      <c r="A188" s="118" t="s">
        <v>658</v>
      </c>
      <c r="B188" s="118" t="s">
        <v>613</v>
      </c>
      <c r="C188" s="118" t="s">
        <v>659</v>
      </c>
      <c r="D188" s="201">
        <v>9.7330000000000005</v>
      </c>
      <c r="E188" s="202">
        <v>2900</v>
      </c>
      <c r="F188" s="163"/>
      <c r="G188" s="164"/>
      <c r="H188" s="165"/>
    </row>
    <row r="189" spans="1:8" ht="15.5" x14ac:dyDescent="0.35">
      <c r="A189" s="118" t="s">
        <v>660</v>
      </c>
      <c r="B189" s="118" t="s">
        <v>613</v>
      </c>
      <c r="C189" s="118" t="s">
        <v>661</v>
      </c>
      <c r="D189" s="201">
        <v>10.032</v>
      </c>
      <c r="E189" s="202">
        <v>2484</v>
      </c>
      <c r="F189" s="163"/>
      <c r="G189" s="164"/>
      <c r="H189" s="165"/>
    </row>
    <row r="190" spans="1:8" ht="15.5" x14ac:dyDescent="0.35">
      <c r="A190" s="118" t="s">
        <v>662</v>
      </c>
      <c r="B190" s="118" t="s">
        <v>613</v>
      </c>
      <c r="C190" s="118" t="s">
        <v>663</v>
      </c>
      <c r="D190" s="201">
        <v>10.08</v>
      </c>
      <c r="E190" s="202">
        <v>2290</v>
      </c>
      <c r="F190" s="163"/>
      <c r="G190" s="164"/>
      <c r="H190" s="165"/>
    </row>
    <row r="191" spans="1:8" ht="15.5" x14ac:dyDescent="0.35">
      <c r="A191" s="118" t="s">
        <v>664</v>
      </c>
      <c r="B191" s="118" t="s">
        <v>613</v>
      </c>
      <c r="C191" s="118" t="s">
        <v>665</v>
      </c>
      <c r="D191" s="201">
        <v>22.265999999999998</v>
      </c>
      <c r="E191" s="202">
        <v>5261</v>
      </c>
      <c r="F191" s="163"/>
      <c r="G191" s="164"/>
      <c r="H191" s="165"/>
    </row>
    <row r="192" spans="1:8" ht="15.5" x14ac:dyDescent="0.35">
      <c r="A192" s="118" t="s">
        <v>666</v>
      </c>
      <c r="B192" s="118" t="s">
        <v>613</v>
      </c>
      <c r="C192" s="118" t="s">
        <v>667</v>
      </c>
      <c r="D192" s="201">
        <v>10.161</v>
      </c>
      <c r="E192" s="202">
        <v>2494</v>
      </c>
      <c r="F192" s="163"/>
      <c r="G192" s="164"/>
      <c r="H192" s="165"/>
    </row>
    <row r="193" spans="1:8" ht="15.5" x14ac:dyDescent="0.35">
      <c r="A193" s="118" t="s">
        <v>668</v>
      </c>
      <c r="B193" s="118" t="s">
        <v>613</v>
      </c>
      <c r="C193" s="118" t="s">
        <v>669</v>
      </c>
      <c r="D193" s="201">
        <v>14.289</v>
      </c>
      <c r="E193" s="202">
        <v>3249</v>
      </c>
      <c r="F193" s="163"/>
      <c r="G193" s="164"/>
      <c r="H193" s="165"/>
    </row>
    <row r="194" spans="1:8" ht="15.5" x14ac:dyDescent="0.35">
      <c r="A194" s="118" t="s">
        <v>670</v>
      </c>
      <c r="B194" s="118" t="s">
        <v>613</v>
      </c>
      <c r="C194" s="118" t="s">
        <v>671</v>
      </c>
      <c r="D194" s="201">
        <v>10.432</v>
      </c>
      <c r="E194" s="202">
        <v>2529</v>
      </c>
      <c r="F194" s="163"/>
      <c r="G194" s="164"/>
      <c r="H194" s="165"/>
    </row>
    <row r="195" spans="1:8" ht="15.5" x14ac:dyDescent="0.35">
      <c r="A195" s="118" t="s">
        <v>672</v>
      </c>
      <c r="B195" s="118" t="s">
        <v>613</v>
      </c>
      <c r="C195" s="118" t="s">
        <v>673</v>
      </c>
      <c r="D195" s="201">
        <v>11.112</v>
      </c>
      <c r="E195" s="202">
        <v>2688</v>
      </c>
      <c r="F195" s="163"/>
      <c r="G195" s="164"/>
      <c r="H195" s="165"/>
    </row>
    <row r="196" spans="1:8" ht="15.5" x14ac:dyDescent="0.35">
      <c r="A196" s="118" t="s">
        <v>674</v>
      </c>
      <c r="B196" s="118" t="s">
        <v>613</v>
      </c>
      <c r="C196" s="118" t="s">
        <v>675</v>
      </c>
      <c r="D196" s="201">
        <v>20.863</v>
      </c>
      <c r="E196" s="202">
        <v>4608</v>
      </c>
      <c r="F196" s="163"/>
      <c r="G196" s="164"/>
      <c r="H196" s="165"/>
    </row>
    <row r="197" spans="1:8" ht="15.5" x14ac:dyDescent="0.35">
      <c r="A197" s="118" t="s">
        <v>676</v>
      </c>
      <c r="B197" s="118" t="s">
        <v>613</v>
      </c>
      <c r="C197" s="118" t="s">
        <v>677</v>
      </c>
      <c r="D197" s="201">
        <v>10.951000000000001</v>
      </c>
      <c r="E197" s="202">
        <v>2630</v>
      </c>
      <c r="F197" s="163"/>
      <c r="G197" s="164"/>
      <c r="H197" s="165"/>
    </row>
    <row r="198" spans="1:8" ht="15.5" x14ac:dyDescent="0.35">
      <c r="A198" s="118" t="s">
        <v>678</v>
      </c>
      <c r="B198" s="118" t="s">
        <v>613</v>
      </c>
      <c r="C198" s="118" t="s">
        <v>679</v>
      </c>
      <c r="D198" s="201">
        <v>12.811</v>
      </c>
      <c r="E198" s="202">
        <v>3052</v>
      </c>
      <c r="F198" s="163"/>
      <c r="G198" s="164"/>
      <c r="H198" s="165"/>
    </row>
    <row r="199" spans="1:8" ht="15.5" x14ac:dyDescent="0.35">
      <c r="A199" s="118" t="s">
        <v>680</v>
      </c>
      <c r="B199" s="118" t="s">
        <v>613</v>
      </c>
      <c r="C199" s="118" t="s">
        <v>681</v>
      </c>
      <c r="D199" s="201">
        <v>7.1079999999999997</v>
      </c>
      <c r="E199" s="202">
        <v>2162</v>
      </c>
      <c r="F199" s="163"/>
      <c r="G199" s="164"/>
      <c r="H199" s="165"/>
    </row>
    <row r="200" spans="1:8" ht="15.5" x14ac:dyDescent="0.35">
      <c r="A200" s="118" t="s">
        <v>682</v>
      </c>
      <c r="B200" s="118" t="s">
        <v>613</v>
      </c>
      <c r="C200" s="118" t="s">
        <v>683</v>
      </c>
      <c r="D200" s="201">
        <v>11.666</v>
      </c>
      <c r="E200" s="202">
        <v>3393</v>
      </c>
      <c r="F200" s="163"/>
      <c r="G200" s="164"/>
      <c r="H200" s="165"/>
    </row>
    <row r="201" spans="1:8" ht="15.5" x14ac:dyDescent="0.35">
      <c r="A201" s="118" t="s">
        <v>684</v>
      </c>
      <c r="B201" s="118" t="s">
        <v>613</v>
      </c>
      <c r="C201" s="118" t="s">
        <v>685</v>
      </c>
      <c r="D201" s="201">
        <v>7.1689999999999996</v>
      </c>
      <c r="E201" s="202">
        <v>2396</v>
      </c>
      <c r="F201" s="163"/>
      <c r="G201" s="164"/>
      <c r="H201" s="165"/>
    </row>
    <row r="202" spans="1:8" ht="15.5" x14ac:dyDescent="0.35">
      <c r="A202" s="118" t="s">
        <v>686</v>
      </c>
      <c r="B202" s="118" t="s">
        <v>613</v>
      </c>
      <c r="C202" s="118" t="s">
        <v>687</v>
      </c>
      <c r="D202" s="201">
        <v>13.175000000000001</v>
      </c>
      <c r="E202" s="202">
        <v>4371</v>
      </c>
      <c r="F202" s="163"/>
      <c r="G202" s="164"/>
      <c r="H202" s="165"/>
    </row>
    <row r="203" spans="1:8" ht="15.5" x14ac:dyDescent="0.35">
      <c r="A203" s="118" t="s">
        <v>688</v>
      </c>
      <c r="B203" s="118" t="s">
        <v>613</v>
      </c>
      <c r="C203" s="118" t="s">
        <v>689</v>
      </c>
      <c r="D203" s="201">
        <v>10.385999999999999</v>
      </c>
      <c r="E203" s="202">
        <v>3360</v>
      </c>
      <c r="F203" s="163"/>
      <c r="G203" s="164"/>
      <c r="H203" s="165"/>
    </row>
    <row r="204" spans="1:8" ht="15.5" x14ac:dyDescent="0.35">
      <c r="A204" s="118" t="s">
        <v>690</v>
      </c>
      <c r="B204" s="118" t="s">
        <v>613</v>
      </c>
      <c r="C204" s="118" t="s">
        <v>691</v>
      </c>
      <c r="D204" s="201">
        <v>16.675000000000001</v>
      </c>
      <c r="E204" s="202">
        <v>3807</v>
      </c>
      <c r="F204" s="163"/>
      <c r="G204" s="164"/>
      <c r="H204" s="165"/>
    </row>
    <row r="205" spans="1:8" ht="15.5" x14ac:dyDescent="0.35">
      <c r="A205" s="118" t="s">
        <v>692</v>
      </c>
      <c r="B205" s="118" t="s">
        <v>613</v>
      </c>
      <c r="C205" s="118" t="s">
        <v>693</v>
      </c>
      <c r="D205" s="201">
        <v>16.875</v>
      </c>
      <c r="E205" s="202">
        <v>3817</v>
      </c>
      <c r="F205" s="163"/>
      <c r="G205" s="164"/>
      <c r="H205" s="165"/>
    </row>
    <row r="206" spans="1:8" ht="15.5" x14ac:dyDescent="0.35">
      <c r="A206" s="118" t="s">
        <v>694</v>
      </c>
      <c r="B206" s="118" t="s">
        <v>613</v>
      </c>
      <c r="C206" s="118" t="s">
        <v>695</v>
      </c>
      <c r="D206" s="201">
        <v>15.141</v>
      </c>
      <c r="E206" s="202">
        <v>3586</v>
      </c>
      <c r="F206" s="163"/>
      <c r="G206" s="164"/>
      <c r="H206" s="165"/>
    </row>
    <row r="207" spans="1:8" ht="15.5" x14ac:dyDescent="0.35">
      <c r="A207" s="118" t="s">
        <v>696</v>
      </c>
      <c r="B207" s="118" t="s">
        <v>613</v>
      </c>
      <c r="C207" s="118" t="s">
        <v>697</v>
      </c>
      <c r="D207" s="201">
        <v>21.686</v>
      </c>
      <c r="E207" s="202">
        <v>4876</v>
      </c>
      <c r="F207" s="163"/>
      <c r="G207" s="164"/>
      <c r="H207" s="165"/>
    </row>
    <row r="208" spans="1:8" ht="15.5" x14ac:dyDescent="0.35">
      <c r="A208" s="118" t="s">
        <v>698</v>
      </c>
      <c r="B208" s="118" t="s">
        <v>613</v>
      </c>
      <c r="C208" s="118" t="s">
        <v>699</v>
      </c>
      <c r="D208" s="201">
        <v>12.569000000000001</v>
      </c>
      <c r="E208" s="202">
        <v>2781</v>
      </c>
      <c r="F208" s="163"/>
      <c r="G208" s="164"/>
      <c r="H208" s="165"/>
    </row>
    <row r="209" spans="1:8" ht="15.5" x14ac:dyDescent="0.35">
      <c r="A209" s="118" t="s">
        <v>700</v>
      </c>
      <c r="B209" s="118" t="s">
        <v>613</v>
      </c>
      <c r="C209" s="118" t="s">
        <v>701</v>
      </c>
      <c r="D209" s="201">
        <v>23.199000000000002</v>
      </c>
      <c r="E209" s="202">
        <v>5697</v>
      </c>
      <c r="F209" s="163"/>
      <c r="G209" s="164"/>
      <c r="H209" s="165"/>
    </row>
    <row r="210" spans="1:8" ht="15.5" x14ac:dyDescent="0.35">
      <c r="A210" s="118" t="s">
        <v>702</v>
      </c>
      <c r="B210" s="118" t="s">
        <v>613</v>
      </c>
      <c r="C210" s="118" t="s">
        <v>703</v>
      </c>
      <c r="D210" s="201">
        <v>14.351000000000001</v>
      </c>
      <c r="E210" s="202">
        <v>3111</v>
      </c>
      <c r="F210" s="163"/>
      <c r="G210" s="164"/>
      <c r="H210" s="165"/>
    </row>
    <row r="211" spans="1:8" ht="15.5" x14ac:dyDescent="0.35">
      <c r="A211" s="118" t="s">
        <v>704</v>
      </c>
      <c r="B211" s="118" t="s">
        <v>613</v>
      </c>
      <c r="C211" s="118" t="s">
        <v>705</v>
      </c>
      <c r="D211" s="201">
        <v>14.541</v>
      </c>
      <c r="E211" s="202">
        <v>3036</v>
      </c>
      <c r="F211" s="163"/>
      <c r="G211" s="164"/>
      <c r="H211" s="165"/>
    </row>
    <row r="212" spans="1:8" ht="15.5" x14ac:dyDescent="0.35">
      <c r="A212" s="118" t="s">
        <v>706</v>
      </c>
      <c r="B212" s="118" t="s">
        <v>613</v>
      </c>
      <c r="C212" s="118" t="s">
        <v>707</v>
      </c>
      <c r="D212" s="201">
        <v>10.561</v>
      </c>
      <c r="E212" s="202">
        <v>2861</v>
      </c>
      <c r="F212" s="163"/>
      <c r="G212" s="164"/>
      <c r="H212" s="165"/>
    </row>
    <row r="213" spans="1:8" ht="15.5" x14ac:dyDescent="0.35">
      <c r="A213" s="203" t="s">
        <v>708</v>
      </c>
      <c r="B213" s="203" t="s">
        <v>709</v>
      </c>
      <c r="C213" s="118"/>
      <c r="D213" s="201">
        <v>0</v>
      </c>
      <c r="E213" s="202">
        <v>0</v>
      </c>
      <c r="F213" s="163"/>
      <c r="G213" s="164"/>
      <c r="H213" s="165"/>
    </row>
    <row r="214" spans="1:8" ht="15.5" x14ac:dyDescent="0.35">
      <c r="A214" s="118" t="s">
        <v>710</v>
      </c>
      <c r="B214" s="118" t="s">
        <v>709</v>
      </c>
      <c r="C214" s="118" t="s">
        <v>711</v>
      </c>
      <c r="D214" s="201">
        <v>5.6909999999999998</v>
      </c>
      <c r="E214" s="202">
        <v>1482</v>
      </c>
      <c r="F214" s="163"/>
      <c r="G214" s="164"/>
      <c r="H214" s="165"/>
    </row>
    <row r="215" spans="1:8" ht="15.5" x14ac:dyDescent="0.35">
      <c r="A215" s="118" t="s">
        <v>712</v>
      </c>
      <c r="B215" s="118" t="s">
        <v>709</v>
      </c>
      <c r="C215" s="118" t="s">
        <v>713</v>
      </c>
      <c r="D215" s="201">
        <v>4.9249999999999998</v>
      </c>
      <c r="E215" s="202">
        <v>1520</v>
      </c>
      <c r="F215" s="163"/>
      <c r="G215" s="164"/>
      <c r="H215" s="165"/>
    </row>
    <row r="216" spans="1:8" ht="15.5" x14ac:dyDescent="0.35">
      <c r="A216" s="118" t="s">
        <v>714</v>
      </c>
      <c r="B216" s="118" t="s">
        <v>709</v>
      </c>
      <c r="C216" s="118" t="s">
        <v>715</v>
      </c>
      <c r="D216" s="201">
        <v>4.4219999999999997</v>
      </c>
      <c r="E216" s="202">
        <v>1423</v>
      </c>
      <c r="F216" s="163"/>
      <c r="G216" s="164"/>
      <c r="H216" s="165"/>
    </row>
    <row r="217" spans="1:8" ht="15.5" x14ac:dyDescent="0.35">
      <c r="A217" s="118" t="s">
        <v>716</v>
      </c>
      <c r="B217" s="118" t="s">
        <v>709</v>
      </c>
      <c r="C217" s="118" t="s">
        <v>717</v>
      </c>
      <c r="D217" s="201">
        <v>4.3170000000000002</v>
      </c>
      <c r="E217" s="202">
        <v>1100</v>
      </c>
      <c r="F217" s="163"/>
      <c r="G217" s="164"/>
      <c r="H217" s="165"/>
    </row>
    <row r="218" spans="1:8" ht="15.5" x14ac:dyDescent="0.35">
      <c r="A218" s="118" t="s">
        <v>718</v>
      </c>
      <c r="B218" s="118" t="s">
        <v>709</v>
      </c>
      <c r="C218" s="118" t="s">
        <v>719</v>
      </c>
      <c r="D218" s="201">
        <v>6.2539999999999996</v>
      </c>
      <c r="E218" s="202">
        <v>1887</v>
      </c>
      <c r="F218" s="163"/>
      <c r="G218" s="164"/>
      <c r="H218" s="165"/>
    </row>
    <row r="219" spans="1:8" ht="15.5" x14ac:dyDescent="0.35">
      <c r="A219" s="118" t="s">
        <v>720</v>
      </c>
      <c r="B219" s="118" t="s">
        <v>709</v>
      </c>
      <c r="C219" s="118" t="s">
        <v>721</v>
      </c>
      <c r="D219" s="201">
        <v>4.1440000000000001</v>
      </c>
      <c r="E219" s="202">
        <v>1385</v>
      </c>
      <c r="F219" s="163"/>
      <c r="G219" s="164"/>
      <c r="H219" s="165"/>
    </row>
    <row r="220" spans="1:8" ht="15.5" x14ac:dyDescent="0.35">
      <c r="A220" s="118" t="s">
        <v>722</v>
      </c>
      <c r="B220" s="118" t="s">
        <v>709</v>
      </c>
      <c r="C220" s="118" t="s">
        <v>723</v>
      </c>
      <c r="D220" s="201">
        <v>4.5949999999999998</v>
      </c>
      <c r="E220" s="202">
        <v>1528</v>
      </c>
      <c r="F220" s="163"/>
      <c r="G220" s="164"/>
      <c r="H220" s="165"/>
    </row>
    <row r="221" spans="1:8" ht="15.5" x14ac:dyDescent="0.35">
      <c r="A221" s="118" t="s">
        <v>724</v>
      </c>
      <c r="B221" s="118" t="s">
        <v>709</v>
      </c>
      <c r="C221" s="118" t="s">
        <v>725</v>
      </c>
      <c r="D221" s="201">
        <v>4.7060000000000004</v>
      </c>
      <c r="E221" s="202">
        <v>1500</v>
      </c>
      <c r="F221" s="163"/>
      <c r="G221" s="164"/>
      <c r="H221" s="165"/>
    </row>
    <row r="222" spans="1:8" ht="15.5" x14ac:dyDescent="0.35">
      <c r="A222" s="118" t="s">
        <v>726</v>
      </c>
      <c r="B222" s="118" t="s">
        <v>709</v>
      </c>
      <c r="C222" s="118" t="s">
        <v>727</v>
      </c>
      <c r="D222" s="201">
        <v>3.7440000000000002</v>
      </c>
      <c r="E222" s="202">
        <v>987</v>
      </c>
      <c r="F222" s="163"/>
      <c r="G222" s="164"/>
      <c r="H222" s="165"/>
    </row>
    <row r="223" spans="1:8" ht="15.5" x14ac:dyDescent="0.35">
      <c r="A223" s="118" t="s">
        <v>728</v>
      </c>
      <c r="B223" s="118" t="s">
        <v>709</v>
      </c>
      <c r="C223" s="118" t="s">
        <v>729</v>
      </c>
      <c r="D223" s="201">
        <v>3.6520000000000001</v>
      </c>
      <c r="E223" s="202">
        <v>1083</v>
      </c>
      <c r="F223" s="163"/>
      <c r="G223" s="164"/>
      <c r="H223" s="165"/>
    </row>
    <row r="224" spans="1:8" ht="15.5" x14ac:dyDescent="0.35">
      <c r="A224" s="118" t="s">
        <v>730</v>
      </c>
      <c r="B224" s="118" t="s">
        <v>709</v>
      </c>
      <c r="C224" s="118" t="s">
        <v>731</v>
      </c>
      <c r="D224" s="201">
        <v>10.766999999999999</v>
      </c>
      <c r="E224" s="202">
        <v>2412</v>
      </c>
      <c r="F224" s="163"/>
      <c r="G224" s="164"/>
      <c r="H224" s="165"/>
    </row>
    <row r="225" spans="1:8" ht="15.5" x14ac:dyDescent="0.35">
      <c r="A225" s="118" t="s">
        <v>732</v>
      </c>
      <c r="B225" s="118" t="s">
        <v>709</v>
      </c>
      <c r="C225" s="118" t="s">
        <v>733</v>
      </c>
      <c r="D225" s="201">
        <v>11.347</v>
      </c>
      <c r="E225" s="202">
        <v>2688</v>
      </c>
      <c r="F225" s="163"/>
      <c r="G225" s="164"/>
      <c r="H225" s="165"/>
    </row>
    <row r="226" spans="1:8" ht="15.5" x14ac:dyDescent="0.35">
      <c r="A226" s="118" t="s">
        <v>734</v>
      </c>
      <c r="B226" s="118" t="s">
        <v>709</v>
      </c>
      <c r="C226" s="118" t="s">
        <v>735</v>
      </c>
      <c r="D226" s="201">
        <v>9.1519999999999992</v>
      </c>
      <c r="E226" s="202">
        <v>2430</v>
      </c>
      <c r="F226" s="163"/>
      <c r="G226" s="164"/>
      <c r="H226" s="165"/>
    </row>
    <row r="227" spans="1:8" ht="15.5" x14ac:dyDescent="0.35">
      <c r="A227" s="118" t="s">
        <v>736</v>
      </c>
      <c r="B227" s="118" t="s">
        <v>709</v>
      </c>
      <c r="C227" s="118" t="s">
        <v>737</v>
      </c>
      <c r="D227" s="201">
        <v>7.5019999999999998</v>
      </c>
      <c r="E227" s="202">
        <v>2082</v>
      </c>
      <c r="F227" s="163"/>
      <c r="G227" s="164"/>
      <c r="H227" s="165"/>
    </row>
    <row r="228" spans="1:8" ht="15.5" x14ac:dyDescent="0.35">
      <c r="A228" s="118" t="s">
        <v>738</v>
      </c>
      <c r="B228" s="118" t="s">
        <v>709</v>
      </c>
      <c r="C228" s="118" t="s">
        <v>739</v>
      </c>
      <c r="D228" s="201">
        <v>4.9009999999999998</v>
      </c>
      <c r="E228" s="202">
        <v>1328</v>
      </c>
      <c r="F228" s="163"/>
      <c r="G228" s="164"/>
      <c r="H228" s="165"/>
    </row>
    <row r="229" spans="1:8" ht="15.5" x14ac:dyDescent="0.35">
      <c r="A229" s="118" t="s">
        <v>740</v>
      </c>
      <c r="B229" s="118" t="s">
        <v>709</v>
      </c>
      <c r="C229" s="118" t="s">
        <v>741</v>
      </c>
      <c r="D229" s="201">
        <v>6.04</v>
      </c>
      <c r="E229" s="202">
        <v>1571</v>
      </c>
      <c r="F229" s="163"/>
      <c r="G229" s="164"/>
      <c r="H229" s="165"/>
    </row>
    <row r="230" spans="1:8" ht="15.5" x14ac:dyDescent="0.35">
      <c r="A230" s="118" t="s">
        <v>742</v>
      </c>
      <c r="B230" s="118" t="s">
        <v>709</v>
      </c>
      <c r="C230" s="118" t="s">
        <v>743</v>
      </c>
      <c r="D230" s="201">
        <v>16.518999999999998</v>
      </c>
      <c r="E230" s="202">
        <v>4203</v>
      </c>
      <c r="F230" s="163"/>
      <c r="G230" s="164"/>
      <c r="H230" s="165"/>
    </row>
    <row r="231" spans="1:8" ht="15.5" x14ac:dyDescent="0.35">
      <c r="A231" s="118" t="s">
        <v>744</v>
      </c>
      <c r="B231" s="118" t="s">
        <v>709</v>
      </c>
      <c r="C231" s="118" t="s">
        <v>745</v>
      </c>
      <c r="D231" s="201">
        <v>4.4580000000000002</v>
      </c>
      <c r="E231" s="202">
        <v>1300</v>
      </c>
      <c r="F231" s="163"/>
      <c r="G231" s="164"/>
      <c r="H231" s="165"/>
    </row>
    <row r="232" spans="1:8" ht="15.5" x14ac:dyDescent="0.35">
      <c r="A232" s="118" t="s">
        <v>746</v>
      </c>
      <c r="B232" s="118" t="s">
        <v>709</v>
      </c>
      <c r="C232" s="118" t="s">
        <v>747</v>
      </c>
      <c r="D232" s="201">
        <v>5.3949999999999996</v>
      </c>
      <c r="E232" s="202">
        <v>1409</v>
      </c>
      <c r="F232" s="163"/>
      <c r="G232" s="164"/>
      <c r="H232" s="165"/>
    </row>
    <row r="233" spans="1:8" ht="15.5" x14ac:dyDescent="0.35">
      <c r="A233" s="118" t="s">
        <v>748</v>
      </c>
      <c r="B233" s="118" t="s">
        <v>709</v>
      </c>
      <c r="C233" s="118" t="s">
        <v>749</v>
      </c>
      <c r="D233" s="201">
        <v>18.103000000000002</v>
      </c>
      <c r="E233" s="202">
        <v>3843</v>
      </c>
      <c r="F233" s="163"/>
      <c r="G233" s="164"/>
      <c r="H233" s="165"/>
    </row>
    <row r="234" spans="1:8" ht="15.5" x14ac:dyDescent="0.35">
      <c r="A234" s="118" t="s">
        <v>750</v>
      </c>
      <c r="B234" s="118" t="s">
        <v>709</v>
      </c>
      <c r="C234" s="118" t="s">
        <v>751</v>
      </c>
      <c r="D234" s="201">
        <v>15.919</v>
      </c>
      <c r="E234" s="202">
        <v>3597</v>
      </c>
      <c r="F234" s="163"/>
      <c r="G234" s="164"/>
      <c r="H234" s="165"/>
    </row>
    <row r="235" spans="1:8" ht="15.5" x14ac:dyDescent="0.35">
      <c r="A235" s="118" t="s">
        <v>752</v>
      </c>
      <c r="B235" s="118" t="s">
        <v>709</v>
      </c>
      <c r="C235" s="118" t="s">
        <v>753</v>
      </c>
      <c r="D235" s="201">
        <v>7.2560000000000002</v>
      </c>
      <c r="E235" s="202">
        <v>1646</v>
      </c>
      <c r="F235" s="163"/>
      <c r="G235" s="164"/>
      <c r="H235" s="165"/>
    </row>
    <row r="236" spans="1:8" ht="15.5" x14ac:dyDescent="0.35">
      <c r="A236" s="118" t="s">
        <v>754</v>
      </c>
      <c r="B236" s="118" t="s">
        <v>709</v>
      </c>
      <c r="C236" s="118" t="s">
        <v>755</v>
      </c>
      <c r="D236" s="201">
        <v>10.49</v>
      </c>
      <c r="E236" s="202">
        <v>2268</v>
      </c>
      <c r="F236" s="163"/>
      <c r="G236" s="164"/>
      <c r="H236" s="165"/>
    </row>
    <row r="237" spans="1:8" ht="15.5" x14ac:dyDescent="0.35">
      <c r="A237" s="118" t="s">
        <v>756</v>
      </c>
      <c r="B237" s="118" t="s">
        <v>709</v>
      </c>
      <c r="C237" s="118" t="s">
        <v>757</v>
      </c>
      <c r="D237" s="201">
        <v>8.3059999999999992</v>
      </c>
      <c r="E237" s="202">
        <v>1813</v>
      </c>
      <c r="F237" s="163"/>
      <c r="G237" s="164"/>
      <c r="H237" s="165"/>
    </row>
    <row r="238" spans="1:8" ht="15.5" x14ac:dyDescent="0.35">
      <c r="A238" s="118" t="s">
        <v>758</v>
      </c>
      <c r="B238" s="118" t="s">
        <v>709</v>
      </c>
      <c r="C238" s="118" t="s">
        <v>759</v>
      </c>
      <c r="D238" s="201">
        <v>7.3339999999999996</v>
      </c>
      <c r="E238" s="202">
        <v>2069</v>
      </c>
      <c r="F238" s="163"/>
      <c r="G238" s="164"/>
      <c r="H238" s="165"/>
    </row>
    <row r="239" spans="1:8" ht="15.5" x14ac:dyDescent="0.35">
      <c r="A239" s="118" t="s">
        <v>760</v>
      </c>
      <c r="B239" s="118" t="s">
        <v>709</v>
      </c>
      <c r="C239" s="118" t="s">
        <v>761</v>
      </c>
      <c r="D239" s="201">
        <v>27.074999999999999</v>
      </c>
      <c r="E239" s="202">
        <v>5454</v>
      </c>
      <c r="F239" s="163"/>
      <c r="G239" s="164"/>
      <c r="H239" s="165"/>
    </row>
    <row r="240" spans="1:8" ht="15.5" x14ac:dyDescent="0.35">
      <c r="A240" s="118" t="s">
        <v>762</v>
      </c>
      <c r="B240" s="118" t="s">
        <v>709</v>
      </c>
      <c r="C240" s="118" t="s">
        <v>763</v>
      </c>
      <c r="D240" s="201">
        <v>19.529</v>
      </c>
      <c r="E240" s="202">
        <v>4369</v>
      </c>
      <c r="F240" s="163"/>
      <c r="G240" s="164"/>
      <c r="H240" s="165"/>
    </row>
    <row r="241" spans="1:8" ht="15.5" x14ac:dyDescent="0.35">
      <c r="A241" s="118" t="s">
        <v>764</v>
      </c>
      <c r="B241" s="118" t="s">
        <v>709</v>
      </c>
      <c r="C241" s="118" t="s">
        <v>765</v>
      </c>
      <c r="D241" s="201">
        <v>8.6389999999999993</v>
      </c>
      <c r="E241" s="202">
        <v>2187</v>
      </c>
      <c r="F241" s="163"/>
      <c r="G241" s="164"/>
      <c r="H241" s="165"/>
    </row>
    <row r="242" spans="1:8" ht="15.5" x14ac:dyDescent="0.35">
      <c r="A242" s="118" t="s">
        <v>766</v>
      </c>
      <c r="B242" s="118" t="s">
        <v>709</v>
      </c>
      <c r="C242" s="118" t="s">
        <v>767</v>
      </c>
      <c r="D242" s="201">
        <v>7.6369999999999996</v>
      </c>
      <c r="E242" s="202">
        <v>2011</v>
      </c>
      <c r="F242" s="163"/>
      <c r="G242" s="164"/>
      <c r="H242" s="165"/>
    </row>
    <row r="243" spans="1:8" ht="15.5" x14ac:dyDescent="0.35">
      <c r="A243" s="118" t="s">
        <v>768</v>
      </c>
      <c r="B243" s="118" t="s">
        <v>709</v>
      </c>
      <c r="C243" s="118" t="s">
        <v>769</v>
      </c>
      <c r="D243" s="201">
        <v>9.1959999999999997</v>
      </c>
      <c r="E243" s="202">
        <v>2163</v>
      </c>
      <c r="F243" s="163"/>
      <c r="G243" s="164"/>
      <c r="H243" s="165"/>
    </row>
    <row r="244" spans="1:8" ht="15.5" x14ac:dyDescent="0.35">
      <c r="A244" s="118" t="s">
        <v>770</v>
      </c>
      <c r="B244" s="118" t="s">
        <v>709</v>
      </c>
      <c r="C244" s="118" t="s">
        <v>771</v>
      </c>
      <c r="D244" s="201">
        <v>11.273999999999999</v>
      </c>
      <c r="E244" s="202">
        <v>2734</v>
      </c>
      <c r="F244" s="163"/>
      <c r="G244" s="164"/>
      <c r="H244" s="165"/>
    </row>
    <row r="245" spans="1:8" ht="15.5" x14ac:dyDescent="0.35">
      <c r="A245" s="118" t="s">
        <v>772</v>
      </c>
      <c r="B245" s="118" t="s">
        <v>709</v>
      </c>
      <c r="C245" s="118" t="s">
        <v>773</v>
      </c>
      <c r="D245" s="201">
        <v>12.446999999999999</v>
      </c>
      <c r="E245" s="202">
        <v>2916</v>
      </c>
      <c r="F245" s="163"/>
      <c r="G245" s="164"/>
      <c r="H245" s="165"/>
    </row>
    <row r="246" spans="1:8" ht="15.5" x14ac:dyDescent="0.35">
      <c r="A246" s="118" t="s">
        <v>774</v>
      </c>
      <c r="B246" s="118" t="s">
        <v>709</v>
      </c>
      <c r="C246" s="118" t="s">
        <v>775</v>
      </c>
      <c r="D246" s="201">
        <v>4.1360000000000001</v>
      </c>
      <c r="E246" s="202">
        <v>1111</v>
      </c>
      <c r="F246" s="163"/>
      <c r="G246" s="164"/>
      <c r="H246" s="165"/>
    </row>
    <row r="247" spans="1:8" ht="15.5" x14ac:dyDescent="0.35">
      <c r="A247" s="118" t="s">
        <v>776</v>
      </c>
      <c r="B247" s="118" t="s">
        <v>709</v>
      </c>
      <c r="C247" s="118" t="s">
        <v>777</v>
      </c>
      <c r="D247" s="201">
        <v>5.79</v>
      </c>
      <c r="E247" s="202">
        <v>1291</v>
      </c>
      <c r="F247" s="163"/>
      <c r="G247" s="164"/>
      <c r="H247" s="165"/>
    </row>
    <row r="248" spans="1:8" ht="15.5" x14ac:dyDescent="0.35">
      <c r="A248" s="118" t="s">
        <v>778</v>
      </c>
      <c r="B248" s="118" t="s">
        <v>709</v>
      </c>
      <c r="C248" s="118" t="s">
        <v>779</v>
      </c>
      <c r="D248" s="201">
        <v>20.809000000000001</v>
      </c>
      <c r="E248" s="202">
        <v>4337</v>
      </c>
      <c r="F248" s="163"/>
      <c r="G248" s="164"/>
      <c r="H248" s="165"/>
    </row>
    <row r="249" spans="1:8" ht="15.5" x14ac:dyDescent="0.35">
      <c r="A249" s="118" t="s">
        <v>780</v>
      </c>
      <c r="B249" s="118" t="s">
        <v>709</v>
      </c>
      <c r="C249" s="118" t="s">
        <v>781</v>
      </c>
      <c r="D249" s="201">
        <v>13.733000000000001</v>
      </c>
      <c r="E249" s="202">
        <v>3218</v>
      </c>
      <c r="F249" s="163"/>
      <c r="G249" s="164"/>
      <c r="H249" s="165"/>
    </row>
    <row r="250" spans="1:8" ht="15.5" x14ac:dyDescent="0.35">
      <c r="A250" s="118" t="s">
        <v>782</v>
      </c>
      <c r="B250" s="118" t="s">
        <v>709</v>
      </c>
      <c r="C250" s="118" t="s">
        <v>783</v>
      </c>
      <c r="D250" s="201">
        <v>9.9819999999999993</v>
      </c>
      <c r="E250" s="202">
        <v>2351</v>
      </c>
      <c r="F250" s="163"/>
      <c r="G250" s="164"/>
      <c r="H250" s="165"/>
    </row>
    <row r="251" spans="1:8" ht="15.5" x14ac:dyDescent="0.35">
      <c r="A251" s="118" t="s">
        <v>784</v>
      </c>
      <c r="B251" s="118" t="s">
        <v>709</v>
      </c>
      <c r="C251" s="118" t="s">
        <v>785</v>
      </c>
      <c r="D251" s="201">
        <v>10.429</v>
      </c>
      <c r="E251" s="202">
        <v>3497</v>
      </c>
      <c r="F251" s="163"/>
      <c r="G251" s="164"/>
      <c r="H251" s="165"/>
    </row>
    <row r="252" spans="1:8" ht="15.5" x14ac:dyDescent="0.35">
      <c r="A252" s="118" t="s">
        <v>786</v>
      </c>
      <c r="B252" s="118" t="s">
        <v>709</v>
      </c>
      <c r="C252" s="118" t="s">
        <v>787</v>
      </c>
      <c r="D252" s="201">
        <v>10.071999999999999</v>
      </c>
      <c r="E252" s="202">
        <v>3340</v>
      </c>
      <c r="F252" s="163"/>
      <c r="G252" s="164"/>
      <c r="H252" s="165"/>
    </row>
    <row r="253" spans="1:8" ht="15.5" x14ac:dyDescent="0.35">
      <c r="A253" s="118" t="s">
        <v>788</v>
      </c>
      <c r="B253" s="118" t="s">
        <v>709</v>
      </c>
      <c r="C253" s="118" t="s">
        <v>789</v>
      </c>
      <c r="D253" s="201">
        <v>12.396000000000001</v>
      </c>
      <c r="E253" s="202">
        <v>3658</v>
      </c>
      <c r="F253" s="163"/>
      <c r="G253" s="164"/>
      <c r="H253" s="165"/>
    </row>
    <row r="254" spans="1:8" ht="15.5" x14ac:dyDescent="0.35">
      <c r="A254" s="118" t="s">
        <v>790</v>
      </c>
      <c r="B254" s="118" t="s">
        <v>709</v>
      </c>
      <c r="C254" s="118" t="s">
        <v>791</v>
      </c>
      <c r="D254" s="201">
        <v>11.395</v>
      </c>
      <c r="E254" s="202">
        <v>2584</v>
      </c>
      <c r="F254" s="163"/>
      <c r="G254" s="164"/>
      <c r="H254" s="165"/>
    </row>
    <row r="255" spans="1:8" ht="15.5" x14ac:dyDescent="0.35">
      <c r="A255" s="118" t="s">
        <v>792</v>
      </c>
      <c r="B255" s="118" t="s">
        <v>709</v>
      </c>
      <c r="C255" s="118" t="s">
        <v>793</v>
      </c>
      <c r="D255" s="201">
        <v>5.0890000000000004</v>
      </c>
      <c r="E255" s="202">
        <v>1225</v>
      </c>
      <c r="F255" s="163"/>
      <c r="G255" s="164"/>
      <c r="H255" s="165"/>
    </row>
    <row r="256" spans="1:8" ht="15.5" x14ac:dyDescent="0.35">
      <c r="A256" s="118" t="s">
        <v>794</v>
      </c>
      <c r="B256" s="118" t="s">
        <v>709</v>
      </c>
      <c r="C256" s="118" t="s">
        <v>795</v>
      </c>
      <c r="D256" s="201">
        <v>15.536</v>
      </c>
      <c r="E256" s="202">
        <v>3762</v>
      </c>
      <c r="F256" s="163"/>
      <c r="G256" s="164"/>
      <c r="H256" s="165"/>
    </row>
    <row r="257" spans="1:8" ht="15.5" x14ac:dyDescent="0.35">
      <c r="A257" s="118" t="s">
        <v>796</v>
      </c>
      <c r="B257" s="118" t="s">
        <v>709</v>
      </c>
      <c r="C257" s="118" t="s">
        <v>797</v>
      </c>
      <c r="D257" s="201">
        <v>6.6449999999999996</v>
      </c>
      <c r="E257" s="202">
        <v>1463</v>
      </c>
      <c r="F257" s="163"/>
      <c r="G257" s="164"/>
      <c r="H257" s="165"/>
    </row>
    <row r="258" spans="1:8" ht="15.5" x14ac:dyDescent="0.35">
      <c r="A258" s="118" t="s">
        <v>798</v>
      </c>
      <c r="B258" s="118" t="s">
        <v>709</v>
      </c>
      <c r="C258" s="118" t="s">
        <v>799</v>
      </c>
      <c r="D258" s="201">
        <v>8.0869999999999997</v>
      </c>
      <c r="E258" s="202">
        <v>1920</v>
      </c>
      <c r="F258" s="163"/>
      <c r="G258" s="164"/>
      <c r="H258" s="165"/>
    </row>
    <row r="259" spans="1:8" ht="15.5" x14ac:dyDescent="0.35">
      <c r="A259" s="118" t="s">
        <v>800</v>
      </c>
      <c r="B259" s="118" t="s">
        <v>709</v>
      </c>
      <c r="C259" s="118" t="s">
        <v>801</v>
      </c>
      <c r="D259" s="201">
        <v>8.8070000000000004</v>
      </c>
      <c r="E259" s="202">
        <v>2279</v>
      </c>
      <c r="F259" s="163"/>
      <c r="G259" s="164"/>
      <c r="H259" s="165"/>
    </row>
    <row r="260" spans="1:8" ht="15.5" x14ac:dyDescent="0.35">
      <c r="A260" s="118" t="s">
        <v>802</v>
      </c>
      <c r="B260" s="118" t="s">
        <v>709</v>
      </c>
      <c r="C260" s="118" t="s">
        <v>803</v>
      </c>
      <c r="D260" s="201">
        <v>14.901999999999999</v>
      </c>
      <c r="E260" s="202">
        <v>3487</v>
      </c>
      <c r="F260" s="163"/>
      <c r="G260" s="164"/>
      <c r="H260" s="165"/>
    </row>
    <row r="261" spans="1:8" ht="15.5" x14ac:dyDescent="0.35">
      <c r="A261" s="118" t="s">
        <v>804</v>
      </c>
      <c r="B261" s="118" t="s">
        <v>709</v>
      </c>
      <c r="C261" s="118" t="s">
        <v>805</v>
      </c>
      <c r="D261" s="201">
        <v>5.2240000000000002</v>
      </c>
      <c r="E261" s="202">
        <v>1644</v>
      </c>
      <c r="F261" s="163"/>
      <c r="G261" s="164"/>
      <c r="H261" s="165"/>
    </row>
    <row r="262" spans="1:8" ht="15.5" x14ac:dyDescent="0.35">
      <c r="A262" s="118" t="s">
        <v>806</v>
      </c>
      <c r="B262" s="118" t="s">
        <v>709</v>
      </c>
      <c r="C262" s="118" t="s">
        <v>807</v>
      </c>
      <c r="D262" s="201">
        <v>6.6189999999999998</v>
      </c>
      <c r="E262" s="202">
        <v>2031</v>
      </c>
      <c r="F262" s="163"/>
      <c r="G262" s="164"/>
      <c r="H262" s="165"/>
    </row>
    <row r="263" spans="1:8" ht="15.5" x14ac:dyDescent="0.35">
      <c r="A263" s="118" t="s">
        <v>808</v>
      </c>
      <c r="B263" s="118" t="s">
        <v>709</v>
      </c>
      <c r="C263" s="118" t="s">
        <v>809</v>
      </c>
      <c r="D263" s="201">
        <v>9.7200000000000006</v>
      </c>
      <c r="E263" s="202">
        <v>2617</v>
      </c>
      <c r="F263" s="163"/>
      <c r="G263" s="164"/>
      <c r="H263" s="165"/>
    </row>
    <row r="264" spans="1:8" ht="15.5" x14ac:dyDescent="0.35">
      <c r="A264" s="118" t="s">
        <v>810</v>
      </c>
      <c r="B264" s="118" t="s">
        <v>709</v>
      </c>
      <c r="C264" s="118" t="s">
        <v>811</v>
      </c>
      <c r="D264" s="201">
        <v>5.4459999999999997</v>
      </c>
      <c r="E264" s="202">
        <v>1543</v>
      </c>
      <c r="F264" s="163"/>
      <c r="G264" s="164"/>
      <c r="H264" s="165"/>
    </row>
    <row r="265" spans="1:8" ht="15.5" x14ac:dyDescent="0.35">
      <c r="A265" s="118" t="s">
        <v>812</v>
      </c>
      <c r="B265" s="118" t="s">
        <v>709</v>
      </c>
      <c r="C265" s="118" t="s">
        <v>813</v>
      </c>
      <c r="D265" s="201">
        <v>21.599</v>
      </c>
      <c r="E265" s="202">
        <v>5085</v>
      </c>
      <c r="F265" s="163"/>
      <c r="G265" s="164"/>
      <c r="H265" s="165"/>
    </row>
    <row r="266" spans="1:8" ht="15.5" x14ac:dyDescent="0.35">
      <c r="A266" s="118" t="s">
        <v>814</v>
      </c>
      <c r="B266" s="118" t="s">
        <v>709</v>
      </c>
      <c r="C266" s="118" t="s">
        <v>815</v>
      </c>
      <c r="D266" s="201">
        <v>5.37</v>
      </c>
      <c r="E266" s="202">
        <v>1441</v>
      </c>
      <c r="F266" s="163"/>
      <c r="G266" s="164"/>
      <c r="H266" s="165"/>
    </row>
    <row r="267" spans="1:8" ht="15.5" x14ac:dyDescent="0.35">
      <c r="A267" s="118" t="s">
        <v>816</v>
      </c>
      <c r="B267" s="118" t="s">
        <v>709</v>
      </c>
      <c r="C267" s="118" t="s">
        <v>817</v>
      </c>
      <c r="D267" s="201">
        <v>5.2729999999999997</v>
      </c>
      <c r="E267" s="202">
        <v>1479</v>
      </c>
      <c r="F267" s="163"/>
      <c r="G267" s="164"/>
      <c r="H267" s="165"/>
    </row>
    <row r="268" spans="1:8" ht="15.5" x14ac:dyDescent="0.35">
      <c r="A268" s="118" t="s">
        <v>818</v>
      </c>
      <c r="B268" s="118" t="s">
        <v>709</v>
      </c>
      <c r="C268" s="118" t="s">
        <v>819</v>
      </c>
      <c r="D268" s="201">
        <v>5.6219999999999999</v>
      </c>
      <c r="E268" s="202">
        <v>1426</v>
      </c>
      <c r="F268" s="163"/>
      <c r="G268" s="164"/>
      <c r="H268" s="165"/>
    </row>
    <row r="269" spans="1:8" ht="15.5" x14ac:dyDescent="0.35">
      <c r="A269" s="118" t="s">
        <v>820</v>
      </c>
      <c r="B269" s="118" t="s">
        <v>709</v>
      </c>
      <c r="C269" s="118" t="s">
        <v>821</v>
      </c>
      <c r="D269" s="201">
        <v>8.8219999999999992</v>
      </c>
      <c r="E269" s="202">
        <v>2304</v>
      </c>
      <c r="F269" s="163"/>
      <c r="G269" s="164"/>
      <c r="H269" s="165"/>
    </row>
    <row r="270" spans="1:8" ht="15.5" x14ac:dyDescent="0.35">
      <c r="A270" s="118" t="s">
        <v>822</v>
      </c>
      <c r="B270" s="118" t="s">
        <v>709</v>
      </c>
      <c r="C270" s="118" t="s">
        <v>823</v>
      </c>
      <c r="D270" s="201">
        <v>9.2949999999999999</v>
      </c>
      <c r="E270" s="202">
        <v>2228</v>
      </c>
      <c r="F270" s="163"/>
      <c r="G270" s="164"/>
      <c r="H270" s="165"/>
    </row>
    <row r="271" spans="1:8" ht="15.5" x14ac:dyDescent="0.35">
      <c r="A271" s="203" t="s">
        <v>824</v>
      </c>
      <c r="B271" s="203" t="s">
        <v>825</v>
      </c>
      <c r="C271" s="118"/>
      <c r="D271" s="201">
        <v>0</v>
      </c>
      <c r="E271" s="202">
        <v>0</v>
      </c>
      <c r="F271" s="163"/>
      <c r="G271" s="164"/>
      <c r="H271" s="165"/>
    </row>
    <row r="272" spans="1:8" ht="15.5" x14ac:dyDescent="0.35">
      <c r="A272" s="118" t="s">
        <v>826</v>
      </c>
      <c r="B272" s="118" t="s">
        <v>825</v>
      </c>
      <c r="C272" s="118" t="s">
        <v>827</v>
      </c>
      <c r="D272" s="201">
        <v>7.87</v>
      </c>
      <c r="E272" s="202">
        <v>1917</v>
      </c>
      <c r="F272" s="163"/>
      <c r="G272" s="164"/>
      <c r="H272" s="165"/>
    </row>
    <row r="273" spans="1:8" ht="15.5" x14ac:dyDescent="0.35">
      <c r="A273" s="118" t="s">
        <v>828</v>
      </c>
      <c r="B273" s="118" t="s">
        <v>825</v>
      </c>
      <c r="C273" s="118" t="s">
        <v>829</v>
      </c>
      <c r="D273" s="201">
        <v>7.9539999999999997</v>
      </c>
      <c r="E273" s="202">
        <v>1999</v>
      </c>
      <c r="F273" s="163"/>
      <c r="G273" s="164"/>
      <c r="H273" s="165"/>
    </row>
    <row r="274" spans="1:8" ht="15.5" x14ac:dyDescent="0.35">
      <c r="A274" s="118" t="s">
        <v>830</v>
      </c>
      <c r="B274" s="118" t="s">
        <v>825</v>
      </c>
      <c r="C274" s="118" t="s">
        <v>831</v>
      </c>
      <c r="D274" s="201">
        <v>13.266999999999999</v>
      </c>
      <c r="E274" s="202">
        <v>3039</v>
      </c>
      <c r="F274" s="163"/>
      <c r="G274" s="164"/>
      <c r="H274" s="165"/>
    </row>
    <row r="275" spans="1:8" ht="15.5" x14ac:dyDescent="0.35">
      <c r="A275" s="118" t="s">
        <v>832</v>
      </c>
      <c r="B275" s="118" t="s">
        <v>825</v>
      </c>
      <c r="C275" s="118" t="s">
        <v>833</v>
      </c>
      <c r="D275" s="201">
        <v>7.9720000000000004</v>
      </c>
      <c r="E275" s="202">
        <v>1832</v>
      </c>
      <c r="F275" s="163"/>
      <c r="G275" s="164"/>
      <c r="H275" s="165"/>
    </row>
    <row r="276" spans="1:8" ht="15.5" x14ac:dyDescent="0.35">
      <c r="A276" s="118" t="s">
        <v>834</v>
      </c>
      <c r="B276" s="118" t="s">
        <v>825</v>
      </c>
      <c r="C276" s="118" t="s">
        <v>835</v>
      </c>
      <c r="D276" s="201">
        <v>22.050999999999998</v>
      </c>
      <c r="E276" s="202">
        <v>4992</v>
      </c>
      <c r="F276" s="163"/>
      <c r="G276" s="164"/>
      <c r="H276" s="165"/>
    </row>
    <row r="277" spans="1:8" ht="15.5" x14ac:dyDescent="0.35">
      <c r="A277" s="118" t="s">
        <v>836</v>
      </c>
      <c r="B277" s="118" t="s">
        <v>825</v>
      </c>
      <c r="C277" s="118" t="s">
        <v>837</v>
      </c>
      <c r="D277" s="201">
        <v>5.4279999999999999</v>
      </c>
      <c r="E277" s="202">
        <v>1461</v>
      </c>
      <c r="F277" s="163"/>
      <c r="G277" s="164"/>
      <c r="H277" s="165"/>
    </row>
    <row r="278" spans="1:8" ht="15.5" x14ac:dyDescent="0.35">
      <c r="A278" s="118" t="s">
        <v>838</v>
      </c>
      <c r="B278" s="118" t="s">
        <v>825</v>
      </c>
      <c r="C278" s="118" t="s">
        <v>839</v>
      </c>
      <c r="D278" s="201">
        <v>20.484000000000002</v>
      </c>
      <c r="E278" s="202">
        <v>4977</v>
      </c>
      <c r="F278" s="163"/>
      <c r="G278" s="164"/>
      <c r="H278" s="165"/>
    </row>
    <row r="279" spans="1:8" ht="15.5" x14ac:dyDescent="0.35">
      <c r="A279" s="118" t="s">
        <v>840</v>
      </c>
      <c r="B279" s="118" t="s">
        <v>825</v>
      </c>
      <c r="C279" s="118" t="s">
        <v>841</v>
      </c>
      <c r="D279" s="201">
        <v>11.112</v>
      </c>
      <c r="E279" s="202">
        <v>3457</v>
      </c>
      <c r="F279" s="163"/>
      <c r="G279" s="164"/>
      <c r="H279" s="165"/>
    </row>
    <row r="280" spans="1:8" ht="15.5" x14ac:dyDescent="0.35">
      <c r="A280" s="118" t="s">
        <v>842</v>
      </c>
      <c r="B280" s="118" t="s">
        <v>825</v>
      </c>
      <c r="C280" s="118" t="s">
        <v>843</v>
      </c>
      <c r="D280" s="201">
        <v>6.774</v>
      </c>
      <c r="E280" s="202">
        <v>1723</v>
      </c>
      <c r="F280" s="163"/>
      <c r="G280" s="164"/>
      <c r="H280" s="165"/>
    </row>
    <row r="281" spans="1:8" ht="15.5" x14ac:dyDescent="0.35">
      <c r="A281" s="118" t="s">
        <v>844</v>
      </c>
      <c r="B281" s="118" t="s">
        <v>825</v>
      </c>
      <c r="C281" s="118" t="s">
        <v>845</v>
      </c>
      <c r="D281" s="201">
        <v>20.219000000000001</v>
      </c>
      <c r="E281" s="202">
        <v>4590</v>
      </c>
      <c r="F281" s="163"/>
      <c r="G281" s="164"/>
      <c r="H281" s="165"/>
    </row>
    <row r="282" spans="1:8" ht="15.5" x14ac:dyDescent="0.35">
      <c r="A282" s="118" t="s">
        <v>846</v>
      </c>
      <c r="B282" s="118" t="s">
        <v>825</v>
      </c>
      <c r="C282" s="118" t="s">
        <v>847</v>
      </c>
      <c r="D282" s="201">
        <v>9.3439999999999994</v>
      </c>
      <c r="E282" s="202">
        <v>2276</v>
      </c>
      <c r="F282" s="163"/>
      <c r="G282" s="164"/>
      <c r="H282" s="165"/>
    </row>
    <row r="283" spans="1:8" ht="15.5" x14ac:dyDescent="0.35">
      <c r="A283" s="118" t="s">
        <v>848</v>
      </c>
      <c r="B283" s="118" t="s">
        <v>825</v>
      </c>
      <c r="C283" s="118" t="s">
        <v>849</v>
      </c>
      <c r="D283" s="201">
        <v>14.425000000000001</v>
      </c>
      <c r="E283" s="202">
        <v>3753</v>
      </c>
      <c r="F283" s="163"/>
      <c r="G283" s="164"/>
      <c r="H283" s="165"/>
    </row>
    <row r="284" spans="1:8" ht="15.5" x14ac:dyDescent="0.35">
      <c r="A284" s="118" t="s">
        <v>850</v>
      </c>
      <c r="B284" s="118" t="s">
        <v>825</v>
      </c>
      <c r="C284" s="118" t="s">
        <v>851</v>
      </c>
      <c r="D284" s="201">
        <v>15.519</v>
      </c>
      <c r="E284" s="202">
        <v>4460</v>
      </c>
      <c r="F284" s="163"/>
      <c r="G284" s="164"/>
      <c r="H284" s="165"/>
    </row>
    <row r="285" spans="1:8" ht="15.5" x14ac:dyDescent="0.35">
      <c r="A285" s="118" t="s">
        <v>852</v>
      </c>
      <c r="B285" s="118" t="s">
        <v>825</v>
      </c>
      <c r="C285" s="118" t="s">
        <v>853</v>
      </c>
      <c r="D285" s="201">
        <v>9.3279999999999994</v>
      </c>
      <c r="E285" s="202">
        <v>2171</v>
      </c>
      <c r="F285" s="163"/>
      <c r="G285" s="164"/>
      <c r="H285" s="165"/>
    </row>
    <row r="286" spans="1:8" ht="15.5" x14ac:dyDescent="0.35">
      <c r="A286" s="118" t="s">
        <v>854</v>
      </c>
      <c r="B286" s="118" t="s">
        <v>825</v>
      </c>
      <c r="C286" s="118" t="s">
        <v>855</v>
      </c>
      <c r="D286" s="201">
        <v>22.594999999999999</v>
      </c>
      <c r="E286" s="202">
        <v>5371</v>
      </c>
      <c r="F286" s="163"/>
      <c r="G286" s="164"/>
      <c r="H286" s="165"/>
    </row>
    <row r="287" spans="1:8" ht="15.5" x14ac:dyDescent="0.35">
      <c r="A287" s="118" t="s">
        <v>856</v>
      </c>
      <c r="B287" s="118" t="s">
        <v>825</v>
      </c>
      <c r="C287" s="118" t="s">
        <v>857</v>
      </c>
      <c r="D287" s="201">
        <v>5.6040000000000001</v>
      </c>
      <c r="E287" s="202">
        <v>1413</v>
      </c>
      <c r="F287" s="163"/>
      <c r="G287" s="164"/>
      <c r="H287" s="165"/>
    </row>
    <row r="288" spans="1:8" ht="15.5" x14ac:dyDescent="0.35">
      <c r="A288" s="118" t="s">
        <v>858</v>
      </c>
      <c r="B288" s="118" t="s">
        <v>825</v>
      </c>
      <c r="C288" s="118" t="s">
        <v>859</v>
      </c>
      <c r="D288" s="201">
        <v>14.455</v>
      </c>
      <c r="E288" s="202">
        <v>3591</v>
      </c>
      <c r="F288" s="163"/>
      <c r="G288" s="164"/>
      <c r="H288" s="165"/>
    </row>
    <row r="289" spans="1:8" ht="15.5" x14ac:dyDescent="0.35">
      <c r="A289" s="118" t="s">
        <v>860</v>
      </c>
      <c r="B289" s="118" t="s">
        <v>825</v>
      </c>
      <c r="C289" s="118" t="s">
        <v>861</v>
      </c>
      <c r="D289" s="201">
        <v>7.4390000000000001</v>
      </c>
      <c r="E289" s="202">
        <v>1744</v>
      </c>
      <c r="F289" s="163"/>
      <c r="G289" s="164"/>
      <c r="H289" s="165"/>
    </row>
    <row r="290" spans="1:8" ht="15.5" x14ac:dyDescent="0.35">
      <c r="A290" s="118" t="s">
        <v>862</v>
      </c>
      <c r="B290" s="118" t="s">
        <v>825</v>
      </c>
      <c r="C290" s="118" t="s">
        <v>863</v>
      </c>
      <c r="D290" s="201">
        <v>12.339</v>
      </c>
      <c r="E290" s="202">
        <v>2834</v>
      </c>
      <c r="F290" s="163"/>
      <c r="G290" s="164"/>
      <c r="H290" s="165"/>
    </row>
    <row r="291" spans="1:8" ht="15.5" x14ac:dyDescent="0.35">
      <c r="A291" s="118" t="s">
        <v>864</v>
      </c>
      <c r="B291" s="118" t="s">
        <v>825</v>
      </c>
      <c r="C291" s="118" t="s">
        <v>865</v>
      </c>
      <c r="D291" s="201">
        <v>18.515000000000001</v>
      </c>
      <c r="E291" s="202">
        <v>4388</v>
      </c>
      <c r="F291" s="163"/>
      <c r="G291" s="164"/>
      <c r="H291" s="165"/>
    </row>
    <row r="292" spans="1:8" ht="15.5" x14ac:dyDescent="0.35">
      <c r="A292" s="118" t="s">
        <v>866</v>
      </c>
      <c r="B292" s="118" t="s">
        <v>825</v>
      </c>
      <c r="C292" s="118" t="s">
        <v>867</v>
      </c>
      <c r="D292" s="201">
        <v>7.1520000000000001</v>
      </c>
      <c r="E292" s="202">
        <v>1734</v>
      </c>
      <c r="F292" s="163"/>
      <c r="G292" s="164"/>
      <c r="H292" s="165"/>
    </row>
    <row r="293" spans="1:8" ht="15.5" x14ac:dyDescent="0.35">
      <c r="A293" s="118" t="s">
        <v>868</v>
      </c>
      <c r="B293" s="118" t="s">
        <v>825</v>
      </c>
      <c r="C293" s="118" t="s">
        <v>869</v>
      </c>
      <c r="D293" s="201">
        <v>9.6920000000000002</v>
      </c>
      <c r="E293" s="202">
        <v>2427</v>
      </c>
      <c r="F293" s="163"/>
      <c r="G293" s="164"/>
      <c r="H293" s="165"/>
    </row>
    <row r="294" spans="1:8" ht="15.5" x14ac:dyDescent="0.35">
      <c r="A294" s="118" t="s">
        <v>870</v>
      </c>
      <c r="B294" s="118" t="s">
        <v>825</v>
      </c>
      <c r="C294" s="118" t="s">
        <v>871</v>
      </c>
      <c r="D294" s="201">
        <v>5.7510000000000003</v>
      </c>
      <c r="E294" s="202">
        <v>1286</v>
      </c>
      <c r="F294" s="163"/>
      <c r="G294" s="164"/>
      <c r="H294" s="165"/>
    </row>
    <row r="295" spans="1:8" ht="15.5" x14ac:dyDescent="0.35">
      <c r="A295" s="118" t="s">
        <v>872</v>
      </c>
      <c r="B295" s="118" t="s">
        <v>825</v>
      </c>
      <c r="C295" s="118" t="s">
        <v>873</v>
      </c>
      <c r="D295" s="201">
        <v>11.867000000000001</v>
      </c>
      <c r="E295" s="202">
        <v>3070</v>
      </c>
      <c r="F295" s="163"/>
      <c r="G295" s="164"/>
      <c r="H295" s="165"/>
    </row>
    <row r="296" spans="1:8" ht="15.5" x14ac:dyDescent="0.35">
      <c r="A296" s="118" t="s">
        <v>874</v>
      </c>
      <c r="B296" s="118" t="s">
        <v>825</v>
      </c>
      <c r="C296" s="118" t="s">
        <v>875</v>
      </c>
      <c r="D296" s="201">
        <v>18.346</v>
      </c>
      <c r="E296" s="202">
        <v>4079</v>
      </c>
      <c r="F296" s="163"/>
      <c r="G296" s="164"/>
      <c r="H296" s="165"/>
    </row>
    <row r="297" spans="1:8" ht="15.5" x14ac:dyDescent="0.35">
      <c r="A297" s="118" t="s">
        <v>876</v>
      </c>
      <c r="B297" s="118" t="s">
        <v>825</v>
      </c>
      <c r="C297" s="118" t="s">
        <v>877</v>
      </c>
      <c r="D297" s="201">
        <v>9.657</v>
      </c>
      <c r="E297" s="202">
        <v>2741</v>
      </c>
      <c r="F297" s="163"/>
      <c r="G297" s="164"/>
      <c r="H297" s="165"/>
    </row>
    <row r="298" spans="1:8" ht="15.5" x14ac:dyDescent="0.35">
      <c r="A298" s="118" t="s">
        <v>878</v>
      </c>
      <c r="B298" s="118" t="s">
        <v>825</v>
      </c>
      <c r="C298" s="118" t="s">
        <v>879</v>
      </c>
      <c r="D298" s="201">
        <v>12.260999999999999</v>
      </c>
      <c r="E298" s="202">
        <v>3052</v>
      </c>
      <c r="F298" s="163"/>
      <c r="G298" s="164"/>
      <c r="H298" s="165"/>
    </row>
    <row r="299" spans="1:8" ht="15.5" x14ac:dyDescent="0.35">
      <c r="A299" s="118" t="s">
        <v>880</v>
      </c>
      <c r="B299" s="118" t="s">
        <v>825</v>
      </c>
      <c r="C299" s="118" t="s">
        <v>881</v>
      </c>
      <c r="D299" s="201">
        <v>5.7880000000000003</v>
      </c>
      <c r="E299" s="202">
        <v>1715</v>
      </c>
      <c r="F299" s="163"/>
      <c r="G299" s="164"/>
      <c r="H299" s="165"/>
    </row>
    <row r="300" spans="1:8" ht="15.5" x14ac:dyDescent="0.35">
      <c r="A300" s="118" t="s">
        <v>882</v>
      </c>
      <c r="B300" s="118" t="s">
        <v>825</v>
      </c>
      <c r="C300" s="118" t="s">
        <v>883</v>
      </c>
      <c r="D300" s="201">
        <v>5.8410000000000002</v>
      </c>
      <c r="E300" s="202">
        <v>1493</v>
      </c>
      <c r="F300" s="163"/>
      <c r="G300" s="164"/>
      <c r="H300" s="165"/>
    </row>
    <row r="301" spans="1:8" ht="15.5" x14ac:dyDescent="0.35">
      <c r="A301" s="118" t="s">
        <v>884</v>
      </c>
      <c r="B301" s="118" t="s">
        <v>825</v>
      </c>
      <c r="C301" s="118" t="s">
        <v>885</v>
      </c>
      <c r="D301" s="201">
        <v>15.641999999999999</v>
      </c>
      <c r="E301" s="202">
        <v>3521</v>
      </c>
      <c r="F301" s="163"/>
      <c r="G301" s="164"/>
      <c r="H301" s="165"/>
    </row>
    <row r="302" spans="1:8" ht="15.5" x14ac:dyDescent="0.35">
      <c r="A302" s="118" t="s">
        <v>886</v>
      </c>
      <c r="B302" s="118" t="s">
        <v>825</v>
      </c>
      <c r="C302" s="118" t="s">
        <v>887</v>
      </c>
      <c r="D302" s="201">
        <v>12.632999999999999</v>
      </c>
      <c r="E302" s="202">
        <v>2973</v>
      </c>
      <c r="F302" s="163"/>
      <c r="G302" s="164"/>
      <c r="H302" s="165"/>
    </row>
    <row r="303" spans="1:8" ht="15.5" x14ac:dyDescent="0.35">
      <c r="A303" s="118" t="s">
        <v>888</v>
      </c>
      <c r="B303" s="118" t="s">
        <v>825</v>
      </c>
      <c r="C303" s="118" t="s">
        <v>889</v>
      </c>
      <c r="D303" s="201">
        <v>24.815000000000001</v>
      </c>
      <c r="E303" s="202">
        <v>5426</v>
      </c>
      <c r="F303" s="163"/>
      <c r="G303" s="164"/>
      <c r="H303" s="165"/>
    </row>
    <row r="304" spans="1:8" ht="15.5" x14ac:dyDescent="0.35">
      <c r="A304" s="118" t="s">
        <v>890</v>
      </c>
      <c r="B304" s="118" t="s">
        <v>825</v>
      </c>
      <c r="C304" s="118" t="s">
        <v>891</v>
      </c>
      <c r="D304" s="201">
        <v>16.702999999999999</v>
      </c>
      <c r="E304" s="202">
        <v>3516</v>
      </c>
      <c r="F304" s="163"/>
      <c r="G304" s="164"/>
      <c r="H304" s="165"/>
    </row>
    <row r="305" spans="1:8" ht="15.5" x14ac:dyDescent="0.35">
      <c r="A305" s="118" t="s">
        <v>892</v>
      </c>
      <c r="B305" s="118" t="s">
        <v>825</v>
      </c>
      <c r="C305" s="118" t="s">
        <v>893</v>
      </c>
      <c r="D305" s="201">
        <v>17.532</v>
      </c>
      <c r="E305" s="202">
        <v>4214</v>
      </c>
      <c r="F305" s="163"/>
      <c r="G305" s="164"/>
      <c r="H305" s="165"/>
    </row>
    <row r="306" spans="1:8" ht="15.5" x14ac:dyDescent="0.35">
      <c r="A306" s="118" t="s">
        <v>894</v>
      </c>
      <c r="B306" s="118" t="s">
        <v>825</v>
      </c>
      <c r="C306" s="118" t="s">
        <v>895</v>
      </c>
      <c r="D306" s="201">
        <v>12.199</v>
      </c>
      <c r="E306" s="202">
        <v>3136</v>
      </c>
      <c r="F306" s="163"/>
      <c r="G306" s="164"/>
      <c r="H306" s="165"/>
    </row>
    <row r="307" spans="1:8" ht="15.5" x14ac:dyDescent="0.35">
      <c r="A307" s="118" t="s">
        <v>896</v>
      </c>
      <c r="B307" s="118" t="s">
        <v>825</v>
      </c>
      <c r="C307" s="118" t="s">
        <v>897</v>
      </c>
      <c r="D307" s="201">
        <v>21.876000000000001</v>
      </c>
      <c r="E307" s="202">
        <v>4664</v>
      </c>
      <c r="F307" s="163"/>
      <c r="G307" s="164"/>
      <c r="H307" s="165"/>
    </row>
    <row r="308" spans="1:8" ht="15.5" x14ac:dyDescent="0.35">
      <c r="A308" s="118" t="s">
        <v>898</v>
      </c>
      <c r="B308" s="118" t="s">
        <v>825</v>
      </c>
      <c r="C308" s="118" t="s">
        <v>899</v>
      </c>
      <c r="D308" s="201">
        <v>19.934000000000001</v>
      </c>
      <c r="E308" s="202">
        <v>5363</v>
      </c>
      <c r="F308" s="163"/>
      <c r="G308" s="164"/>
      <c r="H308" s="165"/>
    </row>
    <row r="309" spans="1:8" ht="15.5" x14ac:dyDescent="0.35">
      <c r="A309" s="118" t="s">
        <v>900</v>
      </c>
      <c r="B309" s="118" t="s">
        <v>825</v>
      </c>
      <c r="C309" s="118" t="s">
        <v>901</v>
      </c>
      <c r="D309" s="201">
        <v>17.129000000000001</v>
      </c>
      <c r="E309" s="202">
        <v>4359</v>
      </c>
      <c r="F309" s="163"/>
      <c r="G309" s="164"/>
      <c r="H309" s="165"/>
    </row>
    <row r="310" spans="1:8" ht="15.5" x14ac:dyDescent="0.35">
      <c r="A310" s="118" t="s">
        <v>902</v>
      </c>
      <c r="B310" s="118" t="s">
        <v>825</v>
      </c>
      <c r="C310" s="118" t="s">
        <v>903</v>
      </c>
      <c r="D310" s="201">
        <v>18.091000000000001</v>
      </c>
      <c r="E310" s="202">
        <v>3876</v>
      </c>
      <c r="F310" s="163"/>
      <c r="G310" s="164"/>
      <c r="H310" s="165"/>
    </row>
    <row r="311" spans="1:8" ht="15.5" x14ac:dyDescent="0.35">
      <c r="A311" s="118" t="s">
        <v>904</v>
      </c>
      <c r="B311" s="118" t="s">
        <v>825</v>
      </c>
      <c r="C311" s="118" t="s">
        <v>905</v>
      </c>
      <c r="D311" s="201">
        <v>10.669</v>
      </c>
      <c r="E311" s="202">
        <v>2930</v>
      </c>
      <c r="F311" s="163"/>
      <c r="G311" s="164"/>
      <c r="H311" s="165"/>
    </row>
    <row r="312" spans="1:8" ht="15.5" x14ac:dyDescent="0.35">
      <c r="A312" s="118" t="s">
        <v>906</v>
      </c>
      <c r="B312" s="118" t="s">
        <v>825</v>
      </c>
      <c r="C312" s="118" t="s">
        <v>907</v>
      </c>
      <c r="D312" s="201">
        <v>9.6950000000000003</v>
      </c>
      <c r="E312" s="202">
        <v>2736</v>
      </c>
      <c r="F312" s="163"/>
      <c r="G312" s="164"/>
      <c r="H312" s="165"/>
    </row>
    <row r="313" spans="1:8" ht="15.5" x14ac:dyDescent="0.35">
      <c r="A313" s="118" t="s">
        <v>908</v>
      </c>
      <c r="B313" s="118" t="s">
        <v>825</v>
      </c>
      <c r="C313" s="118" t="s">
        <v>909</v>
      </c>
      <c r="D313" s="201">
        <v>24.198</v>
      </c>
      <c r="E313" s="202">
        <v>7426</v>
      </c>
      <c r="F313" s="163"/>
      <c r="G313" s="164"/>
      <c r="H313" s="165"/>
    </row>
    <row r="314" spans="1:8" ht="15.5" x14ac:dyDescent="0.35">
      <c r="A314" s="118" t="s">
        <v>910</v>
      </c>
      <c r="B314" s="118" t="s">
        <v>825</v>
      </c>
      <c r="C314" s="118" t="s">
        <v>911</v>
      </c>
      <c r="D314" s="201">
        <v>8.468</v>
      </c>
      <c r="E314" s="202">
        <v>2202</v>
      </c>
      <c r="F314" s="163"/>
      <c r="G314" s="164"/>
      <c r="H314" s="165"/>
    </row>
    <row r="315" spans="1:8" ht="15.5" x14ac:dyDescent="0.35">
      <c r="A315" s="118" t="s">
        <v>912</v>
      </c>
      <c r="B315" s="118" t="s">
        <v>825</v>
      </c>
      <c r="C315" s="118" t="s">
        <v>913</v>
      </c>
      <c r="D315" s="201">
        <v>7.05</v>
      </c>
      <c r="E315" s="202">
        <v>1989</v>
      </c>
      <c r="F315" s="163"/>
      <c r="G315" s="164"/>
      <c r="H315" s="165"/>
    </row>
    <row r="316" spans="1:8" ht="15.5" x14ac:dyDescent="0.35">
      <c r="A316" s="118" t="s">
        <v>914</v>
      </c>
      <c r="B316" s="118" t="s">
        <v>825</v>
      </c>
      <c r="C316" s="118" t="s">
        <v>915</v>
      </c>
      <c r="D316" s="201">
        <v>28.576000000000001</v>
      </c>
      <c r="E316" s="202">
        <v>6889</v>
      </c>
      <c r="F316" s="163"/>
      <c r="G316" s="164"/>
      <c r="H316" s="165"/>
    </row>
    <row r="317" spans="1:8" ht="15.5" x14ac:dyDescent="0.35">
      <c r="A317" s="118" t="s">
        <v>916</v>
      </c>
      <c r="B317" s="118" t="s">
        <v>825</v>
      </c>
      <c r="C317" s="118" t="s">
        <v>917</v>
      </c>
      <c r="D317" s="201">
        <v>26.221</v>
      </c>
      <c r="E317" s="202">
        <v>5997</v>
      </c>
      <c r="F317" s="163"/>
      <c r="G317" s="164"/>
      <c r="H317" s="165"/>
    </row>
    <row r="318" spans="1:8" ht="15.5" x14ac:dyDescent="0.35">
      <c r="A318" s="118" t="s">
        <v>918</v>
      </c>
      <c r="B318" s="118" t="s">
        <v>825</v>
      </c>
      <c r="C318" s="118" t="s">
        <v>919</v>
      </c>
      <c r="D318" s="201">
        <v>21.501000000000001</v>
      </c>
      <c r="E318" s="202">
        <v>5446</v>
      </c>
      <c r="F318" s="163"/>
      <c r="G318" s="164"/>
      <c r="H318" s="165"/>
    </row>
    <row r="319" spans="1:8" ht="15.5" x14ac:dyDescent="0.35">
      <c r="A319" s="118" t="s">
        <v>920</v>
      </c>
      <c r="B319" s="118" t="s">
        <v>825</v>
      </c>
      <c r="C319" s="118" t="s">
        <v>921</v>
      </c>
      <c r="D319" s="201">
        <v>7.4320000000000004</v>
      </c>
      <c r="E319" s="202">
        <v>1749</v>
      </c>
      <c r="F319" s="163"/>
      <c r="G319" s="164"/>
      <c r="H319" s="165"/>
    </row>
    <row r="320" spans="1:8" ht="15.5" x14ac:dyDescent="0.35">
      <c r="A320" s="118" t="s">
        <v>922</v>
      </c>
      <c r="B320" s="118" t="s">
        <v>825</v>
      </c>
      <c r="C320" s="118" t="s">
        <v>923</v>
      </c>
      <c r="D320" s="201">
        <v>21.559000000000001</v>
      </c>
      <c r="E320" s="202">
        <v>4740</v>
      </c>
      <c r="F320" s="163"/>
      <c r="G320" s="164"/>
      <c r="H320" s="165"/>
    </row>
    <row r="321" spans="1:8" ht="15.5" x14ac:dyDescent="0.35">
      <c r="A321" s="118" t="s">
        <v>924</v>
      </c>
      <c r="B321" s="118" t="s">
        <v>825</v>
      </c>
      <c r="C321" s="118" t="s">
        <v>925</v>
      </c>
      <c r="D321" s="201">
        <v>6.2640000000000002</v>
      </c>
      <c r="E321" s="202">
        <v>1815</v>
      </c>
      <c r="F321" s="163"/>
      <c r="G321" s="164"/>
      <c r="H321" s="165"/>
    </row>
    <row r="322" spans="1:8" ht="15.5" x14ac:dyDescent="0.35">
      <c r="A322" s="118" t="s">
        <v>926</v>
      </c>
      <c r="B322" s="118" t="s">
        <v>825</v>
      </c>
      <c r="C322" s="118" t="s">
        <v>927</v>
      </c>
      <c r="D322" s="201">
        <v>5.2480000000000002</v>
      </c>
      <c r="E322" s="202">
        <v>1508</v>
      </c>
      <c r="F322" s="163"/>
      <c r="G322" s="164"/>
      <c r="H322" s="165"/>
    </row>
    <row r="323" spans="1:8" ht="15.5" x14ac:dyDescent="0.35">
      <c r="A323" s="118" t="s">
        <v>928</v>
      </c>
      <c r="B323" s="118" t="s">
        <v>825</v>
      </c>
      <c r="C323" s="118" t="s">
        <v>929</v>
      </c>
      <c r="D323" s="201">
        <v>9.9450000000000003</v>
      </c>
      <c r="E323" s="202">
        <v>2542</v>
      </c>
      <c r="F323" s="163"/>
      <c r="G323" s="164"/>
      <c r="H323" s="165"/>
    </row>
    <row r="324" spans="1:8" ht="15.5" x14ac:dyDescent="0.35">
      <c r="A324" s="118" t="s">
        <v>930</v>
      </c>
      <c r="B324" s="118" t="s">
        <v>825</v>
      </c>
      <c r="C324" s="118" t="s">
        <v>931</v>
      </c>
      <c r="D324" s="201">
        <v>22.173999999999999</v>
      </c>
      <c r="E324" s="202">
        <v>5391</v>
      </c>
      <c r="F324" s="163"/>
      <c r="G324" s="164"/>
      <c r="H324" s="165"/>
    </row>
    <row r="325" spans="1:8" ht="15.5" x14ac:dyDescent="0.35">
      <c r="A325" s="118" t="s">
        <v>932</v>
      </c>
      <c r="B325" s="118" t="s">
        <v>825</v>
      </c>
      <c r="C325" s="118" t="s">
        <v>933</v>
      </c>
      <c r="D325" s="201">
        <v>7.6529999999999996</v>
      </c>
      <c r="E325" s="202">
        <v>2049</v>
      </c>
      <c r="F325" s="163"/>
      <c r="G325" s="164"/>
      <c r="H325" s="165"/>
    </row>
    <row r="326" spans="1:8" ht="15.5" x14ac:dyDescent="0.35">
      <c r="A326" s="118" t="s">
        <v>934</v>
      </c>
      <c r="B326" s="118" t="s">
        <v>825</v>
      </c>
      <c r="C326" s="118" t="s">
        <v>935</v>
      </c>
      <c r="D326" s="201">
        <v>22.986000000000001</v>
      </c>
      <c r="E326" s="202">
        <v>5307</v>
      </c>
      <c r="F326" s="163"/>
      <c r="G326" s="164"/>
      <c r="H326" s="165"/>
    </row>
    <row r="327" spans="1:8" ht="15.5" x14ac:dyDescent="0.35">
      <c r="A327" s="118" t="s">
        <v>936</v>
      </c>
      <c r="B327" s="118" t="s">
        <v>825</v>
      </c>
      <c r="C327" s="118" t="s">
        <v>937</v>
      </c>
      <c r="D327" s="201">
        <v>5.1280000000000001</v>
      </c>
      <c r="E327" s="202">
        <v>1787</v>
      </c>
      <c r="F327" s="163"/>
      <c r="G327" s="164"/>
      <c r="H327" s="165"/>
    </row>
    <row r="328" spans="1:8" ht="15.5" x14ac:dyDescent="0.35">
      <c r="A328" s="118" t="s">
        <v>938</v>
      </c>
      <c r="B328" s="118" t="s">
        <v>825</v>
      </c>
      <c r="C328" s="118" t="s">
        <v>939</v>
      </c>
      <c r="D328" s="201">
        <v>4.585</v>
      </c>
      <c r="E328" s="202">
        <v>1140</v>
      </c>
      <c r="F328" s="163"/>
      <c r="G328" s="164"/>
      <c r="H328" s="165"/>
    </row>
    <row r="329" spans="1:8" ht="15.5" x14ac:dyDescent="0.35">
      <c r="A329" s="118" t="s">
        <v>940</v>
      </c>
      <c r="B329" s="118" t="s">
        <v>825</v>
      </c>
      <c r="C329" s="118" t="s">
        <v>941</v>
      </c>
      <c r="D329" s="201">
        <v>24.707999999999998</v>
      </c>
      <c r="E329" s="202">
        <v>5519</v>
      </c>
      <c r="F329" s="163"/>
      <c r="G329" s="164"/>
      <c r="H329" s="165"/>
    </row>
    <row r="330" spans="1:8" ht="15.5" x14ac:dyDescent="0.35">
      <c r="A330" s="118" t="s">
        <v>942</v>
      </c>
      <c r="B330" s="118" t="s">
        <v>825</v>
      </c>
      <c r="C330" s="118" t="s">
        <v>943</v>
      </c>
      <c r="D330" s="201">
        <v>7.9329999999999998</v>
      </c>
      <c r="E330" s="202">
        <v>2001</v>
      </c>
      <c r="F330" s="163"/>
      <c r="G330" s="164"/>
      <c r="H330" s="165"/>
    </row>
    <row r="331" spans="1:8" ht="15.5" x14ac:dyDescent="0.35">
      <c r="A331" s="118" t="s">
        <v>944</v>
      </c>
      <c r="B331" s="118" t="s">
        <v>825</v>
      </c>
      <c r="C331" s="118" t="s">
        <v>945</v>
      </c>
      <c r="D331" s="201">
        <v>19.754000000000001</v>
      </c>
      <c r="E331" s="202">
        <v>4456</v>
      </c>
      <c r="F331" s="163"/>
      <c r="G331" s="164"/>
      <c r="H331" s="165"/>
    </row>
    <row r="332" spans="1:8" ht="15.5" x14ac:dyDescent="0.35">
      <c r="A332" s="118" t="s">
        <v>946</v>
      </c>
      <c r="B332" s="118" t="s">
        <v>825</v>
      </c>
      <c r="C332" s="118" t="s">
        <v>947</v>
      </c>
      <c r="D332" s="201">
        <v>15.013</v>
      </c>
      <c r="E332" s="202">
        <v>3546</v>
      </c>
      <c r="F332" s="163"/>
      <c r="G332" s="164"/>
      <c r="H332" s="165"/>
    </row>
    <row r="333" spans="1:8" ht="15.5" x14ac:dyDescent="0.35">
      <c r="A333" s="203" t="s">
        <v>948</v>
      </c>
      <c r="B333" s="203" t="s">
        <v>949</v>
      </c>
      <c r="C333" s="118"/>
      <c r="D333" s="201">
        <v>0</v>
      </c>
      <c r="E333" s="202">
        <v>0</v>
      </c>
      <c r="F333" s="163"/>
      <c r="G333" s="164"/>
      <c r="H333" s="165"/>
    </row>
    <row r="334" spans="1:8" ht="15.5" x14ac:dyDescent="0.35">
      <c r="A334" s="118" t="s">
        <v>950</v>
      </c>
      <c r="B334" s="118" t="s">
        <v>949</v>
      </c>
      <c r="C334" s="118" t="s">
        <v>951</v>
      </c>
      <c r="D334" s="201">
        <v>4.0380000000000003</v>
      </c>
      <c r="E334" s="202">
        <v>1317</v>
      </c>
      <c r="F334" s="163"/>
      <c r="G334" s="164"/>
      <c r="H334" s="165"/>
    </row>
    <row r="335" spans="1:8" ht="15.5" x14ac:dyDescent="0.35">
      <c r="A335" s="118" t="s">
        <v>952</v>
      </c>
      <c r="B335" s="118" t="s">
        <v>949</v>
      </c>
      <c r="C335" s="118" t="s">
        <v>953</v>
      </c>
      <c r="D335" s="201">
        <v>2.4910000000000001</v>
      </c>
      <c r="E335" s="202">
        <v>686</v>
      </c>
      <c r="F335" s="163"/>
      <c r="G335" s="164"/>
      <c r="H335" s="165"/>
    </row>
    <row r="336" spans="1:8" ht="15.5" x14ac:dyDescent="0.35">
      <c r="A336" s="118" t="s">
        <v>954</v>
      </c>
      <c r="B336" s="118" t="s">
        <v>949</v>
      </c>
      <c r="C336" s="118" t="s">
        <v>955</v>
      </c>
      <c r="D336" s="201">
        <v>3.4369999999999998</v>
      </c>
      <c r="E336" s="202">
        <v>866</v>
      </c>
      <c r="F336" s="163"/>
      <c r="G336" s="164"/>
      <c r="H336" s="165"/>
    </row>
    <row r="337" spans="1:8" ht="15.5" x14ac:dyDescent="0.35">
      <c r="A337" s="118" t="s">
        <v>956</v>
      </c>
      <c r="B337" s="118" t="s">
        <v>949</v>
      </c>
      <c r="C337" s="118" t="s">
        <v>957</v>
      </c>
      <c r="D337" s="201">
        <v>2.4159999999999999</v>
      </c>
      <c r="E337" s="202">
        <v>308</v>
      </c>
      <c r="F337" s="163"/>
      <c r="G337" s="164"/>
      <c r="H337" s="165"/>
    </row>
    <row r="338" spans="1:8" ht="15.5" x14ac:dyDescent="0.35">
      <c r="A338" s="118" t="s">
        <v>958</v>
      </c>
      <c r="B338" s="118" t="s">
        <v>949</v>
      </c>
      <c r="C338" s="118" t="s">
        <v>959</v>
      </c>
      <c r="D338" s="201">
        <v>1.4530000000000001</v>
      </c>
      <c r="E338" s="202">
        <v>275</v>
      </c>
      <c r="F338" s="163"/>
      <c r="G338" s="164"/>
      <c r="H338" s="165"/>
    </row>
    <row r="339" spans="1:8" ht="15.5" x14ac:dyDescent="0.35">
      <c r="A339" s="118" t="s">
        <v>960</v>
      </c>
      <c r="B339" s="118" t="s">
        <v>949</v>
      </c>
      <c r="C339" s="118" t="s">
        <v>961</v>
      </c>
      <c r="D339" s="201">
        <v>4.51</v>
      </c>
      <c r="E339" s="202">
        <v>1217</v>
      </c>
      <c r="F339" s="163"/>
      <c r="G339" s="164"/>
      <c r="H339" s="165"/>
    </row>
    <row r="340" spans="1:8" ht="15.5" x14ac:dyDescent="0.35">
      <c r="A340" s="118" t="s">
        <v>962</v>
      </c>
      <c r="B340" s="118" t="s">
        <v>949</v>
      </c>
      <c r="C340" s="118" t="s">
        <v>963</v>
      </c>
      <c r="D340" s="201">
        <v>3.5259999999999998</v>
      </c>
      <c r="E340" s="202">
        <v>955</v>
      </c>
      <c r="F340" s="163"/>
      <c r="G340" s="164"/>
      <c r="H340" s="165"/>
    </row>
    <row r="341" spans="1:8" ht="15.5" x14ac:dyDescent="0.35">
      <c r="A341" s="118" t="s">
        <v>964</v>
      </c>
      <c r="B341" s="118" t="s">
        <v>949</v>
      </c>
      <c r="C341" s="118" t="s">
        <v>965</v>
      </c>
      <c r="D341" s="201">
        <v>3.6139999999999999</v>
      </c>
      <c r="E341" s="202">
        <v>809</v>
      </c>
      <c r="F341" s="163"/>
      <c r="G341" s="164"/>
      <c r="H341" s="165"/>
    </row>
    <row r="342" spans="1:8" ht="15.5" x14ac:dyDescent="0.35">
      <c r="A342" s="118" t="s">
        <v>966</v>
      </c>
      <c r="B342" s="118" t="s">
        <v>949</v>
      </c>
      <c r="C342" s="118" t="s">
        <v>967</v>
      </c>
      <c r="D342" s="201">
        <v>3.6970000000000001</v>
      </c>
      <c r="E342" s="202">
        <v>927</v>
      </c>
      <c r="F342" s="163"/>
      <c r="G342" s="164"/>
      <c r="H342" s="165"/>
    </row>
    <row r="343" spans="1:8" ht="15.5" x14ac:dyDescent="0.35">
      <c r="A343" s="118" t="s">
        <v>968</v>
      </c>
      <c r="B343" s="118" t="s">
        <v>949</v>
      </c>
      <c r="C343" s="118" t="s">
        <v>969</v>
      </c>
      <c r="D343" s="201">
        <v>5.29</v>
      </c>
      <c r="E343" s="202">
        <v>1251</v>
      </c>
      <c r="F343" s="163"/>
      <c r="G343" s="164"/>
      <c r="H343" s="165"/>
    </row>
    <row r="344" spans="1:8" ht="15.5" x14ac:dyDescent="0.35">
      <c r="A344" s="118" t="s">
        <v>970</v>
      </c>
      <c r="B344" s="118" t="s">
        <v>949</v>
      </c>
      <c r="C344" s="118" t="s">
        <v>971</v>
      </c>
      <c r="D344" s="201">
        <v>4.9669999999999996</v>
      </c>
      <c r="E344" s="202">
        <v>1349</v>
      </c>
      <c r="F344" s="163"/>
      <c r="G344" s="164"/>
      <c r="H344" s="165"/>
    </row>
    <row r="345" spans="1:8" ht="15.5" x14ac:dyDescent="0.35">
      <c r="A345" s="118" t="s">
        <v>972</v>
      </c>
      <c r="B345" s="118" t="s">
        <v>949</v>
      </c>
      <c r="C345" s="118" t="s">
        <v>973</v>
      </c>
      <c r="D345" s="201">
        <v>1.0840000000000001</v>
      </c>
      <c r="E345" s="202">
        <v>324</v>
      </c>
      <c r="F345" s="163"/>
      <c r="G345" s="164"/>
      <c r="H345" s="165"/>
    </row>
    <row r="346" spans="1:8" ht="15.5" x14ac:dyDescent="0.35">
      <c r="A346" s="118" t="s">
        <v>974</v>
      </c>
      <c r="B346" s="118" t="s">
        <v>949</v>
      </c>
      <c r="C346" s="118" t="s">
        <v>975</v>
      </c>
      <c r="D346" s="201">
        <v>3.758</v>
      </c>
      <c r="E346" s="202">
        <v>1158</v>
      </c>
      <c r="F346" s="163"/>
      <c r="G346" s="164"/>
      <c r="H346" s="165"/>
    </row>
    <row r="347" spans="1:8" ht="15.5" x14ac:dyDescent="0.35">
      <c r="A347" s="118" t="s">
        <v>976</v>
      </c>
      <c r="B347" s="118" t="s">
        <v>949</v>
      </c>
      <c r="C347" s="118" t="s">
        <v>977</v>
      </c>
      <c r="D347" s="201">
        <v>4.9980000000000002</v>
      </c>
      <c r="E347" s="202">
        <v>1350</v>
      </c>
      <c r="F347" s="163"/>
      <c r="G347" s="164"/>
      <c r="H347" s="165"/>
    </row>
    <row r="348" spans="1:8" ht="15.5" x14ac:dyDescent="0.35">
      <c r="A348" s="118" t="s">
        <v>978</v>
      </c>
      <c r="B348" s="118" t="s">
        <v>949</v>
      </c>
      <c r="C348" s="118" t="s">
        <v>979</v>
      </c>
      <c r="D348" s="201">
        <v>2.145</v>
      </c>
      <c r="E348" s="202">
        <v>386</v>
      </c>
      <c r="F348" s="163"/>
      <c r="G348" s="164"/>
      <c r="H348" s="165"/>
    </row>
    <row r="349" spans="1:8" ht="15.5" x14ac:dyDescent="0.35">
      <c r="A349" s="118" t="s">
        <v>980</v>
      </c>
      <c r="B349" s="118" t="s">
        <v>949</v>
      </c>
      <c r="C349" s="118" t="s">
        <v>981</v>
      </c>
      <c r="D349" s="201">
        <v>2.0750000000000002</v>
      </c>
      <c r="E349" s="202">
        <v>476</v>
      </c>
      <c r="F349" s="163"/>
      <c r="G349" s="164"/>
      <c r="H349" s="165"/>
    </row>
    <row r="350" spans="1:8" ht="15.5" x14ac:dyDescent="0.35">
      <c r="A350" s="118" t="s">
        <v>982</v>
      </c>
      <c r="B350" s="118" t="s">
        <v>949</v>
      </c>
      <c r="C350" s="118" t="s">
        <v>983</v>
      </c>
      <c r="D350" s="201">
        <v>4.0270000000000001</v>
      </c>
      <c r="E350" s="202">
        <v>1167</v>
      </c>
      <c r="F350" s="163"/>
      <c r="G350" s="164"/>
      <c r="H350" s="165"/>
    </row>
    <row r="351" spans="1:8" ht="15.5" x14ac:dyDescent="0.35">
      <c r="A351" s="118" t="s">
        <v>984</v>
      </c>
      <c r="B351" s="118" t="s">
        <v>949</v>
      </c>
      <c r="C351" s="118" t="s">
        <v>985</v>
      </c>
      <c r="D351" s="201">
        <v>7.3760000000000003</v>
      </c>
      <c r="E351" s="202">
        <v>1786</v>
      </c>
      <c r="F351" s="163"/>
      <c r="G351" s="164"/>
      <c r="H351" s="165"/>
    </row>
    <row r="352" spans="1:8" ht="15.5" x14ac:dyDescent="0.35">
      <c r="A352" s="118" t="s">
        <v>986</v>
      </c>
      <c r="B352" s="118" t="s">
        <v>949</v>
      </c>
      <c r="C352" s="118" t="s">
        <v>987</v>
      </c>
      <c r="D352" s="201">
        <v>3.05</v>
      </c>
      <c r="E352" s="202">
        <v>781</v>
      </c>
      <c r="F352" s="163"/>
      <c r="G352" s="164"/>
      <c r="H352" s="165"/>
    </row>
    <row r="353" spans="1:8" ht="15.5" x14ac:dyDescent="0.35">
      <c r="A353" s="118" t="s">
        <v>988</v>
      </c>
      <c r="B353" s="118" t="s">
        <v>949</v>
      </c>
      <c r="C353" s="118" t="s">
        <v>989</v>
      </c>
      <c r="D353" s="201">
        <v>4.3490000000000002</v>
      </c>
      <c r="E353" s="202">
        <v>1632</v>
      </c>
      <c r="F353" s="163"/>
      <c r="G353" s="164"/>
      <c r="H353" s="165"/>
    </row>
    <row r="354" spans="1:8" ht="15.5" x14ac:dyDescent="0.35">
      <c r="A354" s="118" t="s">
        <v>990</v>
      </c>
      <c r="B354" s="118" t="s">
        <v>949</v>
      </c>
      <c r="C354" s="118" t="s">
        <v>991</v>
      </c>
      <c r="D354" s="201">
        <v>2.8530000000000002</v>
      </c>
      <c r="E354" s="202">
        <v>784</v>
      </c>
      <c r="F354" s="163"/>
      <c r="G354" s="164"/>
      <c r="H354" s="165"/>
    </row>
    <row r="355" spans="1:8" ht="15.5" x14ac:dyDescent="0.35">
      <c r="A355" s="118" t="s">
        <v>992</v>
      </c>
      <c r="B355" s="118" t="s">
        <v>949</v>
      </c>
      <c r="C355" s="118" t="s">
        <v>993</v>
      </c>
      <c r="D355" s="201">
        <v>3.64</v>
      </c>
      <c r="E355" s="202">
        <v>760</v>
      </c>
      <c r="F355" s="163"/>
      <c r="G355" s="164"/>
      <c r="H355" s="165"/>
    </row>
    <row r="356" spans="1:8" ht="15.5" x14ac:dyDescent="0.35">
      <c r="A356" s="118" t="s">
        <v>994</v>
      </c>
      <c r="B356" s="118" t="s">
        <v>949</v>
      </c>
      <c r="C356" s="118" t="s">
        <v>995</v>
      </c>
      <c r="D356" s="201">
        <v>4.4089999999999998</v>
      </c>
      <c r="E356" s="202">
        <v>1269</v>
      </c>
      <c r="F356" s="163"/>
      <c r="G356" s="164"/>
      <c r="H356" s="165"/>
    </row>
    <row r="357" spans="1:8" ht="15.5" x14ac:dyDescent="0.35">
      <c r="A357" s="118" t="s">
        <v>996</v>
      </c>
      <c r="B357" s="118" t="s">
        <v>949</v>
      </c>
      <c r="C357" s="118" t="s">
        <v>997</v>
      </c>
      <c r="D357" s="201">
        <v>2.802</v>
      </c>
      <c r="E357" s="202">
        <v>800</v>
      </c>
      <c r="F357" s="163"/>
      <c r="G357" s="164"/>
      <c r="H357" s="165"/>
    </row>
    <row r="358" spans="1:8" ht="15.5" x14ac:dyDescent="0.35">
      <c r="A358" s="118" t="s">
        <v>998</v>
      </c>
      <c r="B358" s="118" t="s">
        <v>949</v>
      </c>
      <c r="C358" s="118" t="s">
        <v>999</v>
      </c>
      <c r="D358" s="201">
        <v>1.4650000000000001</v>
      </c>
      <c r="E358" s="202">
        <v>453</v>
      </c>
      <c r="F358" s="163"/>
      <c r="G358" s="164"/>
      <c r="H358" s="165"/>
    </row>
    <row r="359" spans="1:8" ht="15.5" x14ac:dyDescent="0.35">
      <c r="A359" s="118" t="s">
        <v>1000</v>
      </c>
      <c r="B359" s="118" t="s">
        <v>949</v>
      </c>
      <c r="C359" s="118" t="s">
        <v>1001</v>
      </c>
      <c r="D359" s="201">
        <v>2.6909999999999998</v>
      </c>
      <c r="E359" s="202">
        <v>686</v>
      </c>
      <c r="F359" s="163"/>
      <c r="G359" s="164"/>
      <c r="H359" s="165"/>
    </row>
    <row r="360" spans="1:8" ht="15.5" x14ac:dyDescent="0.35">
      <c r="A360" s="118" t="s">
        <v>1002</v>
      </c>
      <c r="B360" s="118" t="s">
        <v>949</v>
      </c>
      <c r="C360" s="118" t="s">
        <v>1003</v>
      </c>
      <c r="D360" s="201">
        <v>3.831</v>
      </c>
      <c r="E360" s="202">
        <v>970</v>
      </c>
      <c r="F360" s="163"/>
      <c r="G360" s="164"/>
      <c r="H360" s="165"/>
    </row>
    <row r="361" spans="1:8" ht="15.5" x14ac:dyDescent="0.35">
      <c r="A361" s="118" t="s">
        <v>1004</v>
      </c>
      <c r="B361" s="118" t="s">
        <v>949</v>
      </c>
      <c r="C361" s="118" t="s">
        <v>1005</v>
      </c>
      <c r="D361" s="201">
        <v>3.2949999999999999</v>
      </c>
      <c r="E361" s="202">
        <v>893</v>
      </c>
      <c r="F361" s="163"/>
      <c r="G361" s="164"/>
      <c r="H361" s="165"/>
    </row>
    <row r="362" spans="1:8" ht="15.5" x14ac:dyDescent="0.35">
      <c r="A362" s="118" t="s">
        <v>1006</v>
      </c>
      <c r="B362" s="118" t="s">
        <v>949</v>
      </c>
      <c r="C362" s="118" t="s">
        <v>1007</v>
      </c>
      <c r="D362" s="201">
        <v>3.3170000000000002</v>
      </c>
      <c r="E362" s="202">
        <v>1094</v>
      </c>
      <c r="F362" s="163"/>
      <c r="G362" s="164"/>
      <c r="H362" s="165"/>
    </row>
    <row r="363" spans="1:8" ht="15.5" x14ac:dyDescent="0.35">
      <c r="A363" s="118" t="s">
        <v>1008</v>
      </c>
      <c r="B363" s="118" t="s">
        <v>949</v>
      </c>
      <c r="C363" s="118" t="s">
        <v>1009</v>
      </c>
      <c r="D363" s="201">
        <v>3.887</v>
      </c>
      <c r="E363" s="202">
        <v>963</v>
      </c>
      <c r="F363" s="163"/>
      <c r="G363" s="164"/>
      <c r="H363" s="165"/>
    </row>
    <row r="364" spans="1:8" ht="15.5" x14ac:dyDescent="0.35">
      <c r="A364" s="118" t="s">
        <v>1010</v>
      </c>
      <c r="B364" s="118" t="s">
        <v>949</v>
      </c>
      <c r="C364" s="118" t="s">
        <v>1011</v>
      </c>
      <c r="D364" s="201">
        <v>3.1480000000000001</v>
      </c>
      <c r="E364" s="202">
        <v>820</v>
      </c>
      <c r="F364" s="163"/>
      <c r="G364" s="164"/>
      <c r="H364" s="165"/>
    </row>
    <row r="365" spans="1:8" ht="15.5" x14ac:dyDescent="0.35">
      <c r="A365" s="118" t="s">
        <v>1012</v>
      </c>
      <c r="B365" s="118" t="s">
        <v>949</v>
      </c>
      <c r="C365" s="118" t="s">
        <v>1013</v>
      </c>
      <c r="D365" s="201">
        <v>3.6080000000000001</v>
      </c>
      <c r="E365" s="202">
        <v>641</v>
      </c>
      <c r="F365" s="163"/>
      <c r="G365" s="164"/>
      <c r="H365" s="165"/>
    </row>
    <row r="366" spans="1:8" ht="15.5" x14ac:dyDescent="0.35">
      <c r="A366" s="118" t="s">
        <v>1014</v>
      </c>
      <c r="B366" s="118" t="s">
        <v>949</v>
      </c>
      <c r="C366" s="118" t="s">
        <v>1015</v>
      </c>
      <c r="D366" s="201">
        <v>2.1589999999999998</v>
      </c>
      <c r="E366" s="202">
        <v>598</v>
      </c>
      <c r="F366" s="163"/>
      <c r="G366" s="164"/>
      <c r="H366" s="165"/>
    </row>
    <row r="367" spans="1:8" ht="15.5" x14ac:dyDescent="0.35">
      <c r="A367" s="118" t="s">
        <v>1016</v>
      </c>
      <c r="B367" s="118" t="s">
        <v>949</v>
      </c>
      <c r="C367" s="118" t="s">
        <v>1017</v>
      </c>
      <c r="D367" s="201">
        <v>2.6680000000000001</v>
      </c>
      <c r="E367" s="202">
        <v>465</v>
      </c>
      <c r="F367" s="163"/>
      <c r="G367" s="164"/>
      <c r="H367" s="165"/>
    </row>
    <row r="368" spans="1:8" ht="15.5" x14ac:dyDescent="0.35">
      <c r="A368" s="118" t="s">
        <v>1018</v>
      </c>
      <c r="B368" s="118" t="s">
        <v>949</v>
      </c>
      <c r="C368" s="118" t="s">
        <v>1019</v>
      </c>
      <c r="D368" s="201">
        <v>2.0609999999999999</v>
      </c>
      <c r="E368" s="202">
        <v>501</v>
      </c>
      <c r="F368" s="163"/>
      <c r="G368" s="164"/>
      <c r="H368" s="165"/>
    </row>
    <row r="369" spans="1:8" ht="15.5" x14ac:dyDescent="0.35">
      <c r="A369" s="118" t="s">
        <v>1020</v>
      </c>
      <c r="B369" s="118" t="s">
        <v>949</v>
      </c>
      <c r="C369" s="118" t="s">
        <v>1021</v>
      </c>
      <c r="D369" s="201">
        <v>2.141</v>
      </c>
      <c r="E369" s="202">
        <v>519</v>
      </c>
      <c r="F369" s="163"/>
      <c r="G369" s="164"/>
      <c r="H369" s="165"/>
    </row>
    <row r="370" spans="1:8" ht="15.5" x14ac:dyDescent="0.35">
      <c r="A370" s="118" t="s">
        <v>1022</v>
      </c>
      <c r="B370" s="118" t="s">
        <v>949</v>
      </c>
      <c r="C370" s="118" t="s">
        <v>1023</v>
      </c>
      <c r="D370" s="201">
        <v>5.04</v>
      </c>
      <c r="E370" s="202">
        <v>1125</v>
      </c>
      <c r="F370" s="163"/>
      <c r="G370" s="164"/>
      <c r="H370" s="165"/>
    </row>
    <row r="371" spans="1:8" ht="15.5" x14ac:dyDescent="0.35">
      <c r="A371" s="118" t="s">
        <v>1024</v>
      </c>
      <c r="B371" s="118" t="s">
        <v>949</v>
      </c>
      <c r="C371" s="118" t="s">
        <v>1025</v>
      </c>
      <c r="D371" s="201">
        <v>3.0950000000000002</v>
      </c>
      <c r="E371" s="202">
        <v>840</v>
      </c>
      <c r="F371" s="163"/>
      <c r="G371" s="164"/>
      <c r="H371" s="165"/>
    </row>
    <row r="372" spans="1:8" ht="15.5" x14ac:dyDescent="0.35">
      <c r="A372" s="118" t="s">
        <v>1026</v>
      </c>
      <c r="B372" s="118" t="s">
        <v>949</v>
      </c>
      <c r="C372" s="118" t="s">
        <v>1027</v>
      </c>
      <c r="D372" s="201">
        <v>3.4359999999999999</v>
      </c>
      <c r="E372" s="202">
        <v>845</v>
      </c>
      <c r="F372" s="163"/>
      <c r="G372" s="164"/>
      <c r="H372" s="165"/>
    </row>
    <row r="373" spans="1:8" ht="15.5" x14ac:dyDescent="0.35">
      <c r="A373" s="118" t="s">
        <v>1028</v>
      </c>
      <c r="B373" s="118" t="s">
        <v>949</v>
      </c>
      <c r="C373" s="118" t="s">
        <v>1029</v>
      </c>
      <c r="D373" s="201">
        <v>3.1480000000000001</v>
      </c>
      <c r="E373" s="202">
        <v>697</v>
      </c>
      <c r="F373" s="163"/>
      <c r="G373" s="164"/>
      <c r="H373" s="165"/>
    </row>
    <row r="374" spans="1:8" ht="15.5" x14ac:dyDescent="0.35">
      <c r="A374" s="118" t="s">
        <v>1030</v>
      </c>
      <c r="B374" s="118" t="s">
        <v>949</v>
      </c>
      <c r="C374" s="118" t="s">
        <v>1031</v>
      </c>
      <c r="D374" s="201">
        <v>1.6359999999999999</v>
      </c>
      <c r="E374" s="202">
        <v>356</v>
      </c>
      <c r="F374" s="163"/>
      <c r="G374" s="164"/>
      <c r="H374" s="165"/>
    </row>
    <row r="375" spans="1:8" ht="15.5" x14ac:dyDescent="0.35">
      <c r="A375" s="118" t="s">
        <v>1032</v>
      </c>
      <c r="B375" s="118" t="s">
        <v>949</v>
      </c>
      <c r="C375" s="118" t="s">
        <v>1033</v>
      </c>
      <c r="D375" s="201">
        <v>5.2130000000000001</v>
      </c>
      <c r="E375" s="202">
        <v>1743</v>
      </c>
      <c r="F375" s="163"/>
      <c r="G375" s="164"/>
      <c r="H375" s="165"/>
    </row>
    <row r="376" spans="1:8" ht="15.5" x14ac:dyDescent="0.35">
      <c r="A376" s="118" t="s">
        <v>1034</v>
      </c>
      <c r="B376" s="118" t="s">
        <v>949</v>
      </c>
      <c r="C376" s="118" t="s">
        <v>1035</v>
      </c>
      <c r="D376" s="201">
        <v>2.8029999999999999</v>
      </c>
      <c r="E376" s="202">
        <v>747</v>
      </c>
      <c r="F376" s="163"/>
      <c r="G376" s="164"/>
      <c r="H376" s="165"/>
    </row>
    <row r="377" spans="1:8" ht="15.5" x14ac:dyDescent="0.35">
      <c r="A377" s="118" t="s">
        <v>1036</v>
      </c>
      <c r="B377" s="118" t="s">
        <v>949</v>
      </c>
      <c r="C377" s="118" t="s">
        <v>1037</v>
      </c>
      <c r="D377" s="201">
        <v>3.5219999999999998</v>
      </c>
      <c r="E377" s="202">
        <v>932</v>
      </c>
      <c r="F377" s="163"/>
      <c r="G377" s="164"/>
      <c r="H377" s="165"/>
    </row>
    <row r="378" spans="1:8" ht="15.5" x14ac:dyDescent="0.35">
      <c r="A378" s="118" t="s">
        <v>1038</v>
      </c>
      <c r="B378" s="118" t="s">
        <v>949</v>
      </c>
      <c r="C378" s="118" t="s">
        <v>1039</v>
      </c>
      <c r="D378" s="201">
        <v>2.6360000000000001</v>
      </c>
      <c r="E378" s="202">
        <v>693</v>
      </c>
      <c r="F378" s="163"/>
      <c r="G378" s="164"/>
      <c r="H378" s="165"/>
    </row>
    <row r="379" spans="1:8" ht="15.5" x14ac:dyDescent="0.35">
      <c r="A379" s="118" t="s">
        <v>1040</v>
      </c>
      <c r="B379" s="118" t="s">
        <v>949</v>
      </c>
      <c r="C379" s="118" t="s">
        <v>1041</v>
      </c>
      <c r="D379" s="201">
        <v>1.8759999999999999</v>
      </c>
      <c r="E379" s="202">
        <v>525</v>
      </c>
      <c r="F379" s="163"/>
      <c r="G379" s="164"/>
      <c r="H379" s="165"/>
    </row>
    <row r="380" spans="1:8" ht="15.5" x14ac:dyDescent="0.35">
      <c r="A380" s="118" t="s">
        <v>1042</v>
      </c>
      <c r="B380" s="118" t="s">
        <v>949</v>
      </c>
      <c r="C380" s="118" t="s">
        <v>1043</v>
      </c>
      <c r="D380" s="201">
        <v>2.0259999999999998</v>
      </c>
      <c r="E380" s="202">
        <v>419</v>
      </c>
      <c r="F380" s="163"/>
      <c r="G380" s="164"/>
      <c r="H380" s="165"/>
    </row>
    <row r="381" spans="1:8" ht="15.5" x14ac:dyDescent="0.35">
      <c r="A381" s="118" t="s">
        <v>1044</v>
      </c>
      <c r="B381" s="118" t="s">
        <v>949</v>
      </c>
      <c r="C381" s="118" t="s">
        <v>1045</v>
      </c>
      <c r="D381" s="201">
        <v>1.149</v>
      </c>
      <c r="E381" s="202">
        <v>300</v>
      </c>
      <c r="F381" s="163"/>
      <c r="G381" s="164"/>
      <c r="H381" s="165"/>
    </row>
    <row r="382" spans="1:8" ht="15.5" x14ac:dyDescent="0.35">
      <c r="A382" s="118" t="s">
        <v>1046</v>
      </c>
      <c r="B382" s="118" t="s">
        <v>949</v>
      </c>
      <c r="C382" s="118" t="s">
        <v>1047</v>
      </c>
      <c r="D382" s="201">
        <v>4.3520000000000003</v>
      </c>
      <c r="E382" s="202">
        <v>1189</v>
      </c>
      <c r="F382" s="163"/>
      <c r="G382" s="164"/>
      <c r="H382" s="165"/>
    </row>
    <row r="383" spans="1:8" ht="15.5" x14ac:dyDescent="0.35">
      <c r="A383" s="118" t="s">
        <v>1048</v>
      </c>
      <c r="B383" s="118" t="s">
        <v>949</v>
      </c>
      <c r="C383" s="118" t="s">
        <v>1049</v>
      </c>
      <c r="D383" s="201">
        <v>3.0750000000000002</v>
      </c>
      <c r="E383" s="202">
        <v>859</v>
      </c>
      <c r="F383" s="163"/>
      <c r="G383" s="164"/>
      <c r="H383" s="165"/>
    </row>
    <row r="384" spans="1:8" ht="15.5" x14ac:dyDescent="0.35">
      <c r="A384" s="118" t="s">
        <v>1050</v>
      </c>
      <c r="B384" s="118" t="s">
        <v>949</v>
      </c>
      <c r="C384" s="118" t="s">
        <v>1051</v>
      </c>
      <c r="D384" s="201">
        <v>2.7749999999999999</v>
      </c>
      <c r="E384" s="202">
        <v>834</v>
      </c>
      <c r="F384" s="163"/>
      <c r="G384" s="164"/>
      <c r="H384" s="165"/>
    </row>
    <row r="385" spans="1:8" ht="15.5" x14ac:dyDescent="0.35">
      <c r="A385" s="118" t="s">
        <v>1052</v>
      </c>
      <c r="B385" s="118" t="s">
        <v>949</v>
      </c>
      <c r="C385" s="118" t="s">
        <v>1053</v>
      </c>
      <c r="D385" s="201">
        <v>2.6139999999999999</v>
      </c>
      <c r="E385" s="202">
        <v>758</v>
      </c>
      <c r="F385" s="163"/>
      <c r="G385" s="164"/>
      <c r="H385" s="165"/>
    </row>
    <row r="386" spans="1:8" ht="15.5" x14ac:dyDescent="0.35">
      <c r="A386" s="118" t="s">
        <v>1054</v>
      </c>
      <c r="B386" s="118" t="s">
        <v>949</v>
      </c>
      <c r="C386" s="118" t="s">
        <v>1055</v>
      </c>
      <c r="D386" s="201">
        <v>3.1509999999999998</v>
      </c>
      <c r="E386" s="202">
        <v>994</v>
      </c>
      <c r="F386" s="163"/>
      <c r="G386" s="164"/>
      <c r="H386" s="165"/>
    </row>
    <row r="387" spans="1:8" ht="15.5" x14ac:dyDescent="0.35">
      <c r="A387" s="118" t="s">
        <v>1056</v>
      </c>
      <c r="B387" s="118" t="s">
        <v>949</v>
      </c>
      <c r="C387" s="118" t="s">
        <v>1057</v>
      </c>
      <c r="D387" s="201">
        <v>3.5459999999999998</v>
      </c>
      <c r="E387" s="202">
        <v>989</v>
      </c>
      <c r="F387" s="163"/>
      <c r="G387" s="164"/>
      <c r="H387" s="165"/>
    </row>
    <row r="388" spans="1:8" ht="15.5" x14ac:dyDescent="0.35">
      <c r="A388" s="118" t="s">
        <v>1058</v>
      </c>
      <c r="B388" s="118" t="s">
        <v>949</v>
      </c>
      <c r="C388" s="118" t="s">
        <v>1059</v>
      </c>
      <c r="D388" s="201">
        <v>3.6549999999999998</v>
      </c>
      <c r="E388" s="202">
        <v>952</v>
      </c>
      <c r="F388" s="163"/>
      <c r="G388" s="164"/>
      <c r="H388" s="165"/>
    </row>
    <row r="389" spans="1:8" ht="15.5" x14ac:dyDescent="0.35">
      <c r="A389" s="118" t="s">
        <v>1060</v>
      </c>
      <c r="B389" s="118" t="s">
        <v>949</v>
      </c>
      <c r="C389" s="118" t="s">
        <v>1061</v>
      </c>
      <c r="D389" s="201">
        <v>5.6050000000000004</v>
      </c>
      <c r="E389" s="202">
        <v>1463</v>
      </c>
      <c r="F389" s="163"/>
      <c r="G389" s="164"/>
      <c r="H389" s="165"/>
    </row>
    <row r="390" spans="1:8" ht="15.5" x14ac:dyDescent="0.35">
      <c r="A390" s="118" t="s">
        <v>1062</v>
      </c>
      <c r="B390" s="118" t="s">
        <v>949</v>
      </c>
      <c r="C390" s="118" t="s">
        <v>1063</v>
      </c>
      <c r="D390" s="201">
        <v>2.1560000000000001</v>
      </c>
      <c r="E390" s="202">
        <v>380</v>
      </c>
      <c r="F390" s="163"/>
      <c r="G390" s="164"/>
      <c r="H390" s="165"/>
    </row>
    <row r="391" spans="1:8" ht="15.5" x14ac:dyDescent="0.35">
      <c r="A391" s="118" t="s">
        <v>1064</v>
      </c>
      <c r="B391" s="118" t="s">
        <v>949</v>
      </c>
      <c r="C391" s="118" t="s">
        <v>1065</v>
      </c>
      <c r="D391" s="201">
        <v>2.206</v>
      </c>
      <c r="E391" s="202">
        <v>307</v>
      </c>
      <c r="F391" s="163"/>
      <c r="G391" s="164"/>
      <c r="H391" s="165"/>
    </row>
    <row r="392" spans="1:8" ht="15.5" x14ac:dyDescent="0.35">
      <c r="A392" s="118" t="s">
        <v>1066</v>
      </c>
      <c r="B392" s="118" t="s">
        <v>949</v>
      </c>
      <c r="C392" s="118" t="s">
        <v>1067</v>
      </c>
      <c r="D392" s="201">
        <v>1.913</v>
      </c>
      <c r="E392" s="202">
        <v>564</v>
      </c>
      <c r="F392" s="163"/>
      <c r="G392" s="164"/>
      <c r="H392" s="165"/>
    </row>
    <row r="393" spans="1:8" ht="15.5" x14ac:dyDescent="0.35">
      <c r="A393" s="118" t="s">
        <v>1068</v>
      </c>
      <c r="B393" s="118" t="s">
        <v>949</v>
      </c>
      <c r="C393" s="118" t="s">
        <v>1069</v>
      </c>
      <c r="D393" s="201">
        <v>2.161</v>
      </c>
      <c r="E393" s="202">
        <v>658</v>
      </c>
      <c r="F393" s="163"/>
      <c r="G393" s="164"/>
      <c r="H393" s="165"/>
    </row>
    <row r="394" spans="1:8" ht="15.5" x14ac:dyDescent="0.35">
      <c r="A394" s="118" t="s">
        <v>1070</v>
      </c>
      <c r="B394" s="118" t="s">
        <v>949</v>
      </c>
      <c r="C394" s="118" t="s">
        <v>1071</v>
      </c>
      <c r="D394" s="201">
        <v>4.76</v>
      </c>
      <c r="E394" s="202">
        <v>1230</v>
      </c>
      <c r="F394" s="163"/>
      <c r="G394" s="164"/>
      <c r="H394" s="165"/>
    </row>
    <row r="395" spans="1:8" ht="15.5" x14ac:dyDescent="0.35">
      <c r="A395" s="118" t="s">
        <v>1072</v>
      </c>
      <c r="B395" s="118" t="s">
        <v>949</v>
      </c>
      <c r="C395" s="118" t="s">
        <v>1073</v>
      </c>
      <c r="D395" s="201">
        <v>3.74</v>
      </c>
      <c r="E395" s="202">
        <v>1008</v>
      </c>
      <c r="F395" s="163"/>
      <c r="G395" s="164"/>
      <c r="H395" s="165"/>
    </row>
    <row r="396" spans="1:8" ht="15.5" x14ac:dyDescent="0.35">
      <c r="A396" s="118" t="s">
        <v>1074</v>
      </c>
      <c r="B396" s="118" t="s">
        <v>949</v>
      </c>
      <c r="C396" s="118" t="s">
        <v>1075</v>
      </c>
      <c r="D396" s="201">
        <v>5.2510000000000003</v>
      </c>
      <c r="E396" s="202">
        <v>1182</v>
      </c>
      <c r="F396" s="163"/>
      <c r="G396" s="164"/>
      <c r="H396" s="165"/>
    </row>
    <row r="397" spans="1:8" ht="15.5" x14ac:dyDescent="0.35">
      <c r="A397" s="118" t="s">
        <v>1076</v>
      </c>
      <c r="B397" s="118" t="s">
        <v>949</v>
      </c>
      <c r="C397" s="118" t="s">
        <v>1077</v>
      </c>
      <c r="D397" s="201">
        <v>3.036</v>
      </c>
      <c r="E397" s="202">
        <v>796</v>
      </c>
      <c r="F397" s="163"/>
      <c r="G397" s="164"/>
      <c r="H397" s="165"/>
    </row>
    <row r="398" spans="1:8" ht="15.5" x14ac:dyDescent="0.35">
      <c r="A398" s="118" t="s">
        <v>1078</v>
      </c>
      <c r="B398" s="118" t="s">
        <v>949</v>
      </c>
      <c r="C398" s="118" t="s">
        <v>1079</v>
      </c>
      <c r="D398" s="201">
        <v>1.6619999999999999</v>
      </c>
      <c r="E398" s="202">
        <v>460</v>
      </c>
      <c r="F398" s="163"/>
      <c r="G398" s="164"/>
      <c r="H398" s="165"/>
    </row>
    <row r="399" spans="1:8" ht="15.5" x14ac:dyDescent="0.35">
      <c r="A399" s="118" t="s">
        <v>1080</v>
      </c>
      <c r="B399" s="118" t="s">
        <v>949</v>
      </c>
      <c r="C399" s="118" t="s">
        <v>1081</v>
      </c>
      <c r="D399" s="201">
        <v>3.0209999999999999</v>
      </c>
      <c r="E399" s="202">
        <v>841</v>
      </c>
      <c r="F399" s="163"/>
      <c r="G399" s="164"/>
      <c r="H399" s="165"/>
    </row>
    <row r="400" spans="1:8" ht="15.5" x14ac:dyDescent="0.35">
      <c r="A400" s="118" t="s">
        <v>1082</v>
      </c>
      <c r="B400" s="118" t="s">
        <v>949</v>
      </c>
      <c r="C400" s="118" t="s">
        <v>1083</v>
      </c>
      <c r="D400" s="201">
        <v>4.3810000000000002</v>
      </c>
      <c r="E400" s="202">
        <v>1026</v>
      </c>
      <c r="F400" s="163"/>
      <c r="G400" s="164"/>
      <c r="H400" s="165"/>
    </row>
    <row r="401" spans="1:8" ht="15.5" x14ac:dyDescent="0.35">
      <c r="A401" s="118" t="s">
        <v>1084</v>
      </c>
      <c r="B401" s="118" t="s">
        <v>949</v>
      </c>
      <c r="C401" s="118" t="s">
        <v>1085</v>
      </c>
      <c r="D401" s="201">
        <v>2.1459999999999999</v>
      </c>
      <c r="E401" s="202">
        <v>562</v>
      </c>
      <c r="F401" s="163"/>
      <c r="G401" s="164"/>
      <c r="H401" s="165"/>
    </row>
    <row r="402" spans="1:8" ht="15.5" x14ac:dyDescent="0.35">
      <c r="A402" s="118" t="s">
        <v>1086</v>
      </c>
      <c r="B402" s="118" t="s">
        <v>949</v>
      </c>
      <c r="C402" s="118" t="s">
        <v>1087</v>
      </c>
      <c r="D402" s="201">
        <v>2.036</v>
      </c>
      <c r="E402" s="202">
        <v>546</v>
      </c>
      <c r="F402" s="163"/>
      <c r="G402" s="164"/>
      <c r="H402" s="165"/>
    </row>
    <row r="403" spans="1:8" ht="15.5" x14ac:dyDescent="0.35">
      <c r="A403" s="118" t="s">
        <v>1088</v>
      </c>
      <c r="B403" s="118" t="s">
        <v>949</v>
      </c>
      <c r="C403" s="118" t="s">
        <v>1089</v>
      </c>
      <c r="D403" s="201">
        <v>4.6029999999999998</v>
      </c>
      <c r="E403" s="202">
        <v>1348</v>
      </c>
      <c r="F403" s="163"/>
      <c r="G403" s="164"/>
      <c r="H403" s="165"/>
    </row>
    <row r="404" spans="1:8" ht="15.5" x14ac:dyDescent="0.35">
      <c r="A404" s="118" t="s">
        <v>1090</v>
      </c>
      <c r="B404" s="118" t="s">
        <v>949</v>
      </c>
      <c r="C404" s="118" t="s">
        <v>1091</v>
      </c>
      <c r="D404" s="201">
        <v>4.0220000000000002</v>
      </c>
      <c r="E404" s="202">
        <v>974</v>
      </c>
      <c r="F404" s="163"/>
      <c r="G404" s="164"/>
      <c r="H404" s="165"/>
    </row>
    <row r="405" spans="1:8" ht="15.5" x14ac:dyDescent="0.35">
      <c r="A405" s="118" t="s">
        <v>1092</v>
      </c>
      <c r="B405" s="118" t="s">
        <v>949</v>
      </c>
      <c r="C405" s="118" t="s">
        <v>1093</v>
      </c>
      <c r="D405" s="201">
        <v>1.607</v>
      </c>
      <c r="E405" s="202">
        <v>353</v>
      </c>
      <c r="F405" s="163"/>
      <c r="G405" s="164"/>
      <c r="H405" s="165"/>
    </row>
    <row r="406" spans="1:8" ht="15.5" x14ac:dyDescent="0.35">
      <c r="A406" s="118" t="s">
        <v>1094</v>
      </c>
      <c r="B406" s="118" t="s">
        <v>949</v>
      </c>
      <c r="C406" s="118" t="s">
        <v>1095</v>
      </c>
      <c r="D406" s="201">
        <v>4.4489999999999998</v>
      </c>
      <c r="E406" s="202">
        <v>1553</v>
      </c>
      <c r="F406" s="163"/>
      <c r="G406" s="164"/>
      <c r="H406" s="165"/>
    </row>
    <row r="407" spans="1:8" ht="15.5" x14ac:dyDescent="0.35">
      <c r="A407" s="118" t="s">
        <v>1096</v>
      </c>
      <c r="B407" s="118" t="s">
        <v>949</v>
      </c>
      <c r="C407" s="118" t="s">
        <v>1097</v>
      </c>
      <c r="D407" s="201">
        <v>1.982</v>
      </c>
      <c r="E407" s="202">
        <v>535</v>
      </c>
      <c r="F407" s="163"/>
      <c r="G407" s="164"/>
      <c r="H407" s="165"/>
    </row>
    <row r="408" spans="1:8" ht="15.5" x14ac:dyDescent="0.35">
      <c r="A408" s="118" t="s">
        <v>1098</v>
      </c>
      <c r="B408" s="118" t="s">
        <v>949</v>
      </c>
      <c r="C408" s="118" t="s">
        <v>1099</v>
      </c>
      <c r="D408" s="201">
        <v>4.6020000000000003</v>
      </c>
      <c r="E408" s="202">
        <v>1239</v>
      </c>
      <c r="F408" s="163"/>
      <c r="G408" s="164"/>
      <c r="H408" s="165"/>
    </row>
    <row r="409" spans="1:8" ht="15.5" x14ac:dyDescent="0.35">
      <c r="A409" s="203" t="s">
        <v>1100</v>
      </c>
      <c r="B409" s="203" t="s">
        <v>1101</v>
      </c>
      <c r="C409" s="118"/>
      <c r="D409" s="201">
        <v>0</v>
      </c>
      <c r="E409" s="202">
        <v>0</v>
      </c>
      <c r="F409" s="163"/>
      <c r="G409" s="164"/>
      <c r="H409" s="165"/>
    </row>
    <row r="410" spans="1:8" ht="15.5" x14ac:dyDescent="0.35">
      <c r="A410" s="118" t="s">
        <v>1102</v>
      </c>
      <c r="B410" s="118" t="s">
        <v>1101</v>
      </c>
      <c r="C410" s="118" t="s">
        <v>1103</v>
      </c>
      <c r="D410" s="201">
        <v>8.3480000000000008</v>
      </c>
      <c r="E410" s="202">
        <v>2202</v>
      </c>
      <c r="F410" s="163"/>
      <c r="G410" s="164"/>
      <c r="H410" s="165"/>
    </row>
    <row r="411" spans="1:8" ht="15.5" x14ac:dyDescent="0.35">
      <c r="A411" s="118" t="s">
        <v>1104</v>
      </c>
      <c r="B411" s="118" t="s">
        <v>1101</v>
      </c>
      <c r="C411" s="118" t="s">
        <v>1105</v>
      </c>
      <c r="D411" s="201">
        <v>16.888999999999999</v>
      </c>
      <c r="E411" s="202">
        <v>3774</v>
      </c>
      <c r="F411" s="163"/>
      <c r="G411" s="164"/>
      <c r="H411" s="165"/>
    </row>
    <row r="412" spans="1:8" ht="15.5" x14ac:dyDescent="0.35">
      <c r="A412" s="118" t="s">
        <v>1106</v>
      </c>
      <c r="B412" s="118" t="s">
        <v>1101</v>
      </c>
      <c r="C412" s="118" t="s">
        <v>1107</v>
      </c>
      <c r="D412" s="201">
        <v>14.016</v>
      </c>
      <c r="E412" s="202">
        <v>3407</v>
      </c>
      <c r="F412" s="163"/>
      <c r="G412" s="164"/>
      <c r="H412" s="165"/>
    </row>
    <row r="413" spans="1:8" ht="15.5" x14ac:dyDescent="0.35">
      <c r="A413" s="118" t="s">
        <v>1108</v>
      </c>
      <c r="B413" s="118" t="s">
        <v>1101</v>
      </c>
      <c r="C413" s="118" t="s">
        <v>1109</v>
      </c>
      <c r="D413" s="201">
        <v>10.487</v>
      </c>
      <c r="E413" s="202">
        <v>2487</v>
      </c>
      <c r="F413" s="163"/>
      <c r="G413" s="164"/>
      <c r="H413" s="165"/>
    </row>
    <row r="414" spans="1:8" ht="15.5" x14ac:dyDescent="0.35">
      <c r="A414" s="118" t="s">
        <v>1110</v>
      </c>
      <c r="B414" s="118" t="s">
        <v>1101</v>
      </c>
      <c r="C414" s="118" t="s">
        <v>1111</v>
      </c>
      <c r="D414" s="201">
        <v>14.161</v>
      </c>
      <c r="E414" s="202">
        <v>3320</v>
      </c>
      <c r="F414" s="163"/>
      <c r="G414" s="164"/>
      <c r="H414" s="165"/>
    </row>
    <row r="415" spans="1:8" ht="15.5" x14ac:dyDescent="0.35">
      <c r="A415" s="118" t="s">
        <v>1112</v>
      </c>
      <c r="B415" s="118" t="s">
        <v>1101</v>
      </c>
      <c r="C415" s="118" t="s">
        <v>1113</v>
      </c>
      <c r="D415" s="201">
        <v>9.4879999999999995</v>
      </c>
      <c r="E415" s="202">
        <v>2135</v>
      </c>
      <c r="F415" s="163"/>
      <c r="G415" s="164"/>
      <c r="H415" s="165"/>
    </row>
    <row r="416" spans="1:8" ht="15.5" x14ac:dyDescent="0.35">
      <c r="A416" s="118" t="s">
        <v>1114</v>
      </c>
      <c r="B416" s="118" t="s">
        <v>1101</v>
      </c>
      <c r="C416" s="118" t="s">
        <v>1115</v>
      </c>
      <c r="D416" s="201">
        <v>9.26</v>
      </c>
      <c r="E416" s="202">
        <v>1999</v>
      </c>
      <c r="F416" s="163"/>
      <c r="G416" s="164"/>
      <c r="H416" s="165"/>
    </row>
    <row r="417" spans="1:8" ht="15.5" x14ac:dyDescent="0.35">
      <c r="A417" s="118" t="s">
        <v>1116</v>
      </c>
      <c r="B417" s="118" t="s">
        <v>1101</v>
      </c>
      <c r="C417" s="118" t="s">
        <v>1117</v>
      </c>
      <c r="D417" s="201">
        <v>13.624000000000001</v>
      </c>
      <c r="E417" s="202">
        <v>2997</v>
      </c>
      <c r="F417" s="163"/>
      <c r="G417" s="164"/>
      <c r="H417" s="165"/>
    </row>
    <row r="418" spans="1:8" ht="15.5" x14ac:dyDescent="0.35">
      <c r="A418" s="118" t="s">
        <v>1118</v>
      </c>
      <c r="B418" s="118" t="s">
        <v>1101</v>
      </c>
      <c r="C418" s="118" t="s">
        <v>1119</v>
      </c>
      <c r="D418" s="201">
        <v>15.996</v>
      </c>
      <c r="E418" s="202">
        <v>3736</v>
      </c>
      <c r="F418" s="163"/>
      <c r="G418" s="164"/>
      <c r="H418" s="165"/>
    </row>
    <row r="419" spans="1:8" ht="15.5" x14ac:dyDescent="0.35">
      <c r="A419" s="118" t="s">
        <v>1120</v>
      </c>
      <c r="B419" s="118" t="s">
        <v>1101</v>
      </c>
      <c r="C419" s="118" t="s">
        <v>1121</v>
      </c>
      <c r="D419" s="201">
        <v>10.484999999999999</v>
      </c>
      <c r="E419" s="202">
        <v>2553</v>
      </c>
      <c r="F419" s="163"/>
      <c r="G419" s="164"/>
      <c r="H419" s="165"/>
    </row>
    <row r="420" spans="1:8" ht="15.5" x14ac:dyDescent="0.35">
      <c r="A420" s="118" t="s">
        <v>1122</v>
      </c>
      <c r="B420" s="118" t="s">
        <v>1101</v>
      </c>
      <c r="C420" s="118" t="s">
        <v>1123</v>
      </c>
      <c r="D420" s="201">
        <v>9.7449999999999992</v>
      </c>
      <c r="E420" s="202">
        <v>2316</v>
      </c>
      <c r="F420" s="163"/>
      <c r="G420" s="164"/>
      <c r="H420" s="165"/>
    </row>
    <row r="421" spans="1:8" ht="15.5" x14ac:dyDescent="0.35">
      <c r="A421" s="118" t="s">
        <v>1124</v>
      </c>
      <c r="B421" s="118" t="s">
        <v>1101</v>
      </c>
      <c r="C421" s="118" t="s">
        <v>1125</v>
      </c>
      <c r="D421" s="201">
        <v>9.6180000000000003</v>
      </c>
      <c r="E421" s="202">
        <v>2741</v>
      </c>
      <c r="F421" s="163"/>
      <c r="G421" s="164"/>
      <c r="H421" s="165"/>
    </row>
    <row r="422" spans="1:8" ht="15.5" x14ac:dyDescent="0.35">
      <c r="A422" s="118" t="s">
        <v>1126</v>
      </c>
      <c r="B422" s="118" t="s">
        <v>1101</v>
      </c>
      <c r="C422" s="118" t="s">
        <v>1127</v>
      </c>
      <c r="D422" s="201">
        <v>5.4619999999999997</v>
      </c>
      <c r="E422" s="202">
        <v>1394</v>
      </c>
      <c r="F422" s="163"/>
      <c r="G422" s="164"/>
      <c r="H422" s="165"/>
    </row>
    <row r="423" spans="1:8" ht="15.5" x14ac:dyDescent="0.35">
      <c r="A423" s="118" t="s">
        <v>1128</v>
      </c>
      <c r="B423" s="118" t="s">
        <v>1101</v>
      </c>
      <c r="C423" s="118" t="s">
        <v>1129</v>
      </c>
      <c r="D423" s="201">
        <v>13.89</v>
      </c>
      <c r="E423" s="202">
        <v>3431</v>
      </c>
      <c r="F423" s="163"/>
      <c r="G423" s="164"/>
      <c r="H423" s="165"/>
    </row>
    <row r="424" spans="1:8" ht="15.5" x14ac:dyDescent="0.35">
      <c r="A424" s="118" t="s">
        <v>1130</v>
      </c>
      <c r="B424" s="118" t="s">
        <v>1101</v>
      </c>
      <c r="C424" s="118" t="s">
        <v>1131</v>
      </c>
      <c r="D424" s="201">
        <v>11.752000000000001</v>
      </c>
      <c r="E424" s="202">
        <v>2701</v>
      </c>
      <c r="F424" s="163"/>
      <c r="G424" s="164"/>
      <c r="H424" s="165"/>
    </row>
    <row r="425" spans="1:8" ht="15.5" x14ac:dyDescent="0.35">
      <c r="A425" s="118" t="s">
        <v>1132</v>
      </c>
      <c r="B425" s="118" t="s">
        <v>1101</v>
      </c>
      <c r="C425" s="118" t="s">
        <v>1133</v>
      </c>
      <c r="D425" s="201">
        <v>5.9320000000000004</v>
      </c>
      <c r="E425" s="202">
        <v>1473</v>
      </c>
      <c r="F425" s="163"/>
      <c r="G425" s="164"/>
      <c r="H425" s="165"/>
    </row>
    <row r="426" spans="1:8" ht="15.5" x14ac:dyDescent="0.35">
      <c r="A426" s="118" t="s">
        <v>1134</v>
      </c>
      <c r="B426" s="118" t="s">
        <v>1101</v>
      </c>
      <c r="C426" s="118" t="s">
        <v>1135</v>
      </c>
      <c r="D426" s="201">
        <v>11.042999999999999</v>
      </c>
      <c r="E426" s="202">
        <v>2440</v>
      </c>
      <c r="F426" s="163"/>
      <c r="G426" s="164"/>
      <c r="H426" s="165"/>
    </row>
    <row r="427" spans="1:8" ht="15.5" x14ac:dyDescent="0.35">
      <c r="A427" s="118" t="s">
        <v>1136</v>
      </c>
      <c r="B427" s="118" t="s">
        <v>1101</v>
      </c>
      <c r="C427" s="118" t="s">
        <v>1137</v>
      </c>
      <c r="D427" s="201">
        <v>17.321000000000002</v>
      </c>
      <c r="E427" s="202">
        <v>4363</v>
      </c>
      <c r="F427" s="163"/>
      <c r="G427" s="164"/>
      <c r="H427" s="165"/>
    </row>
    <row r="428" spans="1:8" ht="15.5" x14ac:dyDescent="0.35">
      <c r="A428" s="118" t="s">
        <v>1138</v>
      </c>
      <c r="B428" s="118" t="s">
        <v>1101</v>
      </c>
      <c r="C428" s="118" t="s">
        <v>1139</v>
      </c>
      <c r="D428" s="201">
        <v>8.5060000000000002</v>
      </c>
      <c r="E428" s="202">
        <v>2156</v>
      </c>
      <c r="F428" s="163"/>
      <c r="G428" s="164"/>
      <c r="H428" s="165"/>
    </row>
    <row r="429" spans="1:8" ht="15.5" x14ac:dyDescent="0.35">
      <c r="A429" s="118" t="s">
        <v>1140</v>
      </c>
      <c r="B429" s="118" t="s">
        <v>1101</v>
      </c>
      <c r="C429" s="118" t="s">
        <v>1141</v>
      </c>
      <c r="D429" s="201">
        <v>6.4690000000000003</v>
      </c>
      <c r="E429" s="202">
        <v>1928</v>
      </c>
      <c r="F429" s="163"/>
      <c r="G429" s="164"/>
      <c r="H429" s="165"/>
    </row>
    <row r="430" spans="1:8" ht="15.5" x14ac:dyDescent="0.35">
      <c r="A430" s="118" t="s">
        <v>1142</v>
      </c>
      <c r="B430" s="118" t="s">
        <v>1101</v>
      </c>
      <c r="C430" s="118" t="s">
        <v>1143</v>
      </c>
      <c r="D430" s="201">
        <v>17.266999999999999</v>
      </c>
      <c r="E430" s="202">
        <v>3810</v>
      </c>
      <c r="F430" s="163"/>
      <c r="G430" s="164"/>
      <c r="H430" s="165"/>
    </row>
    <row r="431" spans="1:8" ht="15.5" x14ac:dyDescent="0.35">
      <c r="A431" s="118" t="s">
        <v>1144</v>
      </c>
      <c r="B431" s="118" t="s">
        <v>1101</v>
      </c>
      <c r="C431" s="118" t="s">
        <v>1145</v>
      </c>
      <c r="D431" s="201">
        <v>12.353</v>
      </c>
      <c r="E431" s="202">
        <v>3077</v>
      </c>
      <c r="F431" s="163"/>
      <c r="G431" s="164"/>
      <c r="H431" s="165"/>
    </row>
    <row r="432" spans="1:8" ht="15.5" x14ac:dyDescent="0.35">
      <c r="A432" s="118" t="s">
        <v>1146</v>
      </c>
      <c r="B432" s="118" t="s">
        <v>1101</v>
      </c>
      <c r="C432" s="118" t="s">
        <v>1147</v>
      </c>
      <c r="D432" s="201">
        <v>10.728</v>
      </c>
      <c r="E432" s="202">
        <v>2717</v>
      </c>
      <c r="F432" s="163"/>
      <c r="G432" s="164"/>
      <c r="H432" s="165"/>
    </row>
    <row r="433" spans="1:8" ht="15.5" x14ac:dyDescent="0.35">
      <c r="A433" s="118" t="s">
        <v>1148</v>
      </c>
      <c r="B433" s="118" t="s">
        <v>1101</v>
      </c>
      <c r="C433" s="118" t="s">
        <v>1149</v>
      </c>
      <c r="D433" s="201">
        <v>10.686</v>
      </c>
      <c r="E433" s="202">
        <v>2423</v>
      </c>
      <c r="F433" s="163"/>
      <c r="G433" s="164"/>
      <c r="H433" s="165"/>
    </row>
    <row r="434" spans="1:8" ht="15.5" x14ac:dyDescent="0.35">
      <c r="A434" s="118" t="s">
        <v>1150</v>
      </c>
      <c r="B434" s="118" t="s">
        <v>1101</v>
      </c>
      <c r="C434" s="118" t="s">
        <v>1151</v>
      </c>
      <c r="D434" s="201">
        <v>16.446999999999999</v>
      </c>
      <c r="E434" s="202">
        <v>3640</v>
      </c>
      <c r="F434" s="163"/>
      <c r="G434" s="164"/>
      <c r="H434" s="165"/>
    </row>
    <row r="435" spans="1:8" ht="15.5" x14ac:dyDescent="0.35">
      <c r="A435" s="118" t="s">
        <v>1152</v>
      </c>
      <c r="B435" s="118" t="s">
        <v>1101</v>
      </c>
      <c r="C435" s="118" t="s">
        <v>1153</v>
      </c>
      <c r="D435" s="201">
        <v>19.050999999999998</v>
      </c>
      <c r="E435" s="202">
        <v>4832</v>
      </c>
      <c r="F435" s="163"/>
      <c r="G435" s="164"/>
      <c r="H435" s="165"/>
    </row>
    <row r="436" spans="1:8" ht="15.5" x14ac:dyDescent="0.35">
      <c r="A436" s="118" t="s">
        <v>1154</v>
      </c>
      <c r="B436" s="118" t="s">
        <v>1101</v>
      </c>
      <c r="C436" s="118" t="s">
        <v>1155</v>
      </c>
      <c r="D436" s="201">
        <v>11.694000000000001</v>
      </c>
      <c r="E436" s="202">
        <v>2818</v>
      </c>
      <c r="F436" s="163"/>
      <c r="G436" s="164"/>
      <c r="H436" s="165"/>
    </row>
    <row r="437" spans="1:8" ht="15.5" x14ac:dyDescent="0.35">
      <c r="A437" s="118" t="s">
        <v>1156</v>
      </c>
      <c r="B437" s="118" t="s">
        <v>1101</v>
      </c>
      <c r="C437" s="118" t="s">
        <v>1157</v>
      </c>
      <c r="D437" s="201">
        <v>8.0060000000000002</v>
      </c>
      <c r="E437" s="202">
        <v>1986</v>
      </c>
      <c r="F437" s="163"/>
      <c r="G437" s="164"/>
      <c r="H437" s="165"/>
    </row>
    <row r="438" spans="1:8" ht="15.5" x14ac:dyDescent="0.35">
      <c r="A438" s="118" t="s">
        <v>1158</v>
      </c>
      <c r="B438" s="118" t="s">
        <v>1101</v>
      </c>
      <c r="C438" s="118" t="s">
        <v>1159</v>
      </c>
      <c r="D438" s="201">
        <v>8.7189999999999994</v>
      </c>
      <c r="E438" s="202">
        <v>2091</v>
      </c>
      <c r="F438" s="163"/>
      <c r="G438" s="164"/>
      <c r="H438" s="165"/>
    </row>
    <row r="439" spans="1:8" ht="15.5" x14ac:dyDescent="0.35">
      <c r="A439" s="118" t="s">
        <v>1160</v>
      </c>
      <c r="B439" s="118" t="s">
        <v>1101</v>
      </c>
      <c r="C439" s="118" t="s">
        <v>1161</v>
      </c>
      <c r="D439" s="201">
        <v>8.0410000000000004</v>
      </c>
      <c r="E439" s="202">
        <v>2037</v>
      </c>
      <c r="F439" s="163"/>
      <c r="G439" s="164"/>
      <c r="H439" s="165"/>
    </row>
    <row r="440" spans="1:8" ht="15.5" x14ac:dyDescent="0.35">
      <c r="A440" s="118" t="s">
        <v>1162</v>
      </c>
      <c r="B440" s="118" t="s">
        <v>1101</v>
      </c>
      <c r="C440" s="118" t="s">
        <v>1163</v>
      </c>
      <c r="D440" s="201">
        <v>10.641</v>
      </c>
      <c r="E440" s="202">
        <v>3054</v>
      </c>
      <c r="F440" s="163"/>
      <c r="G440" s="164"/>
      <c r="H440" s="165"/>
    </row>
    <row r="441" spans="1:8" ht="15.5" x14ac:dyDescent="0.35">
      <c r="A441" s="118" t="s">
        <v>1164</v>
      </c>
      <c r="B441" s="118" t="s">
        <v>1101</v>
      </c>
      <c r="C441" s="118" t="s">
        <v>1165</v>
      </c>
      <c r="D441" s="201">
        <v>7.8869999999999996</v>
      </c>
      <c r="E441" s="202">
        <v>1912</v>
      </c>
      <c r="F441" s="163"/>
      <c r="G441" s="164"/>
      <c r="H441" s="165"/>
    </row>
    <row r="442" spans="1:8" ht="15.5" x14ac:dyDescent="0.35">
      <c r="A442" s="118" t="s">
        <v>1166</v>
      </c>
      <c r="B442" s="118" t="s">
        <v>1101</v>
      </c>
      <c r="C442" s="118" t="s">
        <v>1167</v>
      </c>
      <c r="D442" s="201">
        <v>7.4619999999999997</v>
      </c>
      <c r="E442" s="202">
        <v>1719</v>
      </c>
      <c r="F442" s="163"/>
      <c r="G442" s="164"/>
      <c r="H442" s="165"/>
    </row>
    <row r="443" spans="1:8" ht="15.5" x14ac:dyDescent="0.35">
      <c r="A443" s="118" t="s">
        <v>1168</v>
      </c>
      <c r="B443" s="118" t="s">
        <v>1101</v>
      </c>
      <c r="C443" s="118" t="s">
        <v>1169</v>
      </c>
      <c r="D443" s="201">
        <v>12.497999999999999</v>
      </c>
      <c r="E443" s="202">
        <v>3227</v>
      </c>
      <c r="F443" s="163"/>
      <c r="G443" s="164"/>
      <c r="H443" s="165"/>
    </row>
    <row r="444" spans="1:8" ht="15.5" x14ac:dyDescent="0.35">
      <c r="A444" s="118" t="s">
        <v>1170</v>
      </c>
      <c r="B444" s="118" t="s">
        <v>1101</v>
      </c>
      <c r="C444" s="118" t="s">
        <v>1171</v>
      </c>
      <c r="D444" s="201">
        <v>13.438000000000001</v>
      </c>
      <c r="E444" s="202">
        <v>3143</v>
      </c>
      <c r="F444" s="163"/>
      <c r="G444" s="164"/>
      <c r="H444" s="165"/>
    </row>
    <row r="445" spans="1:8" ht="15.5" x14ac:dyDescent="0.35">
      <c r="A445" s="118" t="s">
        <v>1172</v>
      </c>
      <c r="B445" s="118" t="s">
        <v>1101</v>
      </c>
      <c r="C445" s="118" t="s">
        <v>1173</v>
      </c>
      <c r="D445" s="201">
        <v>10.507</v>
      </c>
      <c r="E445" s="202">
        <v>2563</v>
      </c>
      <c r="F445" s="163"/>
      <c r="G445" s="164"/>
      <c r="H445" s="165"/>
    </row>
    <row r="446" spans="1:8" ht="15.5" x14ac:dyDescent="0.35">
      <c r="A446" s="118" t="s">
        <v>1174</v>
      </c>
      <c r="B446" s="118" t="s">
        <v>1101</v>
      </c>
      <c r="C446" s="118" t="s">
        <v>1175</v>
      </c>
      <c r="D446" s="201">
        <v>10.948</v>
      </c>
      <c r="E446" s="202">
        <v>2699</v>
      </c>
      <c r="F446" s="163"/>
      <c r="G446" s="164"/>
      <c r="H446" s="165"/>
    </row>
    <row r="447" spans="1:8" ht="15.5" x14ac:dyDescent="0.35">
      <c r="A447" s="118" t="s">
        <v>1176</v>
      </c>
      <c r="B447" s="118" t="s">
        <v>1101</v>
      </c>
      <c r="C447" s="118" t="s">
        <v>1177</v>
      </c>
      <c r="D447" s="201">
        <v>5.641</v>
      </c>
      <c r="E447" s="202">
        <v>1287</v>
      </c>
      <c r="F447" s="163"/>
      <c r="G447" s="164"/>
      <c r="H447" s="165"/>
    </row>
    <row r="448" spans="1:8" ht="15.5" x14ac:dyDescent="0.35">
      <c r="A448" s="118" t="s">
        <v>1178</v>
      </c>
      <c r="B448" s="118" t="s">
        <v>1101</v>
      </c>
      <c r="C448" s="118" t="s">
        <v>1179</v>
      </c>
      <c r="D448" s="201">
        <v>13.461</v>
      </c>
      <c r="E448" s="202">
        <v>3177</v>
      </c>
      <c r="F448" s="163"/>
      <c r="G448" s="164"/>
      <c r="H448" s="165"/>
    </row>
    <row r="449" spans="1:8" ht="15.5" x14ac:dyDescent="0.35">
      <c r="A449" s="118" t="s">
        <v>1180</v>
      </c>
      <c r="B449" s="118" t="s">
        <v>1101</v>
      </c>
      <c r="C449" s="118" t="s">
        <v>1181</v>
      </c>
      <c r="D449" s="201">
        <v>10.602</v>
      </c>
      <c r="E449" s="202">
        <v>2779</v>
      </c>
      <c r="F449" s="163"/>
      <c r="G449" s="164"/>
      <c r="H449" s="165"/>
    </row>
    <row r="450" spans="1:8" ht="15.5" x14ac:dyDescent="0.35">
      <c r="A450" s="118" t="s">
        <v>1182</v>
      </c>
      <c r="B450" s="118" t="s">
        <v>1101</v>
      </c>
      <c r="C450" s="118" t="s">
        <v>1183</v>
      </c>
      <c r="D450" s="201">
        <v>9.8379999999999992</v>
      </c>
      <c r="E450" s="202">
        <v>3052</v>
      </c>
      <c r="F450" s="163"/>
      <c r="G450" s="164"/>
      <c r="H450" s="165"/>
    </row>
    <row r="451" spans="1:8" ht="15.5" x14ac:dyDescent="0.35">
      <c r="A451" s="118" t="s">
        <v>1184</v>
      </c>
      <c r="B451" s="118" t="s">
        <v>1101</v>
      </c>
      <c r="C451" s="118" t="s">
        <v>1185</v>
      </c>
      <c r="D451" s="201">
        <v>10.522</v>
      </c>
      <c r="E451" s="202">
        <v>2580</v>
      </c>
      <c r="F451" s="163"/>
      <c r="G451" s="164"/>
      <c r="H451" s="165"/>
    </row>
    <row r="452" spans="1:8" ht="15.5" x14ac:dyDescent="0.35">
      <c r="A452" s="118" t="s">
        <v>1186</v>
      </c>
      <c r="B452" s="118" t="s">
        <v>1101</v>
      </c>
      <c r="C452" s="118" t="s">
        <v>1187</v>
      </c>
      <c r="D452" s="201">
        <v>15.893000000000001</v>
      </c>
      <c r="E452" s="202">
        <v>4339</v>
      </c>
      <c r="F452" s="163"/>
      <c r="G452" s="164"/>
      <c r="H452" s="165"/>
    </row>
    <row r="453" spans="1:8" ht="15.5" x14ac:dyDescent="0.35">
      <c r="A453" s="118" t="s">
        <v>1188</v>
      </c>
      <c r="B453" s="118" t="s">
        <v>1101</v>
      </c>
      <c r="C453" s="118" t="s">
        <v>1189</v>
      </c>
      <c r="D453" s="201">
        <v>9.1709999999999994</v>
      </c>
      <c r="E453" s="202">
        <v>2261</v>
      </c>
      <c r="F453" s="163"/>
      <c r="G453" s="164"/>
      <c r="H453" s="165"/>
    </row>
    <row r="454" spans="1:8" ht="15.5" x14ac:dyDescent="0.35">
      <c r="A454" s="118" t="s">
        <v>1190</v>
      </c>
      <c r="B454" s="118" t="s">
        <v>1101</v>
      </c>
      <c r="C454" s="118" t="s">
        <v>1191</v>
      </c>
      <c r="D454" s="201">
        <v>11.526</v>
      </c>
      <c r="E454" s="202">
        <v>2946</v>
      </c>
      <c r="F454" s="163"/>
      <c r="G454" s="164"/>
      <c r="H454" s="165"/>
    </row>
    <row r="455" spans="1:8" ht="15.5" x14ac:dyDescent="0.35">
      <c r="A455" s="118" t="s">
        <v>1192</v>
      </c>
      <c r="B455" s="118" t="s">
        <v>1101</v>
      </c>
      <c r="C455" s="118" t="s">
        <v>1193</v>
      </c>
      <c r="D455" s="201">
        <v>14.907999999999999</v>
      </c>
      <c r="E455" s="202">
        <v>3195</v>
      </c>
      <c r="F455" s="163"/>
      <c r="G455" s="164"/>
      <c r="H455" s="165"/>
    </row>
    <row r="456" spans="1:8" ht="15.5" x14ac:dyDescent="0.35">
      <c r="A456" s="118" t="s">
        <v>1194</v>
      </c>
      <c r="B456" s="118" t="s">
        <v>1101</v>
      </c>
      <c r="C456" s="118" t="s">
        <v>1195</v>
      </c>
      <c r="D456" s="201">
        <v>11.688000000000001</v>
      </c>
      <c r="E456" s="202">
        <v>2844</v>
      </c>
      <c r="F456" s="163"/>
      <c r="G456" s="164"/>
      <c r="H456" s="165"/>
    </row>
    <row r="457" spans="1:8" ht="15.5" x14ac:dyDescent="0.35">
      <c r="A457" s="118" t="s">
        <v>1196</v>
      </c>
      <c r="B457" s="118" t="s">
        <v>1101</v>
      </c>
      <c r="C457" s="118" t="s">
        <v>1197</v>
      </c>
      <c r="D457" s="201">
        <v>14.212</v>
      </c>
      <c r="E457" s="202">
        <v>3103</v>
      </c>
      <c r="F457" s="163"/>
      <c r="G457" s="164"/>
      <c r="H457" s="165"/>
    </row>
    <row r="458" spans="1:8" ht="15.5" x14ac:dyDescent="0.35">
      <c r="A458" s="118" t="s">
        <v>1198</v>
      </c>
      <c r="B458" s="118" t="s">
        <v>1101</v>
      </c>
      <c r="C458" s="118" t="s">
        <v>1199</v>
      </c>
      <c r="D458" s="201">
        <v>5.6219999999999999</v>
      </c>
      <c r="E458" s="202">
        <v>1461</v>
      </c>
      <c r="F458" s="163"/>
      <c r="G458" s="164"/>
      <c r="H458" s="165"/>
    </row>
    <row r="459" spans="1:8" ht="15.5" x14ac:dyDescent="0.35">
      <c r="A459" s="118" t="s">
        <v>1200</v>
      </c>
      <c r="B459" s="118" t="s">
        <v>1101</v>
      </c>
      <c r="C459" s="118" t="s">
        <v>1201</v>
      </c>
      <c r="D459" s="201">
        <v>8.5350000000000001</v>
      </c>
      <c r="E459" s="202">
        <v>2295</v>
      </c>
      <c r="F459" s="163"/>
      <c r="G459" s="164"/>
      <c r="H459" s="165"/>
    </row>
    <row r="460" spans="1:8" ht="15.5" x14ac:dyDescent="0.35">
      <c r="A460" s="118" t="s">
        <v>1202</v>
      </c>
      <c r="B460" s="118" t="s">
        <v>1101</v>
      </c>
      <c r="C460" s="118" t="s">
        <v>1203</v>
      </c>
      <c r="D460" s="201">
        <v>17.600999999999999</v>
      </c>
      <c r="E460" s="202">
        <v>3161</v>
      </c>
      <c r="F460" s="163"/>
      <c r="G460" s="164"/>
      <c r="H460" s="165"/>
    </row>
    <row r="461" spans="1:8" ht="15.5" x14ac:dyDescent="0.35">
      <c r="A461" s="118" t="s">
        <v>1204</v>
      </c>
      <c r="B461" s="118" t="s">
        <v>1101</v>
      </c>
      <c r="C461" s="118" t="s">
        <v>1205</v>
      </c>
      <c r="D461" s="201">
        <v>16.446000000000002</v>
      </c>
      <c r="E461" s="202">
        <v>4020</v>
      </c>
      <c r="F461" s="163"/>
      <c r="G461" s="164"/>
      <c r="H461" s="165"/>
    </row>
    <row r="462" spans="1:8" ht="15.5" x14ac:dyDescent="0.35">
      <c r="A462" s="118" t="s">
        <v>1206</v>
      </c>
      <c r="B462" s="118" t="s">
        <v>1101</v>
      </c>
      <c r="C462" s="118" t="s">
        <v>1207</v>
      </c>
      <c r="D462" s="201">
        <v>11.895</v>
      </c>
      <c r="E462" s="202">
        <v>2726</v>
      </c>
      <c r="F462" s="163"/>
      <c r="G462" s="164"/>
      <c r="H462" s="165"/>
    </row>
    <row r="463" spans="1:8" ht="15.5" x14ac:dyDescent="0.35">
      <c r="A463" s="118" t="s">
        <v>1208</v>
      </c>
      <c r="B463" s="118" t="s">
        <v>1101</v>
      </c>
      <c r="C463" s="118" t="s">
        <v>1209</v>
      </c>
      <c r="D463" s="201">
        <v>8.407</v>
      </c>
      <c r="E463" s="202">
        <v>2527</v>
      </c>
      <c r="F463" s="163"/>
      <c r="G463" s="164"/>
      <c r="H463" s="165"/>
    </row>
    <row r="464" spans="1:8" ht="15.5" x14ac:dyDescent="0.35">
      <c r="A464" s="118" t="s">
        <v>1210</v>
      </c>
      <c r="B464" s="118" t="s">
        <v>1101</v>
      </c>
      <c r="C464" s="118" t="s">
        <v>1211</v>
      </c>
      <c r="D464" s="201">
        <v>15.323</v>
      </c>
      <c r="E464" s="202">
        <v>3325</v>
      </c>
      <c r="F464" s="163"/>
      <c r="G464" s="164"/>
      <c r="H464" s="165"/>
    </row>
    <row r="465" spans="1:8" ht="15.5" x14ac:dyDescent="0.35">
      <c r="A465" s="118" t="s">
        <v>1212</v>
      </c>
      <c r="B465" s="118" t="s">
        <v>1101</v>
      </c>
      <c r="C465" s="118" t="s">
        <v>1213</v>
      </c>
      <c r="D465" s="201">
        <v>12.827999999999999</v>
      </c>
      <c r="E465" s="202">
        <v>3426</v>
      </c>
      <c r="F465" s="163"/>
      <c r="G465" s="164"/>
      <c r="H465" s="165"/>
    </row>
    <row r="466" spans="1:8" ht="15.5" x14ac:dyDescent="0.35">
      <c r="A466" s="118" t="s">
        <v>1214</v>
      </c>
      <c r="B466" s="118" t="s">
        <v>1101</v>
      </c>
      <c r="C466" s="118" t="s">
        <v>1215</v>
      </c>
      <c r="D466" s="201">
        <v>13.337</v>
      </c>
      <c r="E466" s="202">
        <v>3084</v>
      </c>
      <c r="F466" s="163"/>
      <c r="G466" s="164"/>
      <c r="H466" s="165"/>
    </row>
    <row r="467" spans="1:8" ht="15.5" x14ac:dyDescent="0.35">
      <c r="A467" s="118" t="s">
        <v>1216</v>
      </c>
      <c r="B467" s="118" t="s">
        <v>1101</v>
      </c>
      <c r="C467" s="118" t="s">
        <v>1217</v>
      </c>
      <c r="D467" s="201">
        <v>12.56</v>
      </c>
      <c r="E467" s="202">
        <v>3165</v>
      </c>
      <c r="F467" s="163"/>
      <c r="G467" s="164"/>
      <c r="H467" s="165"/>
    </row>
    <row r="468" spans="1:8" ht="15.5" x14ac:dyDescent="0.35">
      <c r="A468" s="118" t="s">
        <v>1218</v>
      </c>
      <c r="B468" s="118" t="s">
        <v>1101</v>
      </c>
      <c r="C468" s="118" t="s">
        <v>1219</v>
      </c>
      <c r="D468" s="201">
        <v>14.228</v>
      </c>
      <c r="E468" s="202">
        <v>3361</v>
      </c>
      <c r="F468" s="163"/>
      <c r="G468" s="164"/>
      <c r="H468" s="165"/>
    </row>
    <row r="469" spans="1:8" ht="15.5" x14ac:dyDescent="0.35">
      <c r="A469" s="118" t="s">
        <v>1220</v>
      </c>
      <c r="B469" s="118" t="s">
        <v>1101</v>
      </c>
      <c r="C469" s="118" t="s">
        <v>1221</v>
      </c>
      <c r="D469" s="201">
        <v>16.222999999999999</v>
      </c>
      <c r="E469" s="202">
        <v>3750</v>
      </c>
      <c r="F469" s="163"/>
      <c r="G469" s="164"/>
      <c r="H469" s="165"/>
    </row>
    <row r="470" spans="1:8" ht="15.5" x14ac:dyDescent="0.35">
      <c r="A470" s="118" t="s">
        <v>1222</v>
      </c>
      <c r="B470" s="118" t="s">
        <v>1101</v>
      </c>
      <c r="C470" s="118" t="s">
        <v>1223</v>
      </c>
      <c r="D470" s="201">
        <v>11.624000000000001</v>
      </c>
      <c r="E470" s="202">
        <v>2506</v>
      </c>
      <c r="F470" s="163"/>
      <c r="G470" s="164"/>
      <c r="H470" s="165"/>
    </row>
    <row r="471" spans="1:8" ht="15.5" x14ac:dyDescent="0.35">
      <c r="A471" s="118" t="s">
        <v>1224</v>
      </c>
      <c r="B471" s="118" t="s">
        <v>1101</v>
      </c>
      <c r="C471" s="118" t="s">
        <v>1225</v>
      </c>
      <c r="D471" s="201">
        <v>14.944000000000001</v>
      </c>
      <c r="E471" s="202">
        <v>3596</v>
      </c>
      <c r="F471" s="163"/>
      <c r="G471" s="164"/>
      <c r="H471" s="165"/>
    </row>
    <row r="472" spans="1:8" ht="15.5" x14ac:dyDescent="0.35">
      <c r="A472" s="118" t="s">
        <v>1226</v>
      </c>
      <c r="B472" s="118" t="s">
        <v>1101</v>
      </c>
      <c r="C472" s="118" t="s">
        <v>1227</v>
      </c>
      <c r="D472" s="201">
        <v>14.183</v>
      </c>
      <c r="E472" s="202">
        <v>3045</v>
      </c>
      <c r="F472" s="163"/>
      <c r="G472" s="164"/>
      <c r="H472" s="165"/>
    </row>
    <row r="473" spans="1:8" ht="15.5" x14ac:dyDescent="0.35">
      <c r="A473" s="118" t="s">
        <v>1228</v>
      </c>
      <c r="B473" s="118" t="s">
        <v>1101</v>
      </c>
      <c r="C473" s="118" t="s">
        <v>1229</v>
      </c>
      <c r="D473" s="201">
        <v>7.085</v>
      </c>
      <c r="E473" s="202">
        <v>1940</v>
      </c>
      <c r="F473" s="163"/>
      <c r="G473" s="164"/>
      <c r="H473" s="165"/>
    </row>
    <row r="474" spans="1:8" ht="15.5" x14ac:dyDescent="0.35">
      <c r="A474" s="118" t="s">
        <v>1230</v>
      </c>
      <c r="B474" s="118" t="s">
        <v>1101</v>
      </c>
      <c r="C474" s="118" t="s">
        <v>1231</v>
      </c>
      <c r="D474" s="201">
        <v>10.834</v>
      </c>
      <c r="E474" s="202">
        <v>2414</v>
      </c>
      <c r="F474" s="163"/>
      <c r="G474" s="164"/>
      <c r="H474" s="165"/>
    </row>
    <row r="475" spans="1:8" ht="15.5" x14ac:dyDescent="0.35">
      <c r="A475" s="118" t="s">
        <v>1232</v>
      </c>
      <c r="B475" s="118" t="s">
        <v>1101</v>
      </c>
      <c r="C475" s="118" t="s">
        <v>1233</v>
      </c>
      <c r="D475" s="201">
        <v>7.0030000000000001</v>
      </c>
      <c r="E475" s="202">
        <v>1843</v>
      </c>
      <c r="F475" s="163"/>
      <c r="G475" s="164"/>
      <c r="H475" s="165"/>
    </row>
    <row r="476" spans="1:8" ht="15.5" x14ac:dyDescent="0.35">
      <c r="A476" s="118" t="s">
        <v>1234</v>
      </c>
      <c r="B476" s="118" t="s">
        <v>1101</v>
      </c>
      <c r="C476" s="118" t="s">
        <v>1235</v>
      </c>
      <c r="D476" s="201">
        <v>3.5409999999999999</v>
      </c>
      <c r="E476" s="202">
        <v>832</v>
      </c>
      <c r="F476" s="163"/>
      <c r="G476" s="164"/>
      <c r="H476" s="165"/>
    </row>
    <row r="477" spans="1:8" ht="15.5" x14ac:dyDescent="0.35">
      <c r="A477" s="118" t="s">
        <v>1236</v>
      </c>
      <c r="B477" s="118" t="s">
        <v>1101</v>
      </c>
      <c r="C477" s="118" t="s">
        <v>1237</v>
      </c>
      <c r="D477" s="201">
        <v>7.4219999999999997</v>
      </c>
      <c r="E477" s="202">
        <v>1950</v>
      </c>
      <c r="F477" s="163"/>
      <c r="G477" s="164"/>
      <c r="H477" s="165"/>
    </row>
    <row r="478" spans="1:8" ht="15.5" x14ac:dyDescent="0.35">
      <c r="A478" s="118" t="s">
        <v>1238</v>
      </c>
      <c r="B478" s="118" t="s">
        <v>1101</v>
      </c>
      <c r="C478" s="118" t="s">
        <v>1239</v>
      </c>
      <c r="D478" s="201">
        <v>11.948</v>
      </c>
      <c r="E478" s="202">
        <v>2867</v>
      </c>
      <c r="F478" s="163"/>
      <c r="G478" s="164"/>
      <c r="H478" s="165"/>
    </row>
    <row r="479" spans="1:8" ht="15.5" x14ac:dyDescent="0.35">
      <c r="A479" s="118" t="s">
        <v>1240</v>
      </c>
      <c r="B479" s="118" t="s">
        <v>1101</v>
      </c>
      <c r="C479" s="118" t="s">
        <v>1241</v>
      </c>
      <c r="D479" s="201">
        <v>10.632999999999999</v>
      </c>
      <c r="E479" s="202">
        <v>2622</v>
      </c>
      <c r="F479" s="163"/>
      <c r="G479" s="164"/>
      <c r="H479" s="165"/>
    </row>
    <row r="480" spans="1:8" ht="15.5" x14ac:dyDescent="0.35">
      <c r="A480" s="118" t="s">
        <v>1242</v>
      </c>
      <c r="B480" s="118" t="s">
        <v>1101</v>
      </c>
      <c r="C480" s="118" t="s">
        <v>1243</v>
      </c>
      <c r="D480" s="201">
        <v>6.6639999999999997</v>
      </c>
      <c r="E480" s="202">
        <v>1679</v>
      </c>
      <c r="F480" s="163"/>
      <c r="G480" s="164"/>
      <c r="H480" s="165"/>
    </row>
    <row r="481" spans="1:8" ht="15.5" x14ac:dyDescent="0.35">
      <c r="A481" s="118" t="s">
        <v>1244</v>
      </c>
      <c r="B481" s="118" t="s">
        <v>1101</v>
      </c>
      <c r="C481" s="118" t="s">
        <v>1245</v>
      </c>
      <c r="D481" s="201">
        <v>17.725000000000001</v>
      </c>
      <c r="E481" s="202">
        <v>3836</v>
      </c>
      <c r="F481" s="163"/>
      <c r="G481" s="164"/>
      <c r="H481" s="165"/>
    </row>
    <row r="482" spans="1:8" ht="15.5" x14ac:dyDescent="0.35">
      <c r="A482" s="118" t="s">
        <v>1246</v>
      </c>
      <c r="B482" s="118" t="s">
        <v>1101</v>
      </c>
      <c r="C482" s="118" t="s">
        <v>1247</v>
      </c>
      <c r="D482" s="201">
        <v>9.3979999999999997</v>
      </c>
      <c r="E482" s="202">
        <v>2253</v>
      </c>
      <c r="F482" s="163"/>
      <c r="G482" s="164"/>
      <c r="H482" s="165"/>
    </row>
    <row r="483" spans="1:8" ht="15.5" x14ac:dyDescent="0.35">
      <c r="A483" s="118" t="s">
        <v>1248</v>
      </c>
      <c r="B483" s="118" t="s">
        <v>1101</v>
      </c>
      <c r="C483" s="118" t="s">
        <v>1249</v>
      </c>
      <c r="D483" s="201">
        <v>10.586</v>
      </c>
      <c r="E483" s="202">
        <v>2520</v>
      </c>
      <c r="F483" s="163"/>
      <c r="G483" s="164"/>
      <c r="H483" s="165"/>
    </row>
    <row r="484" spans="1:8" ht="15.5" x14ac:dyDescent="0.35">
      <c r="A484" s="118" t="s">
        <v>1250</v>
      </c>
      <c r="B484" s="118" t="s">
        <v>1101</v>
      </c>
      <c r="C484" s="118" t="s">
        <v>1251</v>
      </c>
      <c r="D484" s="201">
        <v>9.3059999999999992</v>
      </c>
      <c r="E484" s="202">
        <v>2457</v>
      </c>
      <c r="F484" s="163"/>
      <c r="G484" s="164"/>
      <c r="H484" s="165"/>
    </row>
    <row r="485" spans="1:8" ht="15.5" x14ac:dyDescent="0.35">
      <c r="A485" s="118" t="s">
        <v>1252</v>
      </c>
      <c r="B485" s="118" t="s">
        <v>1101</v>
      </c>
      <c r="C485" s="118" t="s">
        <v>1253</v>
      </c>
      <c r="D485" s="201">
        <v>5.1059999999999999</v>
      </c>
      <c r="E485" s="202">
        <v>1433</v>
      </c>
      <c r="F485" s="163"/>
      <c r="G485" s="164"/>
      <c r="H485" s="165"/>
    </row>
    <row r="486" spans="1:8" ht="15.5" x14ac:dyDescent="0.35">
      <c r="A486" s="118" t="s">
        <v>1254</v>
      </c>
      <c r="B486" s="118" t="s">
        <v>1101</v>
      </c>
      <c r="C486" s="118" t="s">
        <v>1255</v>
      </c>
      <c r="D486" s="201">
        <v>6.2489999999999997</v>
      </c>
      <c r="E486" s="202">
        <v>2026</v>
      </c>
      <c r="F486" s="163"/>
      <c r="G486" s="164"/>
      <c r="H486" s="165"/>
    </row>
    <row r="487" spans="1:8" ht="15.5" x14ac:dyDescent="0.35">
      <c r="A487" s="118" t="s">
        <v>1256</v>
      </c>
      <c r="B487" s="118" t="s">
        <v>1101</v>
      </c>
      <c r="C487" s="118" t="s">
        <v>1257</v>
      </c>
      <c r="D487" s="201">
        <v>6.7619999999999996</v>
      </c>
      <c r="E487" s="202">
        <v>2102</v>
      </c>
      <c r="F487" s="163"/>
      <c r="G487" s="164"/>
      <c r="H487" s="165"/>
    </row>
    <row r="488" spans="1:8" ht="15.5" x14ac:dyDescent="0.35">
      <c r="A488" s="118" t="s">
        <v>1258</v>
      </c>
      <c r="B488" s="118" t="s">
        <v>1101</v>
      </c>
      <c r="C488" s="118" t="s">
        <v>1259</v>
      </c>
      <c r="D488" s="201">
        <v>5.6849999999999996</v>
      </c>
      <c r="E488" s="202">
        <v>1559</v>
      </c>
      <c r="F488" s="163"/>
      <c r="G488" s="164"/>
      <c r="H488" s="165"/>
    </row>
    <row r="489" spans="1:8" ht="15.5" x14ac:dyDescent="0.35">
      <c r="A489" s="118" t="s">
        <v>1260</v>
      </c>
      <c r="B489" s="118" t="s">
        <v>1101</v>
      </c>
      <c r="C489" s="118" t="s">
        <v>1261</v>
      </c>
      <c r="D489" s="201">
        <v>11.068</v>
      </c>
      <c r="E489" s="202">
        <v>2335</v>
      </c>
      <c r="F489" s="163"/>
      <c r="G489" s="164"/>
      <c r="H489" s="165"/>
    </row>
    <row r="490" spans="1:8" ht="15.5" x14ac:dyDescent="0.35">
      <c r="A490" s="118" t="s">
        <v>1262</v>
      </c>
      <c r="B490" s="118" t="s">
        <v>1101</v>
      </c>
      <c r="C490" s="118" t="s">
        <v>1263</v>
      </c>
      <c r="D490" s="201">
        <v>17.242000000000001</v>
      </c>
      <c r="E490" s="202">
        <v>3666</v>
      </c>
      <c r="F490" s="163"/>
      <c r="G490" s="164"/>
      <c r="H490" s="165"/>
    </row>
    <row r="491" spans="1:8" ht="15.5" x14ac:dyDescent="0.35">
      <c r="A491" s="118" t="s">
        <v>1264</v>
      </c>
      <c r="B491" s="118" t="s">
        <v>1101</v>
      </c>
      <c r="C491" s="118" t="s">
        <v>1265</v>
      </c>
      <c r="D491" s="201">
        <v>11.683999999999999</v>
      </c>
      <c r="E491" s="202">
        <v>2515</v>
      </c>
      <c r="F491" s="163"/>
      <c r="G491" s="164"/>
      <c r="H491" s="165"/>
    </row>
    <row r="492" spans="1:8" ht="15.5" x14ac:dyDescent="0.35">
      <c r="A492" s="118" t="s">
        <v>1266</v>
      </c>
      <c r="B492" s="118" t="s">
        <v>1101</v>
      </c>
      <c r="C492" s="118" t="s">
        <v>1267</v>
      </c>
      <c r="D492" s="201">
        <v>13.141999999999999</v>
      </c>
      <c r="E492" s="202">
        <v>2992</v>
      </c>
      <c r="F492" s="163"/>
      <c r="G492" s="164"/>
      <c r="H492" s="165"/>
    </row>
    <row r="493" spans="1:8" ht="15.5" x14ac:dyDescent="0.35">
      <c r="A493" s="118" t="s">
        <v>1268</v>
      </c>
      <c r="B493" s="118" t="s">
        <v>1101</v>
      </c>
      <c r="C493" s="118" t="s">
        <v>1269</v>
      </c>
      <c r="D493" s="201">
        <v>17.742999999999999</v>
      </c>
      <c r="E493" s="202">
        <v>3714</v>
      </c>
      <c r="F493" s="163"/>
      <c r="G493" s="164"/>
      <c r="H493" s="165"/>
    </row>
    <row r="494" spans="1:8" ht="15.5" x14ac:dyDescent="0.35">
      <c r="A494" s="118" t="s">
        <v>1270</v>
      </c>
      <c r="B494" s="118" t="s">
        <v>1101</v>
      </c>
      <c r="C494" s="118" t="s">
        <v>1271</v>
      </c>
      <c r="D494" s="201">
        <v>19.64</v>
      </c>
      <c r="E494" s="202">
        <v>4369</v>
      </c>
      <c r="F494" s="163"/>
      <c r="G494" s="164"/>
      <c r="H494" s="165"/>
    </row>
    <row r="495" spans="1:8" ht="15.5" x14ac:dyDescent="0.35">
      <c r="A495" s="118" t="s">
        <v>1272</v>
      </c>
      <c r="B495" s="118" t="s">
        <v>1101</v>
      </c>
      <c r="C495" s="118" t="s">
        <v>1273</v>
      </c>
      <c r="D495" s="201">
        <v>7.5529999999999999</v>
      </c>
      <c r="E495" s="202">
        <v>1782</v>
      </c>
      <c r="F495" s="163"/>
      <c r="G495" s="164"/>
      <c r="H495" s="165"/>
    </row>
    <row r="496" spans="1:8" ht="15.5" x14ac:dyDescent="0.35">
      <c r="A496" s="118" t="s">
        <v>1274</v>
      </c>
      <c r="B496" s="118" t="s">
        <v>1101</v>
      </c>
      <c r="C496" s="118" t="s">
        <v>1275</v>
      </c>
      <c r="D496" s="201">
        <v>14.548</v>
      </c>
      <c r="E496" s="202">
        <v>3493</v>
      </c>
      <c r="F496" s="163"/>
      <c r="G496" s="164"/>
      <c r="H496" s="165"/>
    </row>
    <row r="497" spans="1:8" ht="15.5" x14ac:dyDescent="0.35">
      <c r="A497" s="118" t="s">
        <v>1276</v>
      </c>
      <c r="B497" s="118" t="s">
        <v>1101</v>
      </c>
      <c r="C497" s="118" t="s">
        <v>1277</v>
      </c>
      <c r="D497" s="201">
        <v>10.138</v>
      </c>
      <c r="E497" s="202">
        <v>2377</v>
      </c>
      <c r="F497" s="163"/>
      <c r="G497" s="164"/>
      <c r="H497" s="165"/>
    </row>
    <row r="498" spans="1:8" ht="15.5" x14ac:dyDescent="0.35">
      <c r="A498" s="118" t="s">
        <v>1278</v>
      </c>
      <c r="B498" s="118" t="s">
        <v>1101</v>
      </c>
      <c r="C498" s="118" t="s">
        <v>1279</v>
      </c>
      <c r="D498" s="201">
        <v>15.298999999999999</v>
      </c>
      <c r="E498" s="202">
        <v>3095</v>
      </c>
      <c r="F498" s="163"/>
      <c r="G498" s="164"/>
      <c r="H498" s="165"/>
    </row>
    <row r="499" spans="1:8" ht="15.5" x14ac:dyDescent="0.35">
      <c r="A499" s="118" t="s">
        <v>1280</v>
      </c>
      <c r="B499" s="118" t="s">
        <v>1101</v>
      </c>
      <c r="C499" s="118" t="s">
        <v>1281</v>
      </c>
      <c r="D499" s="201">
        <v>10.029999999999999</v>
      </c>
      <c r="E499" s="202">
        <v>2390</v>
      </c>
      <c r="F499" s="163"/>
      <c r="G499" s="164"/>
      <c r="H499" s="165"/>
    </row>
    <row r="500" spans="1:8" ht="15.5" x14ac:dyDescent="0.35">
      <c r="A500" s="118" t="s">
        <v>1282</v>
      </c>
      <c r="B500" s="118" t="s">
        <v>1101</v>
      </c>
      <c r="C500" s="118" t="s">
        <v>1283</v>
      </c>
      <c r="D500" s="201">
        <v>7.9420000000000002</v>
      </c>
      <c r="E500" s="202">
        <v>1942</v>
      </c>
      <c r="F500" s="163"/>
      <c r="G500" s="164"/>
      <c r="H500" s="165"/>
    </row>
    <row r="501" spans="1:8" ht="15.5" x14ac:dyDescent="0.35">
      <c r="A501" s="203" t="s">
        <v>1284</v>
      </c>
      <c r="B501" s="203" t="s">
        <v>1285</v>
      </c>
      <c r="C501" s="118"/>
      <c r="D501" s="201">
        <v>0</v>
      </c>
      <c r="E501" s="202">
        <v>0</v>
      </c>
      <c r="F501" s="163"/>
      <c r="G501" s="164"/>
      <c r="H501" s="165"/>
    </row>
    <row r="502" spans="1:8" ht="15.5" x14ac:dyDescent="0.35">
      <c r="A502" s="118" t="s">
        <v>1286</v>
      </c>
      <c r="B502" s="118" t="s">
        <v>1285</v>
      </c>
      <c r="C502" s="118" t="s">
        <v>1287</v>
      </c>
      <c r="D502" s="201">
        <v>8.2260000000000009</v>
      </c>
      <c r="E502" s="202">
        <v>2178</v>
      </c>
      <c r="F502" s="163"/>
      <c r="G502" s="164"/>
      <c r="H502" s="165"/>
    </row>
    <row r="503" spans="1:8" ht="15.5" x14ac:dyDescent="0.35">
      <c r="A503" s="118" t="s">
        <v>1288</v>
      </c>
      <c r="B503" s="118" t="s">
        <v>1285</v>
      </c>
      <c r="C503" s="118" t="s">
        <v>1289</v>
      </c>
      <c r="D503" s="201">
        <v>6.0860000000000003</v>
      </c>
      <c r="E503" s="202">
        <v>1625</v>
      </c>
      <c r="F503" s="163"/>
      <c r="G503" s="164"/>
      <c r="H503" s="165"/>
    </row>
    <row r="504" spans="1:8" ht="15.5" x14ac:dyDescent="0.35">
      <c r="A504" s="118" t="s">
        <v>1290</v>
      </c>
      <c r="B504" s="118" t="s">
        <v>1285</v>
      </c>
      <c r="C504" s="118" t="s">
        <v>1291</v>
      </c>
      <c r="D504" s="201">
        <v>8.6579999999999995</v>
      </c>
      <c r="E504" s="202">
        <v>2534</v>
      </c>
      <c r="F504" s="163"/>
      <c r="G504" s="164"/>
      <c r="H504" s="165"/>
    </row>
    <row r="505" spans="1:8" ht="15.5" x14ac:dyDescent="0.35">
      <c r="A505" s="118" t="s">
        <v>1292</v>
      </c>
      <c r="B505" s="118" t="s">
        <v>1285</v>
      </c>
      <c r="C505" s="118" t="s">
        <v>1293</v>
      </c>
      <c r="D505" s="201">
        <v>15.706</v>
      </c>
      <c r="E505" s="202">
        <v>3874</v>
      </c>
      <c r="F505" s="163"/>
      <c r="G505" s="164"/>
      <c r="H505" s="165"/>
    </row>
    <row r="506" spans="1:8" ht="15.5" x14ac:dyDescent="0.35">
      <c r="A506" s="118" t="s">
        <v>1294</v>
      </c>
      <c r="B506" s="118" t="s">
        <v>1285</v>
      </c>
      <c r="C506" s="118" t="s">
        <v>1295</v>
      </c>
      <c r="D506" s="201">
        <v>4.7990000000000004</v>
      </c>
      <c r="E506" s="202">
        <v>1307</v>
      </c>
      <c r="F506" s="163"/>
      <c r="G506" s="164"/>
      <c r="H506" s="165"/>
    </row>
    <row r="507" spans="1:8" ht="15.5" x14ac:dyDescent="0.35">
      <c r="A507" s="118" t="s">
        <v>1296</v>
      </c>
      <c r="B507" s="118" t="s">
        <v>1285</v>
      </c>
      <c r="C507" s="118" t="s">
        <v>1297</v>
      </c>
      <c r="D507" s="201">
        <v>6.2489999999999997</v>
      </c>
      <c r="E507" s="202">
        <v>1901</v>
      </c>
      <c r="F507" s="163"/>
      <c r="G507" s="164"/>
      <c r="H507" s="165"/>
    </row>
    <row r="508" spans="1:8" ht="15.5" x14ac:dyDescent="0.35">
      <c r="A508" s="118" t="s">
        <v>1298</v>
      </c>
      <c r="B508" s="118" t="s">
        <v>1285</v>
      </c>
      <c r="C508" s="118" t="s">
        <v>1299</v>
      </c>
      <c r="D508" s="201">
        <v>6.7169999999999996</v>
      </c>
      <c r="E508" s="202">
        <v>2029</v>
      </c>
      <c r="F508" s="163"/>
      <c r="G508" s="164"/>
      <c r="H508" s="165"/>
    </row>
    <row r="509" spans="1:8" ht="15.5" x14ac:dyDescent="0.35">
      <c r="A509" s="118" t="s">
        <v>1300</v>
      </c>
      <c r="B509" s="118" t="s">
        <v>1285</v>
      </c>
      <c r="C509" s="118" t="s">
        <v>1301</v>
      </c>
      <c r="D509" s="201">
        <v>9.4870000000000001</v>
      </c>
      <c r="E509" s="202">
        <v>2678</v>
      </c>
      <c r="F509" s="163"/>
      <c r="G509" s="164"/>
      <c r="H509" s="165"/>
    </row>
    <row r="510" spans="1:8" ht="15.5" x14ac:dyDescent="0.35">
      <c r="A510" s="118" t="s">
        <v>1302</v>
      </c>
      <c r="B510" s="118" t="s">
        <v>1285</v>
      </c>
      <c r="C510" s="118" t="s">
        <v>1303</v>
      </c>
      <c r="D510" s="201">
        <v>6.2210000000000001</v>
      </c>
      <c r="E510" s="202">
        <v>1981</v>
      </c>
      <c r="F510" s="163"/>
      <c r="G510" s="164"/>
      <c r="H510" s="165"/>
    </row>
    <row r="511" spans="1:8" ht="15.5" x14ac:dyDescent="0.35">
      <c r="A511" s="118" t="s">
        <v>1304</v>
      </c>
      <c r="B511" s="118" t="s">
        <v>1285</v>
      </c>
      <c r="C511" s="118" t="s">
        <v>1305</v>
      </c>
      <c r="D511" s="201">
        <v>22.625</v>
      </c>
      <c r="E511" s="202">
        <v>5494</v>
      </c>
      <c r="F511" s="163"/>
      <c r="G511" s="164"/>
      <c r="H511" s="165"/>
    </row>
    <row r="512" spans="1:8" ht="15.5" x14ac:dyDescent="0.35">
      <c r="A512" s="118" t="s">
        <v>1306</v>
      </c>
      <c r="B512" s="118" t="s">
        <v>1285</v>
      </c>
      <c r="C512" s="118" t="s">
        <v>1307</v>
      </c>
      <c r="D512" s="201">
        <v>28.57</v>
      </c>
      <c r="E512" s="202">
        <v>6318</v>
      </c>
      <c r="F512" s="163"/>
      <c r="G512" s="164"/>
      <c r="H512" s="165"/>
    </row>
    <row r="513" spans="1:8" ht="15.5" x14ac:dyDescent="0.35">
      <c r="A513" s="118" t="s">
        <v>1308</v>
      </c>
      <c r="B513" s="118" t="s">
        <v>1285</v>
      </c>
      <c r="C513" s="118" t="s">
        <v>1309</v>
      </c>
      <c r="D513" s="201">
        <v>10.331</v>
      </c>
      <c r="E513" s="202">
        <v>2781</v>
      </c>
      <c r="F513" s="163"/>
      <c r="G513" s="164"/>
      <c r="H513" s="165"/>
    </row>
    <row r="514" spans="1:8" ht="15.5" x14ac:dyDescent="0.35">
      <c r="A514" s="118" t="s">
        <v>1310</v>
      </c>
      <c r="B514" s="118" t="s">
        <v>1285</v>
      </c>
      <c r="C514" s="118" t="s">
        <v>1311</v>
      </c>
      <c r="D514" s="201">
        <v>13.654</v>
      </c>
      <c r="E514" s="202">
        <v>3175</v>
      </c>
      <c r="F514" s="163"/>
      <c r="G514" s="164"/>
      <c r="H514" s="165"/>
    </row>
    <row r="515" spans="1:8" ht="15.5" x14ac:dyDescent="0.35">
      <c r="A515" s="118" t="s">
        <v>1312</v>
      </c>
      <c r="B515" s="118" t="s">
        <v>1285</v>
      </c>
      <c r="C515" s="118" t="s">
        <v>1313</v>
      </c>
      <c r="D515" s="201">
        <v>11.622</v>
      </c>
      <c r="E515" s="202">
        <v>2735</v>
      </c>
      <c r="F515" s="163"/>
      <c r="G515" s="164"/>
      <c r="H515" s="165"/>
    </row>
    <row r="516" spans="1:8" ht="15.5" x14ac:dyDescent="0.35">
      <c r="A516" s="118" t="s">
        <v>1314</v>
      </c>
      <c r="B516" s="118" t="s">
        <v>1285</v>
      </c>
      <c r="C516" s="118" t="s">
        <v>1315</v>
      </c>
      <c r="D516" s="201">
        <v>18.228000000000002</v>
      </c>
      <c r="E516" s="202">
        <v>3988</v>
      </c>
      <c r="F516" s="163"/>
      <c r="G516" s="164"/>
      <c r="H516" s="165"/>
    </row>
    <row r="517" spans="1:8" ht="15.5" x14ac:dyDescent="0.35">
      <c r="A517" s="118" t="s">
        <v>1316</v>
      </c>
      <c r="B517" s="118" t="s">
        <v>1285</v>
      </c>
      <c r="C517" s="118" t="s">
        <v>1317</v>
      </c>
      <c r="D517" s="201">
        <v>9.3339999999999996</v>
      </c>
      <c r="E517" s="202">
        <v>2656</v>
      </c>
      <c r="F517" s="163"/>
      <c r="G517" s="164"/>
      <c r="H517" s="165"/>
    </row>
    <row r="518" spans="1:8" ht="15.5" x14ac:dyDescent="0.35">
      <c r="A518" s="118" t="s">
        <v>1318</v>
      </c>
      <c r="B518" s="118" t="s">
        <v>1285</v>
      </c>
      <c r="C518" s="118" t="s">
        <v>1319</v>
      </c>
      <c r="D518" s="201">
        <v>18.056999999999999</v>
      </c>
      <c r="E518" s="202">
        <v>4658</v>
      </c>
      <c r="F518" s="163"/>
      <c r="G518" s="164"/>
      <c r="H518" s="165"/>
    </row>
    <row r="519" spans="1:8" ht="15.5" x14ac:dyDescent="0.35">
      <c r="A519" s="118" t="s">
        <v>1320</v>
      </c>
      <c r="B519" s="118" t="s">
        <v>1285</v>
      </c>
      <c r="C519" s="118" t="s">
        <v>1321</v>
      </c>
      <c r="D519" s="201">
        <v>10.9</v>
      </c>
      <c r="E519" s="202">
        <v>2736</v>
      </c>
      <c r="F519" s="163"/>
      <c r="G519" s="164"/>
      <c r="H519" s="165"/>
    </row>
    <row r="520" spans="1:8" ht="15.5" x14ac:dyDescent="0.35">
      <c r="A520" s="118" t="s">
        <v>1322</v>
      </c>
      <c r="B520" s="118" t="s">
        <v>1285</v>
      </c>
      <c r="C520" s="118" t="s">
        <v>1323</v>
      </c>
      <c r="D520" s="201">
        <v>20.724</v>
      </c>
      <c r="E520" s="202">
        <v>5080</v>
      </c>
      <c r="F520" s="163"/>
      <c r="G520" s="164"/>
      <c r="H520" s="165"/>
    </row>
    <row r="521" spans="1:8" ht="15.5" x14ac:dyDescent="0.35">
      <c r="A521" s="118" t="s">
        <v>1324</v>
      </c>
      <c r="B521" s="118" t="s">
        <v>1285</v>
      </c>
      <c r="C521" s="118" t="s">
        <v>1325</v>
      </c>
      <c r="D521" s="201">
        <v>15.785</v>
      </c>
      <c r="E521" s="202">
        <v>3805</v>
      </c>
      <c r="F521" s="163"/>
      <c r="G521" s="164"/>
      <c r="H521" s="165"/>
    </row>
    <row r="522" spans="1:8" ht="15.5" x14ac:dyDescent="0.35">
      <c r="A522" s="118" t="s">
        <v>1326</v>
      </c>
      <c r="B522" s="118" t="s">
        <v>1285</v>
      </c>
      <c r="C522" s="118" t="s">
        <v>1327</v>
      </c>
      <c r="D522" s="201">
        <v>22.120999999999999</v>
      </c>
      <c r="E522" s="202">
        <v>4836</v>
      </c>
      <c r="F522" s="163"/>
      <c r="G522" s="164"/>
      <c r="H522" s="165"/>
    </row>
    <row r="523" spans="1:8" ht="15.5" x14ac:dyDescent="0.35">
      <c r="A523" s="118" t="s">
        <v>1328</v>
      </c>
      <c r="B523" s="118" t="s">
        <v>1285</v>
      </c>
      <c r="C523" s="118" t="s">
        <v>1329</v>
      </c>
      <c r="D523" s="201">
        <v>10.663</v>
      </c>
      <c r="E523" s="202">
        <v>2743</v>
      </c>
      <c r="F523" s="163"/>
      <c r="G523" s="164"/>
      <c r="H523" s="165"/>
    </row>
    <row r="524" spans="1:8" ht="15.5" x14ac:dyDescent="0.35">
      <c r="A524" s="118" t="s">
        <v>1330</v>
      </c>
      <c r="B524" s="118" t="s">
        <v>1285</v>
      </c>
      <c r="C524" s="118" t="s">
        <v>1331</v>
      </c>
      <c r="D524" s="201">
        <v>22.390999999999998</v>
      </c>
      <c r="E524" s="202">
        <v>5345</v>
      </c>
      <c r="F524" s="163"/>
      <c r="G524" s="164"/>
      <c r="H524" s="165"/>
    </row>
    <row r="525" spans="1:8" ht="15.5" x14ac:dyDescent="0.35">
      <c r="A525" s="118" t="s">
        <v>1332</v>
      </c>
      <c r="B525" s="118" t="s">
        <v>1285</v>
      </c>
      <c r="C525" s="118" t="s">
        <v>1333</v>
      </c>
      <c r="D525" s="201">
        <v>18.861999999999998</v>
      </c>
      <c r="E525" s="202">
        <v>4372</v>
      </c>
      <c r="F525" s="163"/>
      <c r="G525" s="164"/>
      <c r="H525" s="165"/>
    </row>
    <row r="526" spans="1:8" ht="15.5" x14ac:dyDescent="0.35">
      <c r="A526" s="118" t="s">
        <v>1334</v>
      </c>
      <c r="B526" s="118" t="s">
        <v>1285</v>
      </c>
      <c r="C526" s="118" t="s">
        <v>1335</v>
      </c>
      <c r="D526" s="201">
        <v>15.611000000000001</v>
      </c>
      <c r="E526" s="202">
        <v>3815</v>
      </c>
      <c r="F526" s="163"/>
      <c r="G526" s="164"/>
      <c r="H526" s="165"/>
    </row>
    <row r="527" spans="1:8" ht="15.5" x14ac:dyDescent="0.35">
      <c r="A527" s="118" t="s">
        <v>1336</v>
      </c>
      <c r="B527" s="118" t="s">
        <v>1285</v>
      </c>
      <c r="C527" s="118" t="s">
        <v>1337</v>
      </c>
      <c r="D527" s="201">
        <v>15.673999999999999</v>
      </c>
      <c r="E527" s="202">
        <v>3658</v>
      </c>
      <c r="F527" s="163"/>
      <c r="G527" s="164"/>
      <c r="H527" s="165"/>
    </row>
    <row r="528" spans="1:8" ht="15.5" x14ac:dyDescent="0.35">
      <c r="A528" s="118" t="s">
        <v>1338</v>
      </c>
      <c r="B528" s="118" t="s">
        <v>1285</v>
      </c>
      <c r="C528" s="118" t="s">
        <v>1339</v>
      </c>
      <c r="D528" s="201">
        <v>31.347999999999999</v>
      </c>
      <c r="E528" s="202">
        <v>6913</v>
      </c>
      <c r="F528" s="163"/>
      <c r="G528" s="164"/>
      <c r="H528" s="165"/>
    </row>
    <row r="529" spans="1:8" ht="15.5" x14ac:dyDescent="0.35">
      <c r="A529" s="118" t="s">
        <v>1340</v>
      </c>
      <c r="B529" s="118" t="s">
        <v>1285</v>
      </c>
      <c r="C529" s="118" t="s">
        <v>1341</v>
      </c>
      <c r="D529" s="201">
        <v>17.751000000000001</v>
      </c>
      <c r="E529" s="202">
        <v>3532</v>
      </c>
      <c r="F529" s="163"/>
      <c r="G529" s="164"/>
      <c r="H529" s="165"/>
    </row>
    <row r="530" spans="1:8" ht="15.5" x14ac:dyDescent="0.35">
      <c r="A530" s="118" t="s">
        <v>1342</v>
      </c>
      <c r="B530" s="118" t="s">
        <v>1285</v>
      </c>
      <c r="C530" s="118" t="s">
        <v>1343</v>
      </c>
      <c r="D530" s="201">
        <v>25.068000000000001</v>
      </c>
      <c r="E530" s="202">
        <v>5690</v>
      </c>
      <c r="F530" s="163"/>
      <c r="G530" s="164"/>
      <c r="H530" s="165"/>
    </row>
    <row r="531" spans="1:8" ht="15.5" x14ac:dyDescent="0.35">
      <c r="A531" s="118" t="s">
        <v>1344</v>
      </c>
      <c r="B531" s="118" t="s">
        <v>1285</v>
      </c>
      <c r="C531" s="118" t="s">
        <v>1345</v>
      </c>
      <c r="D531" s="201">
        <v>19.731000000000002</v>
      </c>
      <c r="E531" s="202">
        <v>4086</v>
      </c>
      <c r="F531" s="163"/>
      <c r="G531" s="164"/>
      <c r="H531" s="165"/>
    </row>
    <row r="532" spans="1:8" ht="15.5" x14ac:dyDescent="0.35">
      <c r="A532" s="118" t="s">
        <v>1346</v>
      </c>
      <c r="B532" s="118" t="s">
        <v>1285</v>
      </c>
      <c r="C532" s="118" t="s">
        <v>1347</v>
      </c>
      <c r="D532" s="201">
        <v>13.959</v>
      </c>
      <c r="E532" s="202">
        <v>3341</v>
      </c>
      <c r="F532" s="163"/>
      <c r="G532" s="164"/>
      <c r="H532" s="165"/>
    </row>
    <row r="533" spans="1:8" ht="15.5" x14ac:dyDescent="0.35">
      <c r="A533" s="118" t="s">
        <v>1348</v>
      </c>
      <c r="B533" s="118" t="s">
        <v>1285</v>
      </c>
      <c r="C533" s="118" t="s">
        <v>1349</v>
      </c>
      <c r="D533" s="201">
        <v>21.175000000000001</v>
      </c>
      <c r="E533" s="202">
        <v>5381</v>
      </c>
      <c r="F533" s="163"/>
      <c r="G533" s="164"/>
      <c r="H533" s="165"/>
    </row>
    <row r="534" spans="1:8" ht="15.5" x14ac:dyDescent="0.35">
      <c r="A534" s="118" t="s">
        <v>1350</v>
      </c>
      <c r="B534" s="118" t="s">
        <v>1285</v>
      </c>
      <c r="C534" s="118" t="s">
        <v>1351</v>
      </c>
      <c r="D534" s="201">
        <v>14.879</v>
      </c>
      <c r="E534" s="202">
        <v>5154</v>
      </c>
      <c r="F534" s="163"/>
      <c r="G534" s="164"/>
      <c r="H534" s="165"/>
    </row>
    <row r="535" spans="1:8" ht="15.5" x14ac:dyDescent="0.35">
      <c r="A535" s="118" t="s">
        <v>1352</v>
      </c>
      <c r="B535" s="118" t="s">
        <v>1285</v>
      </c>
      <c r="C535" s="118" t="s">
        <v>1353</v>
      </c>
      <c r="D535" s="201">
        <v>6.0220000000000002</v>
      </c>
      <c r="E535" s="202">
        <v>1787</v>
      </c>
      <c r="F535" s="163"/>
      <c r="G535" s="164"/>
      <c r="H535" s="165"/>
    </row>
    <row r="536" spans="1:8" ht="15.5" x14ac:dyDescent="0.35">
      <c r="A536" s="118" t="s">
        <v>1354</v>
      </c>
      <c r="B536" s="118" t="s">
        <v>1285</v>
      </c>
      <c r="C536" s="118" t="s">
        <v>1355</v>
      </c>
      <c r="D536" s="201">
        <v>11.087</v>
      </c>
      <c r="E536" s="202">
        <v>3349</v>
      </c>
      <c r="F536" s="163"/>
      <c r="G536" s="164"/>
      <c r="H536" s="165"/>
    </row>
    <row r="537" spans="1:8" ht="15.5" x14ac:dyDescent="0.35">
      <c r="A537" s="118" t="s">
        <v>1356</v>
      </c>
      <c r="B537" s="118" t="s">
        <v>1285</v>
      </c>
      <c r="C537" s="118" t="s">
        <v>1357</v>
      </c>
      <c r="D537" s="201">
        <v>18.042000000000002</v>
      </c>
      <c r="E537" s="202">
        <v>4053</v>
      </c>
      <c r="F537" s="163"/>
      <c r="G537" s="164"/>
      <c r="H537" s="165"/>
    </row>
    <row r="538" spans="1:8" ht="15.5" x14ac:dyDescent="0.35">
      <c r="A538" s="118" t="s">
        <v>1358</v>
      </c>
      <c r="B538" s="118" t="s">
        <v>1285</v>
      </c>
      <c r="C538" s="118" t="s">
        <v>1359</v>
      </c>
      <c r="D538" s="201">
        <v>17.917000000000002</v>
      </c>
      <c r="E538" s="202">
        <v>3685</v>
      </c>
      <c r="F538" s="163"/>
      <c r="G538" s="164"/>
      <c r="H538" s="165"/>
    </row>
    <row r="539" spans="1:8" ht="15.5" x14ac:dyDescent="0.35">
      <c r="A539" s="118" t="s">
        <v>1360</v>
      </c>
      <c r="B539" s="118" t="s">
        <v>1285</v>
      </c>
      <c r="C539" s="118" t="s">
        <v>1361</v>
      </c>
      <c r="D539" s="201">
        <v>25.192</v>
      </c>
      <c r="E539" s="202">
        <v>5944</v>
      </c>
      <c r="F539" s="163"/>
      <c r="G539" s="164"/>
      <c r="H539" s="165"/>
    </row>
    <row r="540" spans="1:8" ht="15.5" x14ac:dyDescent="0.35">
      <c r="A540" s="118" t="s">
        <v>1362</v>
      </c>
      <c r="B540" s="118" t="s">
        <v>1285</v>
      </c>
      <c r="C540" s="118" t="s">
        <v>1363</v>
      </c>
      <c r="D540" s="201">
        <v>13.585000000000001</v>
      </c>
      <c r="E540" s="202">
        <v>3429</v>
      </c>
      <c r="F540" s="163"/>
      <c r="G540" s="164"/>
      <c r="H540" s="165"/>
    </row>
    <row r="541" spans="1:8" ht="15.5" x14ac:dyDescent="0.35">
      <c r="A541" s="118" t="s">
        <v>1364</v>
      </c>
      <c r="B541" s="118" t="s">
        <v>1285</v>
      </c>
      <c r="C541" s="118" t="s">
        <v>1365</v>
      </c>
      <c r="D541" s="201">
        <v>22.542999999999999</v>
      </c>
      <c r="E541" s="202">
        <v>5313</v>
      </c>
      <c r="F541" s="163"/>
      <c r="G541" s="164"/>
      <c r="H541" s="165"/>
    </row>
    <row r="542" spans="1:8" ht="15.5" x14ac:dyDescent="0.35">
      <c r="A542" s="118" t="s">
        <v>1366</v>
      </c>
      <c r="B542" s="118" t="s">
        <v>1285</v>
      </c>
      <c r="C542" s="118" t="s">
        <v>1367</v>
      </c>
      <c r="D542" s="201">
        <v>18.516999999999999</v>
      </c>
      <c r="E542" s="202">
        <v>4608</v>
      </c>
      <c r="F542" s="163"/>
      <c r="G542" s="164"/>
      <c r="H542" s="165"/>
    </row>
    <row r="543" spans="1:8" ht="15.5" x14ac:dyDescent="0.35">
      <c r="A543" s="118" t="s">
        <v>1368</v>
      </c>
      <c r="B543" s="118" t="s">
        <v>1285</v>
      </c>
      <c r="C543" s="118" t="s">
        <v>1369</v>
      </c>
      <c r="D543" s="201">
        <v>15.773999999999999</v>
      </c>
      <c r="E543" s="202">
        <v>3872</v>
      </c>
      <c r="F543" s="163"/>
      <c r="G543" s="164"/>
      <c r="H543" s="165"/>
    </row>
    <row r="544" spans="1:8" ht="15.5" x14ac:dyDescent="0.35">
      <c r="A544" s="118" t="s">
        <v>1370</v>
      </c>
      <c r="B544" s="118" t="s">
        <v>1285</v>
      </c>
      <c r="C544" s="118" t="s">
        <v>1371</v>
      </c>
      <c r="D544" s="201">
        <v>21.411999999999999</v>
      </c>
      <c r="E544" s="202">
        <v>5095</v>
      </c>
      <c r="F544" s="163"/>
      <c r="G544" s="164"/>
      <c r="H544" s="165"/>
    </row>
    <row r="545" spans="1:8" ht="15.5" x14ac:dyDescent="0.35">
      <c r="A545" s="118" t="s">
        <v>1372</v>
      </c>
      <c r="B545" s="118" t="s">
        <v>1285</v>
      </c>
      <c r="C545" s="118" t="s">
        <v>1373</v>
      </c>
      <c r="D545" s="201">
        <v>23.193999999999999</v>
      </c>
      <c r="E545" s="202">
        <v>5416</v>
      </c>
      <c r="F545" s="163"/>
      <c r="G545" s="164"/>
      <c r="H545" s="165"/>
    </row>
    <row r="546" spans="1:8" ht="15.5" x14ac:dyDescent="0.35">
      <c r="A546" s="118" t="s">
        <v>1374</v>
      </c>
      <c r="B546" s="118" t="s">
        <v>1285</v>
      </c>
      <c r="C546" s="118" t="s">
        <v>1375</v>
      </c>
      <c r="D546" s="201">
        <v>16.832999999999998</v>
      </c>
      <c r="E546" s="202">
        <v>4043</v>
      </c>
      <c r="F546" s="163"/>
      <c r="G546" s="164"/>
      <c r="H546" s="165"/>
    </row>
    <row r="547" spans="1:8" ht="15.5" x14ac:dyDescent="0.35">
      <c r="A547" s="118" t="s">
        <v>1376</v>
      </c>
      <c r="B547" s="118" t="s">
        <v>1285</v>
      </c>
      <c r="C547" s="118" t="s">
        <v>1377</v>
      </c>
      <c r="D547" s="201">
        <v>11.170999999999999</v>
      </c>
      <c r="E547" s="202">
        <v>2613</v>
      </c>
      <c r="F547" s="163"/>
      <c r="G547" s="164"/>
      <c r="H547" s="165"/>
    </row>
    <row r="548" spans="1:8" ht="15.5" x14ac:dyDescent="0.35">
      <c r="A548" s="118" t="s">
        <v>1378</v>
      </c>
      <c r="B548" s="118" t="s">
        <v>1285</v>
      </c>
      <c r="C548" s="118" t="s">
        <v>1379</v>
      </c>
      <c r="D548" s="201">
        <v>11.698</v>
      </c>
      <c r="E548" s="202">
        <v>3048</v>
      </c>
      <c r="F548" s="163"/>
      <c r="G548" s="164"/>
      <c r="H548" s="165"/>
    </row>
    <row r="549" spans="1:8" ht="15.5" x14ac:dyDescent="0.35">
      <c r="A549" s="118" t="s">
        <v>1380</v>
      </c>
      <c r="B549" s="118" t="s">
        <v>1285</v>
      </c>
      <c r="C549" s="118" t="s">
        <v>1381</v>
      </c>
      <c r="D549" s="201">
        <v>18.363</v>
      </c>
      <c r="E549" s="202">
        <v>4658</v>
      </c>
      <c r="F549" s="163"/>
      <c r="G549" s="164"/>
      <c r="H549" s="165"/>
    </row>
    <row r="550" spans="1:8" ht="15.5" x14ac:dyDescent="0.35">
      <c r="A550" s="118" t="s">
        <v>1382</v>
      </c>
      <c r="B550" s="118" t="s">
        <v>1285</v>
      </c>
      <c r="C550" s="118" t="s">
        <v>1383</v>
      </c>
      <c r="D550" s="201">
        <v>13.82</v>
      </c>
      <c r="E550" s="202">
        <v>3573</v>
      </c>
      <c r="F550" s="163"/>
      <c r="G550" s="164"/>
      <c r="H550" s="165"/>
    </row>
    <row r="551" spans="1:8" ht="15.5" x14ac:dyDescent="0.35">
      <c r="A551" s="118" t="s">
        <v>1384</v>
      </c>
      <c r="B551" s="118" t="s">
        <v>1285</v>
      </c>
      <c r="C551" s="118" t="s">
        <v>1385</v>
      </c>
      <c r="D551" s="201">
        <v>17.344000000000001</v>
      </c>
      <c r="E551" s="202">
        <v>4133</v>
      </c>
      <c r="F551" s="163"/>
      <c r="G551" s="164"/>
      <c r="H551" s="165"/>
    </row>
    <row r="552" spans="1:8" ht="15.5" x14ac:dyDescent="0.35">
      <c r="A552" s="118" t="s">
        <v>1386</v>
      </c>
      <c r="B552" s="118" t="s">
        <v>1285</v>
      </c>
      <c r="C552" s="118" t="s">
        <v>1387</v>
      </c>
      <c r="D552" s="201">
        <v>25.619</v>
      </c>
      <c r="E552" s="202">
        <v>5908</v>
      </c>
      <c r="F552" s="163"/>
      <c r="G552" s="164"/>
      <c r="H552" s="165"/>
    </row>
    <row r="553" spans="1:8" ht="15.5" x14ac:dyDescent="0.35">
      <c r="A553" s="118" t="s">
        <v>1388</v>
      </c>
      <c r="B553" s="118" t="s">
        <v>1285</v>
      </c>
      <c r="C553" s="118" t="s">
        <v>1389</v>
      </c>
      <c r="D553" s="201">
        <v>8.5470000000000006</v>
      </c>
      <c r="E553" s="202">
        <v>2161</v>
      </c>
      <c r="F553" s="163"/>
      <c r="G553" s="164"/>
      <c r="H553" s="165"/>
    </row>
    <row r="554" spans="1:8" ht="15.5" x14ac:dyDescent="0.35">
      <c r="A554" s="118" t="s">
        <v>1390</v>
      </c>
      <c r="B554" s="118" t="s">
        <v>1285</v>
      </c>
      <c r="C554" s="118" t="s">
        <v>1391</v>
      </c>
      <c r="D554" s="201">
        <v>28.236000000000001</v>
      </c>
      <c r="E554" s="202">
        <v>6289</v>
      </c>
      <c r="F554" s="163"/>
      <c r="G554" s="164"/>
      <c r="H554" s="165"/>
    </row>
    <row r="555" spans="1:8" ht="15.5" x14ac:dyDescent="0.35">
      <c r="A555" s="118" t="s">
        <v>1392</v>
      </c>
      <c r="B555" s="118" t="s">
        <v>1285</v>
      </c>
      <c r="C555" s="118" t="s">
        <v>1393</v>
      </c>
      <c r="D555" s="201">
        <v>20.186</v>
      </c>
      <c r="E555" s="202">
        <v>4504</v>
      </c>
      <c r="F555" s="163"/>
      <c r="G555" s="164"/>
      <c r="H555" s="165"/>
    </row>
    <row r="556" spans="1:8" ht="15.5" x14ac:dyDescent="0.35">
      <c r="A556" s="118" t="s">
        <v>1394</v>
      </c>
      <c r="B556" s="118" t="s">
        <v>1285</v>
      </c>
      <c r="C556" s="118" t="s">
        <v>1395</v>
      </c>
      <c r="D556" s="201">
        <v>24.053000000000001</v>
      </c>
      <c r="E556" s="202">
        <v>5583</v>
      </c>
      <c r="F556" s="163"/>
      <c r="G556" s="164"/>
      <c r="H556" s="165"/>
    </row>
    <row r="557" spans="1:8" ht="15.5" x14ac:dyDescent="0.35">
      <c r="A557" s="118" t="s">
        <v>1396</v>
      </c>
      <c r="B557" s="118" t="s">
        <v>1285</v>
      </c>
      <c r="C557" s="118" t="s">
        <v>1397</v>
      </c>
      <c r="D557" s="201">
        <v>23.756</v>
      </c>
      <c r="E557" s="202">
        <v>4857</v>
      </c>
      <c r="F557" s="163"/>
      <c r="G557" s="164"/>
      <c r="H557" s="165"/>
    </row>
    <row r="558" spans="1:8" ht="15.5" x14ac:dyDescent="0.35">
      <c r="A558" s="118" t="s">
        <v>1398</v>
      </c>
      <c r="B558" s="118" t="s">
        <v>1285</v>
      </c>
      <c r="C558" s="118" t="s">
        <v>1399</v>
      </c>
      <c r="D558" s="201">
        <v>13.502000000000001</v>
      </c>
      <c r="E558" s="202">
        <v>4205</v>
      </c>
      <c r="F558" s="163"/>
      <c r="G558" s="164"/>
      <c r="H558" s="165"/>
    </row>
    <row r="559" spans="1:8" ht="15.5" x14ac:dyDescent="0.35">
      <c r="A559" s="118" t="s">
        <v>1400</v>
      </c>
      <c r="B559" s="118" t="s">
        <v>1285</v>
      </c>
      <c r="C559" s="118" t="s">
        <v>1401</v>
      </c>
      <c r="D559" s="201">
        <v>18.510999999999999</v>
      </c>
      <c r="E559" s="202">
        <v>4270</v>
      </c>
      <c r="F559" s="163"/>
      <c r="G559" s="164"/>
      <c r="H559" s="165"/>
    </row>
    <row r="560" spans="1:8" ht="15.5" x14ac:dyDescent="0.35">
      <c r="A560" s="203" t="s">
        <v>1402</v>
      </c>
      <c r="B560" s="203" t="s">
        <v>1403</v>
      </c>
      <c r="C560" s="118"/>
      <c r="D560" s="201">
        <v>0</v>
      </c>
      <c r="E560" s="202">
        <v>0</v>
      </c>
      <c r="F560" s="163"/>
      <c r="G560" s="164"/>
      <c r="H560" s="165"/>
    </row>
    <row r="561" spans="1:8" ht="15.5" x14ac:dyDescent="0.35">
      <c r="A561" s="118" t="s">
        <v>1404</v>
      </c>
      <c r="B561" s="118" t="s">
        <v>1403</v>
      </c>
      <c r="C561" s="118" t="s">
        <v>1405</v>
      </c>
      <c r="D561" s="201">
        <v>9.7850000000000001</v>
      </c>
      <c r="E561" s="202">
        <v>2741</v>
      </c>
      <c r="F561" s="163"/>
      <c r="G561" s="164"/>
      <c r="H561" s="165"/>
    </row>
    <row r="562" spans="1:8" ht="15.5" x14ac:dyDescent="0.35">
      <c r="A562" s="118" t="s">
        <v>1406</v>
      </c>
      <c r="B562" s="118" t="s">
        <v>1403</v>
      </c>
      <c r="C562" s="118" t="s">
        <v>1407</v>
      </c>
      <c r="D562" s="201">
        <v>13.206</v>
      </c>
      <c r="E562" s="202">
        <v>3518</v>
      </c>
      <c r="F562" s="163"/>
      <c r="G562" s="164"/>
      <c r="H562" s="165"/>
    </row>
    <row r="563" spans="1:8" ht="15.5" x14ac:dyDescent="0.35">
      <c r="A563" s="118" t="s">
        <v>1408</v>
      </c>
      <c r="B563" s="118" t="s">
        <v>1403</v>
      </c>
      <c r="C563" s="118" t="s">
        <v>1409</v>
      </c>
      <c r="D563" s="201">
        <v>15.666</v>
      </c>
      <c r="E563" s="202">
        <v>3710</v>
      </c>
      <c r="F563" s="163"/>
      <c r="G563" s="164"/>
      <c r="H563" s="165"/>
    </row>
    <row r="564" spans="1:8" ht="15.5" x14ac:dyDescent="0.35">
      <c r="A564" s="118" t="s">
        <v>1410</v>
      </c>
      <c r="B564" s="118" t="s">
        <v>1403</v>
      </c>
      <c r="C564" s="118" t="s">
        <v>1411</v>
      </c>
      <c r="D564" s="201">
        <v>7.907</v>
      </c>
      <c r="E564" s="202">
        <v>2552</v>
      </c>
      <c r="F564" s="163"/>
      <c r="G564" s="164"/>
      <c r="H564" s="165"/>
    </row>
    <row r="565" spans="1:8" ht="15.5" x14ac:dyDescent="0.35">
      <c r="A565" s="118" t="s">
        <v>1412</v>
      </c>
      <c r="B565" s="118" t="s">
        <v>1403</v>
      </c>
      <c r="C565" s="118" t="s">
        <v>1413</v>
      </c>
      <c r="D565" s="201">
        <v>25.218</v>
      </c>
      <c r="E565" s="202">
        <v>5692</v>
      </c>
      <c r="F565" s="163"/>
      <c r="G565" s="164"/>
      <c r="H565" s="165"/>
    </row>
    <row r="566" spans="1:8" ht="15.5" x14ac:dyDescent="0.35">
      <c r="A566" s="118" t="s">
        <v>1414</v>
      </c>
      <c r="B566" s="118" t="s">
        <v>1403</v>
      </c>
      <c r="C566" s="118" t="s">
        <v>1415</v>
      </c>
      <c r="D566" s="201">
        <v>9.6660000000000004</v>
      </c>
      <c r="E566" s="202">
        <v>2503</v>
      </c>
      <c r="F566" s="163"/>
      <c r="G566" s="164"/>
      <c r="H566" s="165"/>
    </row>
    <row r="567" spans="1:8" ht="15.5" x14ac:dyDescent="0.35">
      <c r="A567" s="118" t="s">
        <v>1416</v>
      </c>
      <c r="B567" s="118" t="s">
        <v>1403</v>
      </c>
      <c r="C567" s="118" t="s">
        <v>1417</v>
      </c>
      <c r="D567" s="201">
        <v>28.024999999999999</v>
      </c>
      <c r="E567" s="202">
        <v>6267</v>
      </c>
      <c r="F567" s="163"/>
      <c r="G567" s="164"/>
      <c r="H567" s="165"/>
    </row>
    <row r="568" spans="1:8" ht="15.5" x14ac:dyDescent="0.35">
      <c r="A568" s="118" t="s">
        <v>1418</v>
      </c>
      <c r="B568" s="118" t="s">
        <v>1403</v>
      </c>
      <c r="C568" s="118" t="s">
        <v>1419</v>
      </c>
      <c r="D568" s="201">
        <v>9.3309999999999995</v>
      </c>
      <c r="E568" s="202">
        <v>2701</v>
      </c>
      <c r="F568" s="163"/>
      <c r="G568" s="164"/>
      <c r="H568" s="165"/>
    </row>
    <row r="569" spans="1:8" ht="15.5" x14ac:dyDescent="0.35">
      <c r="A569" s="118" t="s">
        <v>1420</v>
      </c>
      <c r="B569" s="118" t="s">
        <v>1403</v>
      </c>
      <c r="C569" s="118" t="s">
        <v>1421</v>
      </c>
      <c r="D569" s="201">
        <v>7.2610000000000001</v>
      </c>
      <c r="E569" s="202">
        <v>2189</v>
      </c>
      <c r="F569" s="163"/>
      <c r="G569" s="164"/>
      <c r="H569" s="165"/>
    </row>
    <row r="570" spans="1:8" ht="15.5" x14ac:dyDescent="0.35">
      <c r="A570" s="118" t="s">
        <v>1422</v>
      </c>
      <c r="B570" s="118" t="s">
        <v>1403</v>
      </c>
      <c r="C570" s="118" t="s">
        <v>1423</v>
      </c>
      <c r="D570" s="201">
        <v>7.6079999999999997</v>
      </c>
      <c r="E570" s="202">
        <v>1943</v>
      </c>
      <c r="F570" s="163"/>
      <c r="G570" s="164"/>
      <c r="H570" s="165"/>
    </row>
    <row r="571" spans="1:8" ht="15.5" x14ac:dyDescent="0.35">
      <c r="A571" s="118" t="s">
        <v>1424</v>
      </c>
      <c r="B571" s="118" t="s">
        <v>1403</v>
      </c>
      <c r="C571" s="118" t="s">
        <v>1425</v>
      </c>
      <c r="D571" s="201">
        <v>7.4550000000000001</v>
      </c>
      <c r="E571" s="202">
        <v>2011</v>
      </c>
      <c r="F571" s="163"/>
      <c r="G571" s="164"/>
      <c r="H571" s="165"/>
    </row>
    <row r="572" spans="1:8" ht="15.5" x14ac:dyDescent="0.35">
      <c r="A572" s="118" t="s">
        <v>1426</v>
      </c>
      <c r="B572" s="118" t="s">
        <v>1403</v>
      </c>
      <c r="C572" s="118" t="s">
        <v>1427</v>
      </c>
      <c r="D572" s="201">
        <v>8.0809999999999995</v>
      </c>
      <c r="E572" s="202">
        <v>2072</v>
      </c>
      <c r="F572" s="163"/>
      <c r="G572" s="164"/>
      <c r="H572" s="165"/>
    </row>
    <row r="573" spans="1:8" ht="15.5" x14ac:dyDescent="0.35">
      <c r="A573" s="118" t="s">
        <v>1428</v>
      </c>
      <c r="B573" s="118" t="s">
        <v>1403</v>
      </c>
      <c r="C573" s="118" t="s">
        <v>1429</v>
      </c>
      <c r="D573" s="201">
        <v>35.576999999999998</v>
      </c>
      <c r="E573" s="202">
        <v>7907</v>
      </c>
      <c r="F573" s="163"/>
      <c r="G573" s="164"/>
      <c r="H573" s="165"/>
    </row>
    <row r="574" spans="1:8" ht="15.5" x14ac:dyDescent="0.35">
      <c r="A574" s="118" t="s">
        <v>1430</v>
      </c>
      <c r="B574" s="118" t="s">
        <v>1403</v>
      </c>
      <c r="C574" s="118" t="s">
        <v>1431</v>
      </c>
      <c r="D574" s="201">
        <v>24.341000000000001</v>
      </c>
      <c r="E574" s="202">
        <v>6015</v>
      </c>
      <c r="F574" s="163"/>
      <c r="G574" s="164"/>
      <c r="H574" s="165"/>
    </row>
    <row r="575" spans="1:8" ht="15.5" x14ac:dyDescent="0.35">
      <c r="A575" s="118" t="s">
        <v>1432</v>
      </c>
      <c r="B575" s="118" t="s">
        <v>1403</v>
      </c>
      <c r="C575" s="118" t="s">
        <v>1433</v>
      </c>
      <c r="D575" s="201">
        <v>13.523999999999999</v>
      </c>
      <c r="E575" s="202">
        <v>3599</v>
      </c>
      <c r="F575" s="163"/>
      <c r="G575" s="164"/>
      <c r="H575" s="165"/>
    </row>
    <row r="576" spans="1:8" ht="15.5" x14ac:dyDescent="0.35">
      <c r="A576" s="118" t="s">
        <v>1434</v>
      </c>
      <c r="B576" s="118" t="s">
        <v>1403</v>
      </c>
      <c r="C576" s="118" t="s">
        <v>1435</v>
      </c>
      <c r="D576" s="201">
        <v>26.257000000000001</v>
      </c>
      <c r="E576" s="202">
        <v>6043</v>
      </c>
      <c r="F576" s="163"/>
      <c r="G576" s="164"/>
      <c r="H576" s="165"/>
    </row>
    <row r="577" spans="1:8" ht="15.5" x14ac:dyDescent="0.35">
      <c r="A577" s="118" t="s">
        <v>1436</v>
      </c>
      <c r="B577" s="118" t="s">
        <v>1403</v>
      </c>
      <c r="C577" s="118" t="s">
        <v>1437</v>
      </c>
      <c r="D577" s="201">
        <v>13.641</v>
      </c>
      <c r="E577" s="202">
        <v>3248</v>
      </c>
      <c r="F577" s="163"/>
      <c r="G577" s="164"/>
      <c r="H577" s="165"/>
    </row>
    <row r="578" spans="1:8" ht="15.5" x14ac:dyDescent="0.35">
      <c r="A578" s="118" t="s">
        <v>1438</v>
      </c>
      <c r="B578" s="118" t="s">
        <v>1403</v>
      </c>
      <c r="C578" s="118" t="s">
        <v>1439</v>
      </c>
      <c r="D578" s="201">
        <v>14.518000000000001</v>
      </c>
      <c r="E578" s="202">
        <v>3385</v>
      </c>
      <c r="F578" s="163"/>
      <c r="G578" s="164"/>
      <c r="H578" s="165"/>
    </row>
    <row r="579" spans="1:8" ht="15.5" x14ac:dyDescent="0.35">
      <c r="A579" s="118" t="s">
        <v>1440</v>
      </c>
      <c r="B579" s="118" t="s">
        <v>1403</v>
      </c>
      <c r="C579" s="118" t="s">
        <v>1441</v>
      </c>
      <c r="D579" s="201">
        <v>7.9029999999999996</v>
      </c>
      <c r="E579" s="202">
        <v>2256</v>
      </c>
      <c r="F579" s="163"/>
      <c r="G579" s="164"/>
      <c r="H579" s="165"/>
    </row>
    <row r="580" spans="1:8" ht="15.5" x14ac:dyDescent="0.35">
      <c r="A580" s="118" t="s">
        <v>1442</v>
      </c>
      <c r="B580" s="118" t="s">
        <v>1403</v>
      </c>
      <c r="C580" s="118" t="s">
        <v>1443</v>
      </c>
      <c r="D580" s="201">
        <v>27.652000000000001</v>
      </c>
      <c r="E580" s="202">
        <v>6216</v>
      </c>
      <c r="F580" s="163"/>
      <c r="G580" s="164"/>
      <c r="H580" s="165"/>
    </row>
    <row r="581" spans="1:8" ht="15.5" x14ac:dyDescent="0.35">
      <c r="A581" s="118" t="s">
        <v>1444</v>
      </c>
      <c r="B581" s="118" t="s">
        <v>1403</v>
      </c>
      <c r="C581" s="118" t="s">
        <v>1445</v>
      </c>
      <c r="D581" s="201">
        <v>24.457999999999998</v>
      </c>
      <c r="E581" s="202">
        <v>6001</v>
      </c>
      <c r="F581" s="163"/>
      <c r="G581" s="164"/>
      <c r="H581" s="165"/>
    </row>
    <row r="582" spans="1:8" ht="15.5" x14ac:dyDescent="0.35">
      <c r="A582" s="118" t="s">
        <v>1446</v>
      </c>
      <c r="B582" s="118" t="s">
        <v>1403</v>
      </c>
      <c r="C582" s="118" t="s">
        <v>1447</v>
      </c>
      <c r="D582" s="201">
        <v>25.826000000000001</v>
      </c>
      <c r="E582" s="202">
        <v>6624</v>
      </c>
      <c r="F582" s="163"/>
      <c r="G582" s="164"/>
      <c r="H582" s="165"/>
    </row>
    <row r="583" spans="1:8" ht="15.5" x14ac:dyDescent="0.35">
      <c r="A583" s="118" t="s">
        <v>1448</v>
      </c>
      <c r="B583" s="118" t="s">
        <v>1403</v>
      </c>
      <c r="C583" s="118" t="s">
        <v>1449</v>
      </c>
      <c r="D583" s="201">
        <v>11.552</v>
      </c>
      <c r="E583" s="202">
        <v>3074</v>
      </c>
      <c r="F583" s="163"/>
      <c r="G583" s="164"/>
      <c r="H583" s="165"/>
    </row>
    <row r="584" spans="1:8" ht="15.5" x14ac:dyDescent="0.35">
      <c r="A584" s="118" t="s">
        <v>1450</v>
      </c>
      <c r="B584" s="118" t="s">
        <v>1403</v>
      </c>
      <c r="C584" s="118" t="s">
        <v>1451</v>
      </c>
      <c r="D584" s="201">
        <v>10.103999999999999</v>
      </c>
      <c r="E584" s="202">
        <v>2931</v>
      </c>
      <c r="F584" s="163"/>
      <c r="G584" s="164"/>
      <c r="H584" s="165"/>
    </row>
    <row r="585" spans="1:8" ht="15.5" x14ac:dyDescent="0.35">
      <c r="A585" s="118" t="s">
        <v>1452</v>
      </c>
      <c r="B585" s="118" t="s">
        <v>1403</v>
      </c>
      <c r="C585" s="118" t="s">
        <v>1453</v>
      </c>
      <c r="D585" s="201">
        <v>8.9510000000000005</v>
      </c>
      <c r="E585" s="202">
        <v>2393</v>
      </c>
      <c r="F585" s="163"/>
      <c r="G585" s="164"/>
      <c r="H585" s="165"/>
    </row>
    <row r="586" spans="1:8" ht="15.5" x14ac:dyDescent="0.35">
      <c r="A586" s="118" t="s">
        <v>1454</v>
      </c>
      <c r="B586" s="118" t="s">
        <v>1403</v>
      </c>
      <c r="C586" s="118" t="s">
        <v>1455</v>
      </c>
      <c r="D586" s="201">
        <v>10.371</v>
      </c>
      <c r="E586" s="202">
        <v>2817</v>
      </c>
      <c r="F586" s="163"/>
      <c r="G586" s="164"/>
      <c r="H586" s="165"/>
    </row>
    <row r="587" spans="1:8" ht="15.5" x14ac:dyDescent="0.35">
      <c r="A587" s="118" t="s">
        <v>1456</v>
      </c>
      <c r="B587" s="118" t="s">
        <v>1403</v>
      </c>
      <c r="C587" s="118" t="s">
        <v>1457</v>
      </c>
      <c r="D587" s="201">
        <v>8.0579999999999998</v>
      </c>
      <c r="E587" s="202">
        <v>2505</v>
      </c>
      <c r="F587" s="163"/>
      <c r="G587" s="164"/>
      <c r="H587" s="165"/>
    </row>
    <row r="588" spans="1:8" ht="15.5" x14ac:dyDescent="0.35">
      <c r="A588" s="118" t="s">
        <v>1458</v>
      </c>
      <c r="B588" s="118" t="s">
        <v>1403</v>
      </c>
      <c r="C588" s="118" t="s">
        <v>1459</v>
      </c>
      <c r="D588" s="201">
        <v>7.3360000000000003</v>
      </c>
      <c r="E588" s="202">
        <v>1980</v>
      </c>
      <c r="F588" s="163"/>
      <c r="G588" s="164"/>
      <c r="H588" s="165"/>
    </row>
    <row r="589" spans="1:8" ht="15.5" x14ac:dyDescent="0.35">
      <c r="A589" s="118" t="s">
        <v>1460</v>
      </c>
      <c r="B589" s="118" t="s">
        <v>1403</v>
      </c>
      <c r="C589" s="118" t="s">
        <v>1461</v>
      </c>
      <c r="D589" s="201">
        <v>10.366</v>
      </c>
      <c r="E589" s="202">
        <v>3047</v>
      </c>
      <c r="F589" s="163"/>
      <c r="G589" s="164"/>
      <c r="H589" s="165"/>
    </row>
    <row r="590" spans="1:8" ht="15.5" x14ac:dyDescent="0.35">
      <c r="A590" s="118" t="s">
        <v>1462</v>
      </c>
      <c r="B590" s="118" t="s">
        <v>1403</v>
      </c>
      <c r="C590" s="118" t="s">
        <v>1463</v>
      </c>
      <c r="D590" s="201">
        <v>13.629</v>
      </c>
      <c r="E590" s="202">
        <v>3224</v>
      </c>
      <c r="F590" s="163"/>
      <c r="G590" s="164"/>
      <c r="H590" s="165"/>
    </row>
    <row r="591" spans="1:8" ht="15.5" x14ac:dyDescent="0.35">
      <c r="A591" s="118" t="s">
        <v>1464</v>
      </c>
      <c r="B591" s="118" t="s">
        <v>1403</v>
      </c>
      <c r="C591" s="118" t="s">
        <v>1465</v>
      </c>
      <c r="D591" s="201">
        <v>12.663</v>
      </c>
      <c r="E591" s="202">
        <v>4276</v>
      </c>
      <c r="F591" s="163"/>
      <c r="G591" s="164"/>
      <c r="H591" s="165"/>
    </row>
    <row r="592" spans="1:8" ht="15.5" x14ac:dyDescent="0.35">
      <c r="A592" s="118" t="s">
        <v>1466</v>
      </c>
      <c r="B592" s="118" t="s">
        <v>1403</v>
      </c>
      <c r="C592" s="118" t="s">
        <v>1467</v>
      </c>
      <c r="D592" s="201">
        <v>22.954000000000001</v>
      </c>
      <c r="E592" s="202">
        <v>5959</v>
      </c>
      <c r="F592" s="163"/>
      <c r="G592" s="164"/>
      <c r="H592" s="165"/>
    </row>
    <row r="593" spans="1:8" ht="15.5" x14ac:dyDescent="0.35">
      <c r="A593" s="203" t="s">
        <v>1468</v>
      </c>
      <c r="B593" s="203" t="s">
        <v>1469</v>
      </c>
      <c r="C593" s="118"/>
      <c r="D593" s="201">
        <v>0</v>
      </c>
      <c r="E593" s="202">
        <v>0</v>
      </c>
      <c r="F593" s="163"/>
      <c r="G593" s="164"/>
      <c r="H593" s="165"/>
    </row>
    <row r="594" spans="1:8" ht="15.5" x14ac:dyDescent="0.35">
      <c r="A594" s="118" t="s">
        <v>1470</v>
      </c>
      <c r="B594" s="118" t="s">
        <v>1469</v>
      </c>
      <c r="C594" s="118" t="s">
        <v>1471</v>
      </c>
      <c r="D594" s="201">
        <v>5.8419999999999996</v>
      </c>
      <c r="E594" s="202">
        <v>1557</v>
      </c>
      <c r="F594" s="163"/>
      <c r="G594" s="164"/>
      <c r="H594" s="165"/>
    </row>
    <row r="595" spans="1:8" ht="15.5" x14ac:dyDescent="0.35">
      <c r="A595" s="118" t="s">
        <v>1472</v>
      </c>
      <c r="B595" s="118" t="s">
        <v>1469</v>
      </c>
      <c r="C595" s="118" t="s">
        <v>1473</v>
      </c>
      <c r="D595" s="201">
        <v>5.3940000000000001</v>
      </c>
      <c r="E595" s="202">
        <v>1380</v>
      </c>
      <c r="F595" s="163"/>
      <c r="G595" s="164"/>
      <c r="H595" s="165"/>
    </row>
    <row r="596" spans="1:8" ht="15.5" x14ac:dyDescent="0.35">
      <c r="A596" s="118" t="s">
        <v>1474</v>
      </c>
      <c r="B596" s="118" t="s">
        <v>1469</v>
      </c>
      <c r="C596" s="118" t="s">
        <v>1475</v>
      </c>
      <c r="D596" s="201">
        <v>21.823</v>
      </c>
      <c r="E596" s="202">
        <v>5639</v>
      </c>
      <c r="F596" s="163"/>
      <c r="G596" s="164"/>
      <c r="H596" s="165"/>
    </row>
    <row r="597" spans="1:8" ht="15.5" x14ac:dyDescent="0.35">
      <c r="A597" s="118" t="s">
        <v>1476</v>
      </c>
      <c r="B597" s="118" t="s">
        <v>1469</v>
      </c>
      <c r="C597" s="118" t="s">
        <v>1477</v>
      </c>
      <c r="D597" s="201">
        <v>6.0069999999999997</v>
      </c>
      <c r="E597" s="202">
        <v>1793</v>
      </c>
      <c r="F597" s="163"/>
      <c r="G597" s="164"/>
      <c r="H597" s="165"/>
    </row>
    <row r="598" spans="1:8" ht="15.5" x14ac:dyDescent="0.35">
      <c r="A598" s="118" t="s">
        <v>1478</v>
      </c>
      <c r="B598" s="118" t="s">
        <v>1469</v>
      </c>
      <c r="C598" s="118" t="s">
        <v>1479</v>
      </c>
      <c r="D598" s="201">
        <v>6.8609999999999998</v>
      </c>
      <c r="E598" s="202">
        <v>1907</v>
      </c>
      <c r="F598" s="163"/>
      <c r="G598" s="164"/>
      <c r="H598" s="165"/>
    </row>
    <row r="599" spans="1:8" ht="15.5" x14ac:dyDescent="0.35">
      <c r="A599" s="118" t="s">
        <v>1480</v>
      </c>
      <c r="B599" s="118" t="s">
        <v>1469</v>
      </c>
      <c r="C599" s="118" t="s">
        <v>1481</v>
      </c>
      <c r="D599" s="201">
        <v>22.661000000000001</v>
      </c>
      <c r="E599" s="202">
        <v>5985</v>
      </c>
      <c r="F599" s="163"/>
      <c r="G599" s="164"/>
      <c r="H599" s="165"/>
    </row>
    <row r="600" spans="1:8" ht="15.5" x14ac:dyDescent="0.35">
      <c r="A600" s="118" t="s">
        <v>1482</v>
      </c>
      <c r="B600" s="118" t="s">
        <v>1469</v>
      </c>
      <c r="C600" s="118" t="s">
        <v>1483</v>
      </c>
      <c r="D600" s="201">
        <v>12.965999999999999</v>
      </c>
      <c r="E600" s="202">
        <v>3351</v>
      </c>
      <c r="F600" s="163"/>
      <c r="G600" s="164"/>
      <c r="H600" s="165"/>
    </row>
    <row r="601" spans="1:8" ht="15.5" x14ac:dyDescent="0.35">
      <c r="A601" s="118" t="s">
        <v>1484</v>
      </c>
      <c r="B601" s="118" t="s">
        <v>1469</v>
      </c>
      <c r="C601" s="118" t="s">
        <v>1485</v>
      </c>
      <c r="D601" s="201">
        <v>19.073</v>
      </c>
      <c r="E601" s="202">
        <v>4596</v>
      </c>
      <c r="F601" s="163"/>
      <c r="G601" s="164"/>
      <c r="H601" s="165"/>
    </row>
    <row r="602" spans="1:8" ht="15.5" x14ac:dyDescent="0.35">
      <c r="A602" s="118" t="s">
        <v>1486</v>
      </c>
      <c r="B602" s="118" t="s">
        <v>1469</v>
      </c>
      <c r="C602" s="118" t="s">
        <v>1487</v>
      </c>
      <c r="D602" s="201">
        <v>8.4309999999999992</v>
      </c>
      <c r="E602" s="202">
        <v>2238</v>
      </c>
      <c r="F602" s="163"/>
      <c r="G602" s="164"/>
      <c r="H602" s="165"/>
    </row>
    <row r="603" spans="1:8" ht="15.5" x14ac:dyDescent="0.35">
      <c r="A603" s="118" t="s">
        <v>1488</v>
      </c>
      <c r="B603" s="118" t="s">
        <v>1469</v>
      </c>
      <c r="C603" s="118" t="s">
        <v>1489</v>
      </c>
      <c r="D603" s="201">
        <v>8.0820000000000007</v>
      </c>
      <c r="E603" s="202">
        <v>2075</v>
      </c>
      <c r="F603" s="163"/>
      <c r="G603" s="164"/>
      <c r="H603" s="165"/>
    </row>
    <row r="604" spans="1:8" ht="15.5" x14ac:dyDescent="0.35">
      <c r="A604" s="118" t="s">
        <v>1490</v>
      </c>
      <c r="B604" s="118" t="s">
        <v>1469</v>
      </c>
      <c r="C604" s="118" t="s">
        <v>1491</v>
      </c>
      <c r="D604" s="201">
        <v>23.33</v>
      </c>
      <c r="E604" s="202">
        <v>5695</v>
      </c>
      <c r="F604" s="163"/>
      <c r="G604" s="164"/>
      <c r="H604" s="165"/>
    </row>
    <row r="605" spans="1:8" ht="15.5" x14ac:dyDescent="0.35">
      <c r="A605" s="118" t="s">
        <v>1492</v>
      </c>
      <c r="B605" s="118" t="s">
        <v>1469</v>
      </c>
      <c r="C605" s="118" t="s">
        <v>1493</v>
      </c>
      <c r="D605" s="201">
        <v>20.712</v>
      </c>
      <c r="E605" s="202">
        <v>5330</v>
      </c>
      <c r="F605" s="163"/>
      <c r="G605" s="164"/>
      <c r="H605" s="165"/>
    </row>
    <row r="606" spans="1:8" ht="15.5" x14ac:dyDescent="0.35">
      <c r="A606" s="118" t="s">
        <v>1494</v>
      </c>
      <c r="B606" s="118" t="s">
        <v>1469</v>
      </c>
      <c r="C606" s="118" t="s">
        <v>1495</v>
      </c>
      <c r="D606" s="201">
        <v>8.0289999999999999</v>
      </c>
      <c r="E606" s="202">
        <v>2643</v>
      </c>
      <c r="F606" s="163"/>
      <c r="G606" s="164"/>
      <c r="H606" s="165"/>
    </row>
    <row r="607" spans="1:8" ht="15.5" x14ac:dyDescent="0.35">
      <c r="A607" s="118" t="s">
        <v>1496</v>
      </c>
      <c r="B607" s="118" t="s">
        <v>1469</v>
      </c>
      <c r="C607" s="118" t="s">
        <v>1497</v>
      </c>
      <c r="D607" s="201">
        <v>4.3099999999999996</v>
      </c>
      <c r="E607" s="202">
        <v>1530</v>
      </c>
      <c r="F607" s="163"/>
      <c r="G607" s="164"/>
      <c r="H607" s="165"/>
    </row>
    <row r="608" spans="1:8" ht="15.5" x14ac:dyDescent="0.35">
      <c r="A608" s="118" t="s">
        <v>1498</v>
      </c>
      <c r="B608" s="118" t="s">
        <v>1469</v>
      </c>
      <c r="C608" s="118" t="s">
        <v>1499</v>
      </c>
      <c r="D608" s="201">
        <v>7.4960000000000004</v>
      </c>
      <c r="E608" s="202">
        <v>2208</v>
      </c>
      <c r="F608" s="163"/>
      <c r="G608" s="164"/>
      <c r="H608" s="165"/>
    </row>
    <row r="609" spans="1:8" ht="15.5" x14ac:dyDescent="0.35">
      <c r="A609" s="118" t="s">
        <v>1500</v>
      </c>
      <c r="B609" s="118" t="s">
        <v>1469</v>
      </c>
      <c r="C609" s="118" t="s">
        <v>1501</v>
      </c>
      <c r="D609" s="201">
        <v>6.1539999999999999</v>
      </c>
      <c r="E609" s="202">
        <v>1777</v>
      </c>
      <c r="F609" s="163"/>
      <c r="G609" s="164"/>
      <c r="H609" s="165"/>
    </row>
    <row r="610" spans="1:8" ht="15.5" x14ac:dyDescent="0.35">
      <c r="A610" s="118" t="s">
        <v>1502</v>
      </c>
      <c r="B610" s="118" t="s">
        <v>1469</v>
      </c>
      <c r="C610" s="118" t="s">
        <v>1503</v>
      </c>
      <c r="D610" s="201">
        <v>21.016999999999999</v>
      </c>
      <c r="E610" s="202">
        <v>5241</v>
      </c>
      <c r="F610" s="163"/>
      <c r="G610" s="164"/>
      <c r="H610" s="165"/>
    </row>
    <row r="611" spans="1:8" ht="15.5" x14ac:dyDescent="0.35">
      <c r="A611" s="118" t="s">
        <v>1504</v>
      </c>
      <c r="B611" s="118" t="s">
        <v>1469</v>
      </c>
      <c r="C611" s="118" t="s">
        <v>1505</v>
      </c>
      <c r="D611" s="201">
        <v>21.474</v>
      </c>
      <c r="E611" s="202">
        <v>5286</v>
      </c>
      <c r="F611" s="163"/>
      <c r="G611" s="164"/>
      <c r="H611" s="165"/>
    </row>
    <row r="612" spans="1:8" ht="15.5" x14ac:dyDescent="0.35">
      <c r="A612" s="118" t="s">
        <v>1506</v>
      </c>
      <c r="B612" s="118" t="s">
        <v>1469</v>
      </c>
      <c r="C612" s="118" t="s">
        <v>1507</v>
      </c>
      <c r="D612" s="201">
        <v>3.9929999999999999</v>
      </c>
      <c r="E612" s="202">
        <v>1298</v>
      </c>
      <c r="F612" s="163"/>
      <c r="G612" s="164"/>
      <c r="H612" s="165"/>
    </row>
    <row r="613" spans="1:8" ht="15.5" x14ac:dyDescent="0.35">
      <c r="A613" s="118" t="s">
        <v>1508</v>
      </c>
      <c r="B613" s="118" t="s">
        <v>1469</v>
      </c>
      <c r="C613" s="118" t="s">
        <v>1509</v>
      </c>
      <c r="D613" s="201">
        <v>8.2870000000000008</v>
      </c>
      <c r="E613" s="202">
        <v>2145</v>
      </c>
      <c r="F613" s="163"/>
      <c r="G613" s="164"/>
      <c r="H613" s="165"/>
    </row>
    <row r="614" spans="1:8" ht="15.5" x14ac:dyDescent="0.35">
      <c r="A614" s="118" t="s">
        <v>1510</v>
      </c>
      <c r="B614" s="118" t="s">
        <v>1469</v>
      </c>
      <c r="C614" s="118" t="s">
        <v>1511</v>
      </c>
      <c r="D614" s="201">
        <v>5.7210000000000001</v>
      </c>
      <c r="E614" s="202">
        <v>1540</v>
      </c>
      <c r="F614" s="163"/>
      <c r="G614" s="164"/>
      <c r="H614" s="165"/>
    </row>
    <row r="615" spans="1:8" ht="15.5" x14ac:dyDescent="0.35">
      <c r="A615" s="118" t="s">
        <v>1512</v>
      </c>
      <c r="B615" s="118" t="s">
        <v>1469</v>
      </c>
      <c r="C615" s="118" t="s">
        <v>1513</v>
      </c>
      <c r="D615" s="201">
        <v>4.6020000000000003</v>
      </c>
      <c r="E615" s="202">
        <v>1192</v>
      </c>
      <c r="F615" s="163"/>
      <c r="G615" s="164"/>
      <c r="H615" s="165"/>
    </row>
    <row r="616" spans="1:8" ht="15.5" x14ac:dyDescent="0.35">
      <c r="A616" s="118" t="s">
        <v>1514</v>
      </c>
      <c r="B616" s="118" t="s">
        <v>1469</v>
      </c>
      <c r="C616" s="118" t="s">
        <v>1515</v>
      </c>
      <c r="D616" s="201">
        <v>3.246</v>
      </c>
      <c r="E616" s="202">
        <v>1016</v>
      </c>
      <c r="F616" s="163"/>
      <c r="G616" s="164"/>
      <c r="H616" s="165"/>
    </row>
    <row r="617" spans="1:8" ht="15.5" x14ac:dyDescent="0.35">
      <c r="A617" s="118" t="s">
        <v>1516</v>
      </c>
      <c r="B617" s="118" t="s">
        <v>1469</v>
      </c>
      <c r="C617" s="118" t="s">
        <v>1517</v>
      </c>
      <c r="D617" s="201">
        <v>1.4890000000000001</v>
      </c>
      <c r="E617" s="202">
        <v>453</v>
      </c>
      <c r="F617" s="163"/>
      <c r="G617" s="164"/>
      <c r="H617" s="165"/>
    </row>
    <row r="618" spans="1:8" ht="15.5" x14ac:dyDescent="0.35">
      <c r="A618" s="118" t="s">
        <v>1518</v>
      </c>
      <c r="B618" s="118" t="s">
        <v>1469</v>
      </c>
      <c r="C618" s="118" t="s">
        <v>1519</v>
      </c>
      <c r="D618" s="201">
        <v>5.5259999999999998</v>
      </c>
      <c r="E618" s="202">
        <v>1601</v>
      </c>
      <c r="F618" s="163"/>
      <c r="G618" s="164"/>
      <c r="H618" s="165"/>
    </row>
    <row r="619" spans="1:8" ht="15.5" x14ac:dyDescent="0.35">
      <c r="A619" s="118" t="s">
        <v>1520</v>
      </c>
      <c r="B619" s="118" t="s">
        <v>1469</v>
      </c>
      <c r="C619" s="118" t="s">
        <v>1521</v>
      </c>
      <c r="D619" s="201">
        <v>3.9630000000000001</v>
      </c>
      <c r="E619" s="202">
        <v>1044</v>
      </c>
      <c r="F619" s="163"/>
      <c r="G619" s="164"/>
      <c r="H619" s="165"/>
    </row>
    <row r="620" spans="1:8" ht="15.5" x14ac:dyDescent="0.35">
      <c r="A620" s="118" t="s">
        <v>1522</v>
      </c>
      <c r="B620" s="118" t="s">
        <v>1469</v>
      </c>
      <c r="C620" s="118" t="s">
        <v>1523</v>
      </c>
      <c r="D620" s="201">
        <v>6.9349999999999996</v>
      </c>
      <c r="E620" s="202">
        <v>1958</v>
      </c>
      <c r="F620" s="163"/>
      <c r="G620" s="164"/>
      <c r="H620" s="165"/>
    </row>
    <row r="621" spans="1:8" ht="15.5" x14ac:dyDescent="0.35">
      <c r="A621" s="118" t="s">
        <v>1524</v>
      </c>
      <c r="B621" s="118" t="s">
        <v>1469</v>
      </c>
      <c r="C621" s="118" t="s">
        <v>1525</v>
      </c>
      <c r="D621" s="201">
        <v>6.1980000000000004</v>
      </c>
      <c r="E621" s="202">
        <v>1746</v>
      </c>
      <c r="F621" s="163"/>
      <c r="G621" s="164"/>
      <c r="H621" s="165"/>
    </row>
    <row r="622" spans="1:8" ht="15.5" x14ac:dyDescent="0.35">
      <c r="A622" s="118" t="s">
        <v>1526</v>
      </c>
      <c r="B622" s="118" t="s">
        <v>1469</v>
      </c>
      <c r="C622" s="118" t="s">
        <v>1527</v>
      </c>
      <c r="D622" s="201">
        <v>3.1339999999999999</v>
      </c>
      <c r="E622" s="202">
        <v>1319</v>
      </c>
      <c r="F622" s="163"/>
      <c r="G622" s="164"/>
      <c r="H622" s="165"/>
    </row>
    <row r="623" spans="1:8" ht="15.5" x14ac:dyDescent="0.35">
      <c r="A623" s="118" t="s">
        <v>1528</v>
      </c>
      <c r="B623" s="118" t="s">
        <v>1469</v>
      </c>
      <c r="C623" s="118" t="s">
        <v>1529</v>
      </c>
      <c r="D623" s="201">
        <v>1.806</v>
      </c>
      <c r="E623" s="202">
        <v>703</v>
      </c>
      <c r="F623" s="163"/>
      <c r="G623" s="164"/>
      <c r="H623" s="165"/>
    </row>
    <row r="624" spans="1:8" ht="15.5" x14ac:dyDescent="0.35">
      <c r="A624" s="118" t="s">
        <v>1530</v>
      </c>
      <c r="B624" s="118" t="s">
        <v>1469</v>
      </c>
      <c r="C624" s="118" t="s">
        <v>1531</v>
      </c>
      <c r="D624" s="201">
        <v>2.9809999999999999</v>
      </c>
      <c r="E624" s="202">
        <v>1156</v>
      </c>
      <c r="F624" s="163"/>
      <c r="G624" s="164"/>
      <c r="H624" s="165"/>
    </row>
    <row r="625" spans="1:8" ht="15.5" x14ac:dyDescent="0.35">
      <c r="A625" s="118" t="s">
        <v>1532</v>
      </c>
      <c r="B625" s="118" t="s">
        <v>1469</v>
      </c>
      <c r="C625" s="118" t="s">
        <v>1533</v>
      </c>
      <c r="D625" s="201">
        <v>1.885</v>
      </c>
      <c r="E625" s="202">
        <v>849</v>
      </c>
      <c r="F625" s="163"/>
      <c r="G625" s="164"/>
      <c r="H625" s="165"/>
    </row>
    <row r="626" spans="1:8" ht="15.5" x14ac:dyDescent="0.35">
      <c r="A626" s="118" t="s">
        <v>1534</v>
      </c>
      <c r="B626" s="118" t="s">
        <v>1469</v>
      </c>
      <c r="C626" s="118" t="s">
        <v>1535</v>
      </c>
      <c r="D626" s="201">
        <v>2.552</v>
      </c>
      <c r="E626" s="202">
        <v>920</v>
      </c>
      <c r="F626" s="163"/>
      <c r="G626" s="164"/>
      <c r="H626" s="165"/>
    </row>
    <row r="627" spans="1:8" ht="15.5" x14ac:dyDescent="0.35">
      <c r="A627" s="118" t="s">
        <v>1536</v>
      </c>
      <c r="B627" s="118" t="s">
        <v>1469</v>
      </c>
      <c r="C627" s="118" t="s">
        <v>1537</v>
      </c>
      <c r="D627" s="201">
        <v>1.5629999999999999</v>
      </c>
      <c r="E627" s="202">
        <v>541</v>
      </c>
      <c r="F627" s="163"/>
      <c r="G627" s="164"/>
      <c r="H627" s="165"/>
    </row>
    <row r="628" spans="1:8" ht="15.5" x14ac:dyDescent="0.35">
      <c r="A628" s="118" t="s">
        <v>1538</v>
      </c>
      <c r="B628" s="118" t="s">
        <v>1469</v>
      </c>
      <c r="C628" s="118" t="s">
        <v>1539</v>
      </c>
      <c r="D628" s="201">
        <v>7.3659999999999997</v>
      </c>
      <c r="E628" s="202">
        <v>2426</v>
      </c>
      <c r="F628" s="163"/>
      <c r="G628" s="164"/>
      <c r="H628" s="165"/>
    </row>
    <row r="629" spans="1:8" ht="15.5" x14ac:dyDescent="0.35">
      <c r="A629" s="118" t="s">
        <v>1540</v>
      </c>
      <c r="B629" s="118" t="s">
        <v>1469</v>
      </c>
      <c r="C629" s="118" t="s">
        <v>1541</v>
      </c>
      <c r="D629" s="201">
        <v>20.576000000000001</v>
      </c>
      <c r="E629" s="202">
        <v>5360</v>
      </c>
      <c r="F629" s="163"/>
      <c r="G629" s="164"/>
      <c r="H629" s="165"/>
    </row>
    <row r="630" spans="1:8" ht="15.5" x14ac:dyDescent="0.35">
      <c r="A630" s="118" t="s">
        <v>1542</v>
      </c>
      <c r="B630" s="118" t="s">
        <v>1469</v>
      </c>
      <c r="C630" s="118" t="s">
        <v>1543</v>
      </c>
      <c r="D630" s="201">
        <v>7.6260000000000003</v>
      </c>
      <c r="E630" s="202">
        <v>2327</v>
      </c>
      <c r="F630" s="163"/>
      <c r="G630" s="164"/>
      <c r="H630" s="165"/>
    </row>
    <row r="631" spans="1:8" ht="15.5" x14ac:dyDescent="0.35">
      <c r="A631" s="118" t="s">
        <v>1544</v>
      </c>
      <c r="B631" s="118" t="s">
        <v>1469</v>
      </c>
      <c r="C631" s="118" t="s">
        <v>1545</v>
      </c>
      <c r="D631" s="201">
        <v>4.8540000000000001</v>
      </c>
      <c r="E631" s="202">
        <v>1479</v>
      </c>
      <c r="F631" s="163"/>
      <c r="G631" s="164"/>
      <c r="H631" s="165"/>
    </row>
    <row r="632" spans="1:8" ht="15.5" x14ac:dyDescent="0.35">
      <c r="A632" s="118" t="s">
        <v>1546</v>
      </c>
      <c r="B632" s="118" t="s">
        <v>1469</v>
      </c>
      <c r="C632" s="118" t="s">
        <v>1547</v>
      </c>
      <c r="D632" s="201">
        <v>14.443</v>
      </c>
      <c r="E632" s="202">
        <v>3677</v>
      </c>
      <c r="F632" s="163"/>
      <c r="G632" s="164"/>
      <c r="H632" s="165"/>
    </row>
    <row r="633" spans="1:8" ht="15.5" x14ac:dyDescent="0.35">
      <c r="A633" s="118" t="s">
        <v>1548</v>
      </c>
      <c r="B633" s="118" t="s">
        <v>1469</v>
      </c>
      <c r="C633" s="118" t="s">
        <v>1549</v>
      </c>
      <c r="D633" s="201">
        <v>7.0609999999999999</v>
      </c>
      <c r="E633" s="202">
        <v>1967</v>
      </c>
      <c r="F633" s="163"/>
      <c r="G633" s="164"/>
      <c r="H633" s="165"/>
    </row>
    <row r="634" spans="1:8" ht="15.5" x14ac:dyDescent="0.35">
      <c r="A634" s="118" t="s">
        <v>1550</v>
      </c>
      <c r="B634" s="118" t="s">
        <v>1469</v>
      </c>
      <c r="C634" s="118" t="s">
        <v>1551</v>
      </c>
      <c r="D634" s="201">
        <v>8.9649999999999999</v>
      </c>
      <c r="E634" s="202">
        <v>2521</v>
      </c>
      <c r="F634" s="163"/>
      <c r="G634" s="164"/>
      <c r="H634" s="165"/>
    </row>
    <row r="635" spans="1:8" ht="15.5" x14ac:dyDescent="0.35">
      <c r="A635" s="118" t="s">
        <v>1552</v>
      </c>
      <c r="B635" s="118" t="s">
        <v>1469</v>
      </c>
      <c r="C635" s="118" t="s">
        <v>1553</v>
      </c>
      <c r="D635" s="201">
        <v>12.675000000000001</v>
      </c>
      <c r="E635" s="202">
        <v>3661</v>
      </c>
      <c r="F635" s="163"/>
      <c r="G635" s="164"/>
      <c r="H635" s="165"/>
    </row>
    <row r="636" spans="1:8" ht="15.5" x14ac:dyDescent="0.35">
      <c r="A636" s="118" t="s">
        <v>1554</v>
      </c>
      <c r="B636" s="118" t="s">
        <v>1469</v>
      </c>
      <c r="C636" s="118" t="s">
        <v>1555</v>
      </c>
      <c r="D636" s="201">
        <v>5.5149999999999997</v>
      </c>
      <c r="E636" s="202">
        <v>1392</v>
      </c>
      <c r="F636" s="163"/>
      <c r="G636" s="164"/>
      <c r="H636" s="165"/>
    </row>
    <row r="637" spans="1:8" ht="15.5" x14ac:dyDescent="0.35">
      <c r="A637" s="118" t="s">
        <v>1556</v>
      </c>
      <c r="B637" s="118" t="s">
        <v>1469</v>
      </c>
      <c r="C637" s="118" t="s">
        <v>1557</v>
      </c>
      <c r="D637" s="201">
        <v>9.5839999999999996</v>
      </c>
      <c r="E637" s="202">
        <v>2856</v>
      </c>
      <c r="F637" s="163"/>
      <c r="G637" s="164"/>
      <c r="H637" s="165"/>
    </row>
    <row r="638" spans="1:8" ht="15.5" x14ac:dyDescent="0.35">
      <c r="A638" s="118" t="s">
        <v>1558</v>
      </c>
      <c r="B638" s="118" t="s">
        <v>1469</v>
      </c>
      <c r="C638" s="118" t="s">
        <v>1559</v>
      </c>
      <c r="D638" s="201">
        <v>22.439</v>
      </c>
      <c r="E638" s="202">
        <v>5779</v>
      </c>
      <c r="F638" s="163"/>
      <c r="G638" s="164"/>
      <c r="H638" s="165"/>
    </row>
    <row r="639" spans="1:8" ht="15.5" x14ac:dyDescent="0.35">
      <c r="A639" s="118" t="s">
        <v>1560</v>
      </c>
      <c r="B639" s="118" t="s">
        <v>1469</v>
      </c>
      <c r="C639" s="118" t="s">
        <v>1561</v>
      </c>
      <c r="D639" s="201">
        <v>7.6689999999999996</v>
      </c>
      <c r="E639" s="202">
        <v>2553</v>
      </c>
      <c r="F639" s="163"/>
      <c r="G639" s="164"/>
      <c r="H639" s="165"/>
    </row>
    <row r="640" spans="1:8" ht="15.5" x14ac:dyDescent="0.35">
      <c r="A640" s="118" t="s">
        <v>1562</v>
      </c>
      <c r="B640" s="118" t="s">
        <v>1469</v>
      </c>
      <c r="C640" s="118" t="s">
        <v>1563</v>
      </c>
      <c r="D640" s="201">
        <v>2.4820000000000002</v>
      </c>
      <c r="E640" s="202">
        <v>649</v>
      </c>
      <c r="F640" s="163"/>
      <c r="G640" s="164"/>
      <c r="H640" s="165"/>
    </row>
    <row r="641" spans="1:8" ht="15.5" x14ac:dyDescent="0.35">
      <c r="A641" s="118" t="s">
        <v>1564</v>
      </c>
      <c r="B641" s="118" t="s">
        <v>1469</v>
      </c>
      <c r="C641" s="118" t="s">
        <v>1565</v>
      </c>
      <c r="D641" s="201">
        <v>10.916</v>
      </c>
      <c r="E641" s="202">
        <v>3426</v>
      </c>
      <c r="F641" s="163"/>
      <c r="G641" s="164"/>
      <c r="H641" s="165"/>
    </row>
    <row r="642" spans="1:8" ht="15.5" x14ac:dyDescent="0.35">
      <c r="A642" s="118" t="s">
        <v>1566</v>
      </c>
      <c r="B642" s="118" t="s">
        <v>1469</v>
      </c>
      <c r="C642" s="118" t="s">
        <v>1567</v>
      </c>
      <c r="D642" s="201">
        <v>11.94</v>
      </c>
      <c r="E642" s="202">
        <v>3160</v>
      </c>
      <c r="F642" s="163"/>
      <c r="G642" s="164"/>
      <c r="H642" s="165"/>
    </row>
    <row r="643" spans="1:8" ht="15.5" x14ac:dyDescent="0.35">
      <c r="A643" s="118" t="s">
        <v>1568</v>
      </c>
      <c r="B643" s="118" t="s">
        <v>1469</v>
      </c>
      <c r="C643" s="118" t="s">
        <v>1569</v>
      </c>
      <c r="D643" s="201">
        <v>3.931</v>
      </c>
      <c r="E643" s="202">
        <v>951</v>
      </c>
      <c r="F643" s="163"/>
      <c r="G643" s="164"/>
      <c r="H643" s="165"/>
    </row>
    <row r="644" spans="1:8" ht="15.5" x14ac:dyDescent="0.35">
      <c r="A644" s="118" t="s">
        <v>1570</v>
      </c>
      <c r="B644" s="118" t="s">
        <v>1469</v>
      </c>
      <c r="C644" s="118" t="s">
        <v>1571</v>
      </c>
      <c r="D644" s="201">
        <v>4.0490000000000004</v>
      </c>
      <c r="E644" s="202">
        <v>1505</v>
      </c>
      <c r="F644" s="163"/>
      <c r="G644" s="164"/>
      <c r="H644" s="165"/>
    </row>
    <row r="645" spans="1:8" ht="15.5" x14ac:dyDescent="0.35">
      <c r="A645" s="118" t="s">
        <v>1572</v>
      </c>
      <c r="B645" s="118" t="s">
        <v>1469</v>
      </c>
      <c r="C645" s="118" t="s">
        <v>1573</v>
      </c>
      <c r="D645" s="201">
        <v>6.4649999999999999</v>
      </c>
      <c r="E645" s="202">
        <v>2284</v>
      </c>
      <c r="F645" s="163"/>
      <c r="G645" s="164"/>
      <c r="H645" s="165"/>
    </row>
    <row r="646" spans="1:8" ht="15.5" x14ac:dyDescent="0.35">
      <c r="A646" s="118" t="s">
        <v>1574</v>
      </c>
      <c r="B646" s="118" t="s">
        <v>1469</v>
      </c>
      <c r="C646" s="118" t="s">
        <v>1575</v>
      </c>
      <c r="D646" s="201">
        <v>15.731999999999999</v>
      </c>
      <c r="E646" s="202">
        <v>3769</v>
      </c>
      <c r="F646" s="163"/>
      <c r="G646" s="164"/>
      <c r="H646" s="165"/>
    </row>
    <row r="647" spans="1:8" ht="15.5" x14ac:dyDescent="0.35">
      <c r="A647" s="118" t="s">
        <v>1576</v>
      </c>
      <c r="B647" s="118" t="s">
        <v>1469</v>
      </c>
      <c r="C647" s="118" t="s">
        <v>1577</v>
      </c>
      <c r="D647" s="201">
        <v>4.38</v>
      </c>
      <c r="E647" s="202">
        <v>1706</v>
      </c>
      <c r="F647" s="163"/>
      <c r="G647" s="164"/>
      <c r="H647" s="165"/>
    </row>
    <row r="648" spans="1:8" ht="15.5" x14ac:dyDescent="0.35">
      <c r="A648" s="118" t="s">
        <v>1578</v>
      </c>
      <c r="B648" s="118" t="s">
        <v>1469</v>
      </c>
      <c r="C648" s="118" t="s">
        <v>1579</v>
      </c>
      <c r="D648" s="201">
        <v>20.88</v>
      </c>
      <c r="E648" s="202">
        <v>5838</v>
      </c>
      <c r="F648" s="163"/>
      <c r="G648" s="164"/>
      <c r="H648" s="165"/>
    </row>
    <row r="649" spans="1:8" ht="15.5" x14ac:dyDescent="0.35">
      <c r="A649" s="118" t="s">
        <v>1580</v>
      </c>
      <c r="B649" s="118" t="s">
        <v>1469</v>
      </c>
      <c r="C649" s="118" t="s">
        <v>1581</v>
      </c>
      <c r="D649" s="201">
        <v>22.774999999999999</v>
      </c>
      <c r="E649" s="202">
        <v>5620</v>
      </c>
      <c r="F649" s="163"/>
      <c r="G649" s="164"/>
      <c r="H649" s="165"/>
    </row>
    <row r="650" spans="1:8" ht="15.5" x14ac:dyDescent="0.35">
      <c r="A650" s="118" t="s">
        <v>1582</v>
      </c>
      <c r="B650" s="118" t="s">
        <v>1469</v>
      </c>
      <c r="C650" s="118" t="s">
        <v>1583</v>
      </c>
      <c r="D650" s="201">
        <v>4.2220000000000004</v>
      </c>
      <c r="E650" s="202">
        <v>1370</v>
      </c>
      <c r="F650" s="163"/>
      <c r="G650" s="164"/>
      <c r="H650" s="165"/>
    </row>
    <row r="651" spans="1:8" ht="15.5" x14ac:dyDescent="0.35">
      <c r="A651" s="203" t="s">
        <v>1584</v>
      </c>
      <c r="B651" s="203" t="s">
        <v>1585</v>
      </c>
      <c r="C651" s="118"/>
      <c r="D651" s="201">
        <v>0</v>
      </c>
      <c r="E651" s="202">
        <v>0</v>
      </c>
      <c r="F651" s="163"/>
      <c r="G651" s="164"/>
      <c r="H651" s="165"/>
    </row>
    <row r="652" spans="1:8" ht="15.5" x14ac:dyDescent="0.35">
      <c r="A652" s="118" t="s">
        <v>1586</v>
      </c>
      <c r="B652" s="118" t="s">
        <v>1585</v>
      </c>
      <c r="C652" s="118" t="s">
        <v>1587</v>
      </c>
      <c r="D652" s="201">
        <v>3.867</v>
      </c>
      <c r="E652" s="202">
        <v>811</v>
      </c>
      <c r="F652" s="163"/>
      <c r="G652" s="164"/>
      <c r="H652" s="165"/>
    </row>
    <row r="653" spans="1:8" ht="15.5" x14ac:dyDescent="0.35">
      <c r="A653" s="118" t="s">
        <v>1588</v>
      </c>
      <c r="B653" s="118" t="s">
        <v>1585</v>
      </c>
      <c r="C653" s="118" t="s">
        <v>1589</v>
      </c>
      <c r="D653" s="201">
        <v>3.633</v>
      </c>
      <c r="E653" s="202">
        <v>905</v>
      </c>
      <c r="F653" s="163"/>
      <c r="G653" s="164"/>
      <c r="H653" s="165"/>
    </row>
    <row r="654" spans="1:8" ht="15.5" x14ac:dyDescent="0.35">
      <c r="A654" s="118" t="s">
        <v>1590</v>
      </c>
      <c r="B654" s="118" t="s">
        <v>1585</v>
      </c>
      <c r="C654" s="118" t="s">
        <v>1591</v>
      </c>
      <c r="D654" s="201">
        <v>5.702</v>
      </c>
      <c r="E654" s="202">
        <v>1137</v>
      </c>
      <c r="F654" s="163"/>
      <c r="G654" s="164"/>
      <c r="H654" s="165"/>
    </row>
    <row r="655" spans="1:8" ht="15.5" x14ac:dyDescent="0.35">
      <c r="A655" s="118" t="s">
        <v>1592</v>
      </c>
      <c r="B655" s="118" t="s">
        <v>1585</v>
      </c>
      <c r="C655" s="118" t="s">
        <v>1593</v>
      </c>
      <c r="D655" s="201">
        <v>2.9809999999999999</v>
      </c>
      <c r="E655" s="202">
        <v>760</v>
      </c>
      <c r="F655" s="163"/>
      <c r="G655" s="164"/>
      <c r="H655" s="165"/>
    </row>
    <row r="656" spans="1:8" ht="15.5" x14ac:dyDescent="0.35">
      <c r="A656" s="118" t="s">
        <v>1594</v>
      </c>
      <c r="B656" s="118" t="s">
        <v>1585</v>
      </c>
      <c r="C656" s="118" t="s">
        <v>1595</v>
      </c>
      <c r="D656" s="201">
        <v>9.8149999999999995</v>
      </c>
      <c r="E656" s="202">
        <v>1938</v>
      </c>
      <c r="F656" s="163"/>
      <c r="G656" s="164"/>
      <c r="H656" s="165"/>
    </row>
    <row r="657" spans="1:8" ht="15.5" x14ac:dyDescent="0.35">
      <c r="A657" s="118" t="s">
        <v>1596</v>
      </c>
      <c r="B657" s="118" t="s">
        <v>1585</v>
      </c>
      <c r="C657" s="118" t="s">
        <v>1597</v>
      </c>
      <c r="D657" s="201">
        <v>10.685</v>
      </c>
      <c r="E657" s="202">
        <v>2051</v>
      </c>
      <c r="F657" s="163"/>
      <c r="G657" s="164"/>
      <c r="H657" s="165"/>
    </row>
    <row r="658" spans="1:8" ht="15.5" x14ac:dyDescent="0.35">
      <c r="A658" s="118" t="s">
        <v>1598</v>
      </c>
      <c r="B658" s="118" t="s">
        <v>1585</v>
      </c>
      <c r="C658" s="118" t="s">
        <v>1599</v>
      </c>
      <c r="D658" s="201">
        <v>11.872999999999999</v>
      </c>
      <c r="E658" s="202">
        <v>2134</v>
      </c>
      <c r="F658" s="163"/>
      <c r="G658" s="164"/>
      <c r="H658" s="165"/>
    </row>
    <row r="659" spans="1:8" ht="15.5" x14ac:dyDescent="0.35">
      <c r="A659" s="118" t="s">
        <v>1600</v>
      </c>
      <c r="B659" s="118" t="s">
        <v>1585</v>
      </c>
      <c r="C659" s="118" t="s">
        <v>1601</v>
      </c>
      <c r="D659" s="201">
        <v>4.6340000000000003</v>
      </c>
      <c r="E659" s="202">
        <v>1316</v>
      </c>
      <c r="F659" s="163"/>
      <c r="G659" s="164"/>
      <c r="H659" s="165"/>
    </row>
    <row r="660" spans="1:8" ht="15.5" x14ac:dyDescent="0.35">
      <c r="A660" s="118" t="s">
        <v>1602</v>
      </c>
      <c r="B660" s="118" t="s">
        <v>1585</v>
      </c>
      <c r="C660" s="118" t="s">
        <v>1603</v>
      </c>
      <c r="D660" s="201">
        <v>11.965</v>
      </c>
      <c r="E660" s="202">
        <v>2304</v>
      </c>
      <c r="F660" s="163"/>
      <c r="G660" s="164"/>
      <c r="H660" s="165"/>
    </row>
    <row r="661" spans="1:8" ht="15.5" x14ac:dyDescent="0.35">
      <c r="A661" s="118" t="s">
        <v>1604</v>
      </c>
      <c r="B661" s="118" t="s">
        <v>1585</v>
      </c>
      <c r="C661" s="118" t="s">
        <v>1605</v>
      </c>
      <c r="D661" s="201">
        <v>12.116</v>
      </c>
      <c r="E661" s="202">
        <v>1886</v>
      </c>
      <c r="F661" s="163"/>
      <c r="G661" s="164"/>
      <c r="H661" s="165"/>
    </row>
    <row r="662" spans="1:8" ht="15.5" x14ac:dyDescent="0.35">
      <c r="A662" s="118" t="s">
        <v>1606</v>
      </c>
      <c r="B662" s="118" t="s">
        <v>1585</v>
      </c>
      <c r="C662" s="118" t="s">
        <v>1607</v>
      </c>
      <c r="D662" s="201">
        <v>9.7089999999999996</v>
      </c>
      <c r="E662" s="202">
        <v>1909</v>
      </c>
      <c r="F662" s="163"/>
      <c r="G662" s="164"/>
      <c r="H662" s="165"/>
    </row>
    <row r="663" spans="1:8" ht="15.5" x14ac:dyDescent="0.35">
      <c r="A663" s="118" t="s">
        <v>1608</v>
      </c>
      <c r="B663" s="118" t="s">
        <v>1585</v>
      </c>
      <c r="C663" s="118" t="s">
        <v>1609</v>
      </c>
      <c r="D663" s="201">
        <v>10.212</v>
      </c>
      <c r="E663" s="202">
        <v>1916</v>
      </c>
      <c r="F663" s="163"/>
      <c r="G663" s="164"/>
      <c r="H663" s="165"/>
    </row>
    <row r="664" spans="1:8" ht="15.5" x14ac:dyDescent="0.35">
      <c r="A664" s="118" t="s">
        <v>1610</v>
      </c>
      <c r="B664" s="118" t="s">
        <v>1585</v>
      </c>
      <c r="C664" s="118" t="s">
        <v>1611</v>
      </c>
      <c r="D664" s="201">
        <v>7.4160000000000004</v>
      </c>
      <c r="E664" s="202">
        <v>1517</v>
      </c>
      <c r="F664" s="163"/>
      <c r="G664" s="164"/>
      <c r="H664" s="165"/>
    </row>
    <row r="665" spans="1:8" ht="15.5" x14ac:dyDescent="0.35">
      <c r="A665" s="118" t="s">
        <v>1612</v>
      </c>
      <c r="B665" s="118" t="s">
        <v>1585</v>
      </c>
      <c r="C665" s="118" t="s">
        <v>1613</v>
      </c>
      <c r="D665" s="201">
        <v>11.364000000000001</v>
      </c>
      <c r="E665" s="202">
        <v>2143</v>
      </c>
      <c r="F665" s="163"/>
      <c r="G665" s="164"/>
      <c r="H665" s="165"/>
    </row>
    <row r="666" spans="1:8" ht="15.5" x14ac:dyDescent="0.35">
      <c r="A666" s="118" t="s">
        <v>1614</v>
      </c>
      <c r="B666" s="118" t="s">
        <v>1585</v>
      </c>
      <c r="C666" s="118" t="s">
        <v>1615</v>
      </c>
      <c r="D666" s="201">
        <v>12.461</v>
      </c>
      <c r="E666" s="202">
        <v>2350</v>
      </c>
      <c r="F666" s="163"/>
      <c r="G666" s="164"/>
      <c r="H666" s="165"/>
    </row>
    <row r="667" spans="1:8" ht="15.5" x14ac:dyDescent="0.35">
      <c r="A667" s="118" t="s">
        <v>1616</v>
      </c>
      <c r="B667" s="118" t="s">
        <v>1585</v>
      </c>
      <c r="C667" s="118" t="s">
        <v>1617</v>
      </c>
      <c r="D667" s="201">
        <v>11.581</v>
      </c>
      <c r="E667" s="202">
        <v>2245</v>
      </c>
      <c r="F667" s="163"/>
      <c r="G667" s="164"/>
      <c r="H667" s="165"/>
    </row>
    <row r="668" spans="1:8" ht="15.5" x14ac:dyDescent="0.35">
      <c r="A668" s="118" t="s">
        <v>1618</v>
      </c>
      <c r="B668" s="118" t="s">
        <v>1585</v>
      </c>
      <c r="C668" s="118" t="s">
        <v>1619</v>
      </c>
      <c r="D668" s="201">
        <v>9.3780000000000001</v>
      </c>
      <c r="E668" s="202">
        <v>1891</v>
      </c>
      <c r="F668" s="163"/>
      <c r="G668" s="164"/>
      <c r="H668" s="165"/>
    </row>
    <row r="669" spans="1:8" ht="15.5" x14ac:dyDescent="0.35">
      <c r="A669" s="118" t="s">
        <v>1620</v>
      </c>
      <c r="B669" s="118" t="s">
        <v>1585</v>
      </c>
      <c r="C669" s="118" t="s">
        <v>1621</v>
      </c>
      <c r="D669" s="201">
        <v>10.933999999999999</v>
      </c>
      <c r="E669" s="202">
        <v>2077</v>
      </c>
      <c r="F669" s="163"/>
      <c r="G669" s="164"/>
      <c r="H669" s="165"/>
    </row>
    <row r="670" spans="1:8" ht="15.5" x14ac:dyDescent="0.35">
      <c r="A670" s="181"/>
      <c r="B670" s="118"/>
      <c r="C670" s="181"/>
      <c r="D670" s="201">
        <v>0</v>
      </c>
      <c r="E670" s="202">
        <v>0</v>
      </c>
    </row>
    <row r="671" spans="1:8" ht="15.5" x14ac:dyDescent="0.35">
      <c r="A671" s="181"/>
      <c r="B671" s="181"/>
      <c r="C671" s="181"/>
      <c r="D671" s="182"/>
      <c r="E671" s="182"/>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F4582DC177B735439E316E7A5776D78C" ma:contentTypeVersion="35" ma:contentTypeDescription="Create a new document." ma:contentTypeScope="" ma:versionID="d23f527a694073677c8fae75aee59076">
  <xsd:schema xmlns:xsd="http://www.w3.org/2001/XMLSchema" xmlns:xs="http://www.w3.org/2001/XMLSchema" xmlns:p="http://schemas.microsoft.com/office/2006/metadata/properties" xmlns:ns2="0063f72e-ace3-48fb-9c1f-5b513408b31f" xmlns:ns3="c278e07c-0436-44ae-bf20-0fa31c54bf35" xmlns:ns4="b413c3fd-5a3b-4239-b985-69032e371c04" xmlns:ns5="a8f60570-4bd3-4f2b-950b-a996de8ab151" xmlns:ns6="aaacb922-5235-4a66-b188-303b9b46fbd7" xmlns:ns7="75e7ae58-aec4-4ab0-ae21-ab94226ea01a" targetNamespace="http://schemas.microsoft.com/office/2006/metadata/properties" ma:root="true" ma:fieldsID="6c66a90b66dbdcc977bf429cb6adb9ed" ns2:_="" ns3:_="" ns4:_="" ns5:_="" ns6:_="" ns7:_="">
    <xsd:import namespace="0063f72e-ace3-48fb-9c1f-5b513408b31f"/>
    <xsd:import namespace="c278e07c-0436-44ae-bf20-0fa31c54bf35"/>
    <xsd:import namespace="b413c3fd-5a3b-4239-b985-69032e371c04"/>
    <xsd:import namespace="a8f60570-4bd3-4f2b-950b-a996de8ab151"/>
    <xsd:import namespace="aaacb922-5235-4a66-b188-303b9b46fbd7"/>
    <xsd:import namespace="75e7ae58-aec4-4ab0-ae21-ab94226ea01a"/>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DateTaken" minOccurs="0"/>
                <xsd:element ref="ns7:MediaServiceAutoTags" minOccurs="0"/>
                <xsd:element ref="ns7:MediaServiceGenerationTime" minOccurs="0"/>
                <xsd:element ref="ns7:MediaServiceEventHashCode" minOccurs="0"/>
                <xsd:element ref="ns3:SharedWithUsers" minOccurs="0"/>
                <xsd:element ref="ns3:SharedWithDetails" minOccurs="0"/>
                <xsd:element ref="ns7:MediaServiceAutoKeyPoints" minOccurs="0"/>
                <xsd:element ref="ns7:MediaServiceKeyPoints" minOccurs="0"/>
                <xsd:element ref="ns3:_dlc_DocId" minOccurs="0"/>
                <xsd:element ref="ns3:_dlc_DocIdUrl" minOccurs="0"/>
                <xsd:element ref="ns3:_dlc_DocIdPersistId" minOccurs="0"/>
                <xsd:element ref="ns7:MediaServiceOCR" minOccurs="0"/>
                <xsd:element ref="ns7:KnowledgeRetention" minOccurs="0"/>
                <xsd:element ref="ns7:MediaLengthInSeconds" minOccurs="0"/>
                <xsd:element ref="ns7:lcf76f155ced4ddcb4097134ff3c332f" minOccurs="0"/>
                <xsd:element ref="ns7:MediaServiceLocation" minOccurs="0"/>
                <xsd:element ref="ns7:Sent" minOccurs="0"/>
                <xsd:element ref="ns7:MediaServiceObjectDetectorVersions" minOccurs="0"/>
                <xsd:element ref="ns7:MediaServiceSearchProperties" minOccurs="0"/>
                <xsd:element ref="ns7:Folder" minOccurs="0"/>
                <xsd:element ref="ns7:b05dcfd0-cdc0-4faa-b8ae-036043c6be06CountryOrRegion" minOccurs="0"/>
                <xsd:element ref="ns7:b05dcfd0-cdc0-4faa-b8ae-036043c6be06State" minOccurs="0"/>
                <xsd:element ref="ns7:b05dcfd0-cdc0-4faa-b8ae-036043c6be06City" minOccurs="0"/>
                <xsd:element ref="ns7:b05dcfd0-cdc0-4faa-b8ae-036043c6be06PostalCode" minOccurs="0"/>
                <xsd:element ref="ns7:b05dcfd0-cdc0-4faa-b8ae-036043c6be06Street" minOccurs="0"/>
                <xsd:element ref="ns7:b05dcfd0-cdc0-4faa-b8ae-036043c6be06GeoLoc" minOccurs="0"/>
                <xsd:element ref="ns7:b05dcfd0-cdc0-4faa-b8ae-036043c6be06Disp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c278e07c-0436-44ae-bf20-0fa31c54bf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Energy Statistics|0882e751-7c5d-40cd-a0d4-46cf492f7845"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5c67b86a-dca8-471d-9378-1ff5bfc4f7ca}" ma:internalName="TaxCatchAll" ma:showField="CatchAllData"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5c67b86a-dca8-471d-9378-1ff5bfc4f7ca}" ma:internalName="TaxCatchAllLabel" ma:readOnly="true" ma:showField="CatchAllDataLabel"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e7ae58-aec4-4ab0-ae21-ab94226ea01a"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DateTaken" ma:index="21" nillable="true" ma:displayName="MediaServiceDateTaken" ma:hidden="true" ma:internalName="MediaServiceDateTaken" ma:readOnly="true">
      <xsd:simpleType>
        <xsd:restriction base="dms:Text"/>
      </xsd:simpleType>
    </xsd:element>
    <xsd:element name="MediaServiceAutoTags" ma:index="22" nillable="true" ma:displayName="Tags" ma:description="Technical Architecture, EDA" ma:internalName="MediaServiceAutoTags"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AutoKeyPoints" ma:index="27" nillable="true" ma:displayName="MediaServiceAutoKeyPoints" ma:hidden="true" ma:internalName="MediaServiceAutoKeyPoints" ma:readOnly="true">
      <xsd:simpleType>
        <xsd:restriction base="dms:Note"/>
      </xsd:simpleType>
    </xsd:element>
    <xsd:element name="MediaServiceKeyPoints" ma:index="28" nillable="true" ma:displayName="KeyPoints" ma:internalName="MediaServiceKeyPoints" ma:readOnly="true">
      <xsd:simpleType>
        <xsd:restriction base="dms:Note">
          <xsd:maxLength value="255"/>
        </xsd:restriction>
      </xsd:simpleType>
    </xsd:element>
    <xsd:element name="MediaServiceOCR" ma:index="32" nillable="true" ma:displayName="Extracted Text" ma:internalName="MediaServiceOCR" ma:readOnly="true">
      <xsd:simpleType>
        <xsd:restriction base="dms:Note">
          <xsd:maxLength value="255"/>
        </xsd:restriction>
      </xsd:simpleType>
    </xsd:element>
    <xsd:element name="KnowledgeRetention" ma:index="33" nillable="true" ma:displayName="Knowledge Retention" ma:format="Dropdown" ma:internalName="KnowledgeRetention">
      <xsd:simpleType>
        <xsd:restriction base="dms:Text">
          <xsd:maxLength value="255"/>
        </xsd:restriction>
      </xsd:simpleType>
    </xsd:element>
    <xsd:element name="MediaLengthInSeconds" ma:index="34" nillable="true" ma:displayName="MediaLengthInSeconds" ma:hidden="true" ma:internalName="MediaLengthInSeconds" ma:readOnly="true">
      <xsd:simpleType>
        <xsd:restriction base="dms:Unknown"/>
      </xsd:simpleType>
    </xsd:element>
    <xsd:element name="lcf76f155ced4ddcb4097134ff3c332f" ma:index="36"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Location" ma:index="37" nillable="true" ma:displayName="Location" ma:internalName="MediaServiceLocation" ma:readOnly="true">
      <xsd:simpleType>
        <xsd:restriction base="dms:Text"/>
      </xsd:simpleType>
    </xsd:element>
    <xsd:element name="Sent" ma:index="38" nillable="true" ma:displayName="Sent" ma:default="1" ma:format="Dropdown" ma:internalName="Sent">
      <xsd:simpleType>
        <xsd:restriction base="dms:Boolean"/>
      </xsd:simpleType>
    </xsd:element>
    <xsd:element name="MediaServiceObjectDetectorVersions" ma:index="3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element name="Folder" ma:index="41" nillable="true" ma:displayName="Folder" ma:format="Dropdown" ma:internalName="Folder">
      <xsd:simpleType>
        <xsd:restriction base="dms:Unknown"/>
      </xsd:simpleType>
    </xsd:element>
    <xsd:element name="b05dcfd0-cdc0-4faa-b8ae-036043c6be06CountryOrRegion" ma:index="42" nillable="true" ma:displayName="Folder: Country/Region" ma:internalName="CountryOrRegion" ma:readOnly="true">
      <xsd:simpleType>
        <xsd:restriction base="dms:Text"/>
      </xsd:simpleType>
    </xsd:element>
    <xsd:element name="b05dcfd0-cdc0-4faa-b8ae-036043c6be06State" ma:index="43" nillable="true" ma:displayName="Folder: State" ma:internalName="State" ma:readOnly="true">
      <xsd:simpleType>
        <xsd:restriction base="dms:Text"/>
      </xsd:simpleType>
    </xsd:element>
    <xsd:element name="b05dcfd0-cdc0-4faa-b8ae-036043c6be06City" ma:index="44" nillable="true" ma:displayName="Folder: City" ma:internalName="City" ma:readOnly="true">
      <xsd:simpleType>
        <xsd:restriction base="dms:Text"/>
      </xsd:simpleType>
    </xsd:element>
    <xsd:element name="b05dcfd0-cdc0-4faa-b8ae-036043c6be06PostalCode" ma:index="45" nillable="true" ma:displayName="Folder: Postal Code" ma:internalName="PostalCode" ma:readOnly="true">
      <xsd:simpleType>
        <xsd:restriction base="dms:Text"/>
      </xsd:simpleType>
    </xsd:element>
    <xsd:element name="b05dcfd0-cdc0-4faa-b8ae-036043c6be06Street" ma:index="46" nillable="true" ma:displayName="Folder: Street" ma:internalName="Street" ma:readOnly="true">
      <xsd:simpleType>
        <xsd:restriction base="dms:Text"/>
      </xsd:simpleType>
    </xsd:element>
    <xsd:element name="b05dcfd0-cdc0-4faa-b8ae-036043c6be06GeoLoc" ma:index="47" nillable="true" ma:displayName="Folder: Coordinates" ma:internalName="GeoLoc" ma:readOnly="true">
      <xsd:simpleType>
        <xsd:restriction base="dms:Unknown"/>
      </xsd:simpleType>
    </xsd:element>
    <xsd:element name="b05dcfd0-cdc0-4faa-b8ae-036043c6be06DispName" ma:index="48" nillable="true" ma:displayName="Folder: Name" ma:internalName="DispNa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2021-11-23T11:30:03+00:00</Date_x0020_Opened>
    <Descriptor xmlns="0063f72e-ace3-48fb-9c1f-5b513408b31f">LOCSEN</Descriptor>
    <Security_x0020_Classification xmlns="0063f72e-ace3-48fb-9c1f-5b513408b31f">OFFICIAL</Security_x0020_Classification>
    <Retention_x0020_Label xmlns="a8f60570-4bd3-4f2b-950b-a996de8ab151">Corp PPP Review</Retention_x0020_Label>
    <Date_x0020_Closed xmlns="b413c3fd-5a3b-4239-b985-69032e371c04" xsi:nil="true"/>
    <LegacyData xmlns="aaacb922-5235-4a66-b188-303b9b46fbd7">{
  "Name": "Solar_photovoltaics_deployment_June_2022.xlsx",
  "Title": "Solar Photovoltaics deployment October 2016",
  "Document Notes": "",
  "Security Classification": "OFFICIAL",
  "Handling Instructions": "",
  "Descriptor": "",
  "Government Body": "BEIS",
  "Business Unit": "BEIS:Trade, International, the Union and Analysis:Analysis:Energy Statistics",
  "Retention Label": "Corp PPP Review",
  "Date Opened": "2021-11-23T11:30:03.0000000Z",
  "Date Closed": "",
  "National Caveat": "",
  "Previous Location": "",
  "Previous Id": "",
  "Legacy Document Type": "",
  "Legacy Fileplan Target": "",
  "Legacy Numeric Class": "",
  "Legacy Folder Type": "",
  "Legacy Record Folder Identifier": "",
  "Legacy Copyright": "",
  "Legacy Last Modified Date": "",
  "Legacy Modifier": "",
  "Legacy Folder": "",
  "Legacy Content Type": "",
  "Legacy Expiry Review Date": "",
  "Legacy Last Action Date": "",
  "Legacy Protective Marking": "",
  "Legacy Tags": "",
  "Legacy References From Other Items": "",
  "Legacy Status on Transfer": "",
  "Legacy Date Closed": "",
  "Legacy Record Category Identifier": "",
  "Legacy Disposition as of Date": "",
  "Legacy Home Location": "",
  "Legacy Current Location": "",
  "Legacy Date File Received": "",
  "Legacy Date File Requested": "",
  "Legacy Date File Returned": "",
  "Legacy Minister": "",
  "Legacy MP": "",
  "Legacy Folder Notes": "",
  "Legacy Physical Item Location": "",
  "Legacy Request Type": "",
  "Legacy Descriptor": "",
  "Legacy Folder Document ID": "",
  "Legacy Document ID": "",
  "Legacy References To Other Items": "",
  "Legacy Custodian": "",
  "Legacy Additional Authors": "",
  "Legacy Document Link": "",
  "Legacy Folder Link": "",
  "Legacy Physical Format": false,
  "Content Type": "Document",
  "Previous Retention Policy": "",
  "Legacy Case Reference Number": "",
  "Created": "2022-07-21T12:36:00.0000000Z",
  "Document Modified By": "i:0#.f|membership|william.spry@beis.gov.uk",
  "Document Created By": "i:0#.f|membership|alessandro.bigazzi@beis.gov.uk",
  "Document ID Value": "2QFN7KK647Q6-669248629-2038",
  "Modified": "2022-07-26T13:02:18.0000000Z",
  "Original Location": "/sites/beis/178/Renewables/Solar Deployment/Published Solar Deployment Tables/Solar_photovoltaics_deployment_June_2022.xlsx"
}</LegacyData>
    <m975189f4ba442ecbf67d4147307b177 xmlns="c278e07c-0436-44ae-bf20-0fa31c54bf35">
      <Terms xmlns="http://schemas.microsoft.com/office/infopath/2007/PartnerControls">
        <TermInfo xmlns="http://schemas.microsoft.com/office/infopath/2007/PartnerControls">
          <TermName xmlns="http://schemas.microsoft.com/office/infopath/2007/PartnerControls">Energy Statistics</TermName>
          <TermId xmlns="http://schemas.microsoft.com/office/infopath/2007/PartnerControls">0882e751-7c5d-40cd-a0d4-46cf492f7845</TermId>
        </TermInfo>
      </Terms>
    </m975189f4ba442ecbf67d4147307b177>
    <TaxCatchAll xmlns="c278e07c-0436-44ae-bf20-0fa31c54bf35">
      <Value>1</Value>
    </TaxCatchAll>
    <SharedWithUsers xmlns="c278e07c-0436-44ae-bf20-0fa31c54bf35">
      <UserInfo>
        <DisplayName>zz_Bigazzi, Alessandro (Energy Security)</DisplayName>
        <AccountId>108</AccountId>
        <AccountType/>
      </UserInfo>
      <UserInfo>
        <DisplayName>Spry, William (Energy Security)</DisplayName>
        <AccountId>31</AccountId>
        <AccountType/>
      </UserInfo>
      <UserInfo>
        <DisplayName>Laycock, Matt (Energy Security)</DisplayName>
        <AccountId>32</AccountId>
        <AccountType/>
      </UserInfo>
    </SharedWithUsers>
    <_dlc_DocId xmlns="c278e07c-0436-44ae-bf20-0fa31c54bf35">QMA56DUQWX45-861680180-397313</_dlc_DocId>
    <_dlc_DocIdUrl xmlns="c278e07c-0436-44ae-bf20-0fa31c54bf35">
      <Url>https://beisgov.sharepoint.com/sites/EnergyStatistics/_layouts/15/DocIdRedir.aspx?ID=QMA56DUQWX45-861680180-397313</Url>
      <Description>QMA56DUQWX45-861680180-397313</Description>
    </_dlc_DocIdUrl>
    <lcf76f155ced4ddcb4097134ff3c332f xmlns="75e7ae58-aec4-4ab0-ae21-ab94226ea01a">
      <Terms xmlns="http://schemas.microsoft.com/office/infopath/2007/PartnerControls"/>
    </lcf76f155ced4ddcb4097134ff3c332f>
    <KnowledgeRetention xmlns="75e7ae58-aec4-4ab0-ae21-ab94226ea01a" xsi:nil="true"/>
    <Sent xmlns="75e7ae58-aec4-4ab0-ae21-ab94226ea01a">true</Sent>
    <Folder xmlns="75e7ae58-aec4-4ab0-ae21-ab94226ea01a"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7D241E-D110-47A3-B9AA-6F7FE9AFF472}">
  <ds:schemaRefs>
    <ds:schemaRef ds:uri="http://schemas.microsoft.com/sharepoint/events"/>
  </ds:schemaRefs>
</ds:datastoreItem>
</file>

<file path=customXml/itemProps2.xml><?xml version="1.0" encoding="utf-8"?>
<ds:datastoreItem xmlns:ds="http://schemas.openxmlformats.org/officeDocument/2006/customXml" ds:itemID="{B5C6A704-0CA1-4696-A6D0-5E926877A8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c278e07c-0436-44ae-bf20-0fa31c54bf35"/>
    <ds:schemaRef ds:uri="b413c3fd-5a3b-4239-b985-69032e371c04"/>
    <ds:schemaRef ds:uri="a8f60570-4bd3-4f2b-950b-a996de8ab151"/>
    <ds:schemaRef ds:uri="aaacb922-5235-4a66-b188-303b9b46fbd7"/>
    <ds:schemaRef ds:uri="75e7ae58-aec4-4ab0-ae21-ab94226ea0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191F4A-5800-4A11-88FD-BD0F548DD3B0}">
  <ds:schemaRefs>
    <ds:schemaRef ds:uri="http://schemas.microsoft.com/office/2006/documentManagement/types"/>
    <ds:schemaRef ds:uri="http://purl.org/dc/elements/1.1/"/>
    <ds:schemaRef ds:uri="0063f72e-ace3-48fb-9c1f-5b513408b31f"/>
    <ds:schemaRef ds:uri="http://schemas.microsoft.com/office/infopath/2007/PartnerControls"/>
    <ds:schemaRef ds:uri="http://purl.org/dc/terms/"/>
    <ds:schemaRef ds:uri="http://schemas.openxmlformats.org/package/2006/metadata/core-properties"/>
    <ds:schemaRef ds:uri="aaacb922-5235-4a66-b188-303b9b46fbd7"/>
    <ds:schemaRef ds:uri="a8f60570-4bd3-4f2b-950b-a996de8ab151"/>
    <ds:schemaRef ds:uri="c278e07c-0436-44ae-bf20-0fa31c54bf35"/>
    <ds:schemaRef ds:uri="75e7ae58-aec4-4ab0-ae21-ab94226ea01a"/>
    <ds:schemaRef ds:uri="http://www.w3.org/XML/1998/namespace"/>
    <ds:schemaRef ds:uri="b413c3fd-5a3b-4239-b985-69032e371c04"/>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D14AEC5E-E907-4329-9EB6-09A705CB3A12}">
  <ds:schemaRefs>
    <ds:schemaRef ds:uri="http://schemas.microsoft.com/sharepoint/v3/contenttype/forms"/>
  </ds:schemaRefs>
</ds:datastoreItem>
</file>

<file path=docMetadata/LabelInfo.xml><?xml version="1.0" encoding="utf-8"?>
<clbl:labelList xmlns:clbl="http://schemas.microsoft.com/office/2020/mipLabelMetadata">
  <clbl:label id="{ba62f585-b40f-4ab9-bafe-39150f03d124}" enabled="1" method="Standard" siteId="{cbac7005-02c1-43eb-b497-e6492d1b2dd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Cover_sheet</vt:lpstr>
      <vt:lpstr>Contents</vt:lpstr>
      <vt:lpstr>Commentary</vt:lpstr>
      <vt:lpstr>Notes</vt:lpstr>
      <vt:lpstr>Table_1_by_Capacity</vt:lpstr>
      <vt:lpstr>Table_2_by_Accreditation</vt:lpstr>
      <vt:lpstr>Table_3_dom_by_PC</vt:lpstr>
      <vt:lpstr>Table_1_May</vt:lpstr>
      <vt:lpstr>Table_1_Apr</vt:lpstr>
      <vt:lpstr>Table_1_Mar</vt:lpstr>
      <vt:lpstr>Table_2_May</vt:lpstr>
      <vt:lpstr>Table_3_May</vt:lpstr>
      <vt:lpstr>Table_1_Apr!Print_Titles</vt:lpstr>
      <vt:lpstr>Table_1_by_Capacity!Print_Titles</vt:lpstr>
      <vt:lpstr>Table_1_Mar!Print_Titles</vt:lpstr>
      <vt:lpstr>Table_1_May!Print_Titles</vt:lpstr>
      <vt:lpstr>Table_2_by_Accreditation!Print_Titles</vt:lpstr>
      <vt:lpstr>Table_2_May!Print_Titles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Solar Photovoltaics deployment October 2016</dc:title>
  <dc:subject/>
  <dc:creator>James Hemingway</dc:creator>
  <cp:keywords/>
  <dc:description/>
  <cp:lastModifiedBy>A.J.E. Coleman</cp:lastModifiedBy>
  <cp:revision/>
  <dcterms:created xsi:type="dcterms:W3CDTF">2016-02-22T12:43:57Z</dcterms:created>
  <dcterms:modified xsi:type="dcterms:W3CDTF">2026-09-02T22:00:57Z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0x010100F4582DC177B735439E316E7A5776D78C</vt:lpwstr>
  </property>
  <property fmtid="{D5CDD505-2E9C-101B-9397-08002B2CF9AE}" pid="3" name="_dlc_DocIdItemGuid">
    <vt:lpwstr>98cb42ea-dd5a-430f-996f-fb01ec3ef382</vt:lpwstr>
  </property>
  <property fmtid="{D5CDD505-2E9C-101B-9397-08002B2CF9AE}" pid="4" name="Business Unit">
    <vt:lpwstr>1;#Energy Statistics|0882e751-7c5d-40cd-a0d4-46cf492f7845</vt:lpwstr>
  </property>
  <property fmtid="{D5CDD505-2E9C-101B-9397-08002B2CF9AE}" pid="5" name="SharedWithUsers">
    <vt:lpwstr>4500;#Laycock, Matt (Analysis Directorate);#4499;#Harris, Kevin (Analysis Directorate);#9448;#Hollingshead, Paul (Communications &amp; Partnerships);#23336;#zz_Smith, Andrew (BEIS);#17140;#Frankland, Chrissie (BEIS);#14071;#Lucking, Benjamin (Analysis Directo</vt:lpwstr>
  </property>
  <property fmtid="{D5CDD505-2E9C-101B-9397-08002B2CF9AE}" pid="6" name="AuthorIds_UIVersion_4">
    <vt:lpwstr>17140</vt:lpwstr>
  </property>
  <property fmtid="{D5CDD505-2E9C-101B-9397-08002B2CF9AE}" pid="7" name="AuthorIds_UIVersion_7">
    <vt:lpwstr>17140</vt:lpwstr>
  </property>
  <property fmtid="{D5CDD505-2E9C-101B-9397-08002B2CF9AE}" pid="8" name="AuthorIds_UIVersion_19">
    <vt:lpwstr>17519</vt:lpwstr>
  </property>
  <property fmtid="{D5CDD505-2E9C-101B-9397-08002B2CF9AE}" pid="9" name="AuthorIds_UIVersion_3">
    <vt:lpwstr>17140</vt:lpwstr>
  </property>
  <property fmtid="{D5CDD505-2E9C-101B-9397-08002B2CF9AE}" pid="10" name="MSIP_Label_ba62f585-b40f-4ab9-bafe-39150f03d124_Enabled">
    <vt:lpwstr>true</vt:lpwstr>
  </property>
  <property fmtid="{D5CDD505-2E9C-101B-9397-08002B2CF9AE}" pid="11" name="MSIP_Label_ba62f585-b40f-4ab9-bafe-39150f03d124_SetDate">
    <vt:lpwstr>2019-09-23T08:46:45Z</vt:lpwstr>
  </property>
  <property fmtid="{D5CDD505-2E9C-101B-9397-08002B2CF9AE}" pid="12" name="MSIP_Label_ba62f585-b40f-4ab9-bafe-39150f03d124_Method">
    <vt:lpwstr>Standard</vt:lpwstr>
  </property>
  <property fmtid="{D5CDD505-2E9C-101B-9397-08002B2CF9AE}" pid="13" name="MSIP_Label_ba62f585-b40f-4ab9-bafe-39150f03d124_Name">
    <vt:lpwstr>OFFICIAL</vt:lpwstr>
  </property>
  <property fmtid="{D5CDD505-2E9C-101B-9397-08002B2CF9AE}" pid="14" name="MSIP_Label_ba62f585-b40f-4ab9-bafe-39150f03d124_SiteId">
    <vt:lpwstr>cbac7005-02c1-43eb-b497-e6492d1b2dd8</vt:lpwstr>
  </property>
  <property fmtid="{D5CDD505-2E9C-101B-9397-08002B2CF9AE}" pid="15" name="MSIP_Label_ba62f585-b40f-4ab9-bafe-39150f03d124_ActionId">
    <vt:lpwstr>0838d58a-d046-4924-83aa-0000b53291a5</vt:lpwstr>
  </property>
  <property fmtid="{D5CDD505-2E9C-101B-9397-08002B2CF9AE}" pid="16" name="MSIP_Label_ba62f585-b40f-4ab9-bafe-39150f03d124_ContentBits">
    <vt:lpwstr>0</vt:lpwstr>
  </property>
  <property fmtid="{D5CDD505-2E9C-101B-9397-08002B2CF9AE}" pid="17" name="MediaServiceImageTags">
    <vt:lpwstr/>
  </property>
  <property fmtid="{D5CDD505-2E9C-101B-9397-08002B2CF9AE}" pid="18" name="_ExtendedDescription">
    <vt:lpwstr/>
  </property>
  <property fmtid="{D5CDD505-2E9C-101B-9397-08002B2CF9AE}" pid="19" name="Business_x0020_Unit">
    <vt:lpwstr>1;#Energy Statistics|0882e751-7c5d-40cd-a0d4-46cf492f7845</vt:lpwstr>
  </property>
</Properties>
</file>